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700" windowHeight="16760" activeTab="5"/>
  </bookViews>
  <sheets>
    <sheet name="OPT_2" sheetId="10" r:id="rId1"/>
    <sheet name="1_to_3" sheetId="16" r:id="rId2"/>
    <sheet name="1_to_5" sheetId="17" r:id="rId3"/>
    <sheet name="CDF" sheetId="18" r:id="rId4"/>
    <sheet name="50-50W95-5W" sheetId="19" r:id="rId5"/>
    <sheet name="latency_throughput" sheetId="20" r:id="rId6"/>
    <sheet name="hash_table" sheetId="21" r:id="rId7"/>
    <sheet name="1_to_2" sheetId="14" r:id="rId8"/>
  </sheets>
  <definedNames>
    <definedName name="_xlnm._FilterDatabase" localSheetId="3" hidden="1">CDF!$N$1:$N$1</definedName>
    <definedName name="_xlnm._FilterDatabase" localSheetId="4" hidden="1">'50-50W95-5W'!$D:$D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<sst xmlns="http://schemas.openxmlformats.org/spreadsheetml/2006/main" count="11551" uniqueCount="8581">
  <si>
    <t>OPTKV-No-DB</t>
  </si>
  <si>
    <t>100W</t>
  </si>
  <si>
    <t>VLDB-No-DB</t>
  </si>
  <si>
    <t>OPTKV-EN-DB 1to2</t>
  </si>
  <si>
    <t>VLDB-EN-DB</t>
  </si>
  <si>
    <t>FAST24-EN-DB 1to2</t>
  </si>
  <si>
    <t>optkv-throughput-latency-W100</t>
  </si>
  <si>
    <t>optkv-throughput-latency-W50</t>
  </si>
  <si>
    <t>VLDB-throughput-latency</t>
  </si>
  <si>
    <t>FAST-throughput-latency</t>
  </si>
  <si>
    <t>OPTKV-EN-DB 1to3</t>
  </si>
  <si>
    <t>TH_err_bar</t>
  </si>
  <si>
    <t>AVG</t>
  </si>
  <si>
    <t>VLDB-EN-DB1to3</t>
  </si>
  <si>
    <t>FAST24-EN-DB 1to3</t>
  </si>
  <si>
    <t>Distribution 1to3</t>
  </si>
  <si>
    <t>ERRORBAR</t>
  </si>
  <si>
    <t>unifom</t>
  </si>
  <si>
    <t>zipfian</t>
  </si>
  <si>
    <t>Uniform</t>
  </si>
  <si>
    <t>OPTKV-EN-DB 1to3 hash table size (log)</t>
  </si>
  <si>
    <t>replica_num-write</t>
  </si>
  <si>
    <t>NetLR</t>
  </si>
  <si>
    <t>Throughput: 3.04397 mops</t>
  </si>
  <si>
    <t>Throughput: 2.9209 mops</t>
  </si>
  <si>
    <t>Ionia</t>
  </si>
  <si>
    <t>send_num 20000</t>
  </si>
  <si>
    <t>replica_num-write-latency</t>
  </si>
  <si>
    <t>Throughput: 3.06254 mops</t>
  </si>
  <si>
    <t>Throughput: 2.75708 mops</t>
  </si>
  <si>
    <t>send_num 30000</t>
  </si>
  <si>
    <t>send_num 40000</t>
  </si>
  <si>
    <t>Throughput: 3.1464 mops</t>
  </si>
  <si>
    <t>Throughput: 2.86647 mops</t>
  </si>
  <si>
    <t>No. of replicas</t>
  </si>
  <si>
    <t>Throughput: 2.81071 mops</t>
  </si>
  <si>
    <t>Throughput: 3.07835 mops</t>
  </si>
  <si>
    <t>Timeline-Throughput-OPTKV</t>
  </si>
  <si>
    <t>Throughput: 2.84339 mops</t>
  </si>
  <si>
    <t>Timeline-Throughput-VLDB</t>
  </si>
  <si>
    <t>OPTKV-EN-DB-C++</t>
  </si>
  <si>
    <t>Warm up.. UsedSwitchAGTRcount : 40000</t>
  </si>
  <si>
    <t>Warm finish.</t>
  </si>
  <si>
    <t xml:space="preserve">isWrite 0 R_DST_IP 1882720013 </t>
  </si>
  <si>
    <t>kAppRingMbufSize=512, kAppStridesPerWQE=512, kAppRingSize=1048576, kAppRQDepth=4</t>
  </si>
  <si>
    <t>main_loop bindingCPU 0</t>
  </si>
  <si>
    <t>Send 60000 21603 us collision 0</t>
  </si>
  <si>
    <t>Send 60000 22672 us collision 0</t>
  </si>
  <si>
    <t>Send 60000 22258 us collision 0</t>
  </si>
  <si>
    <t>Throughput: 3920.12 mbps</t>
  </si>
  <si>
    <t>Throughput: 3735.28 mbps</t>
  </si>
  <si>
    <t>Throughput: 3804.76 mbps</t>
  </si>
  <si>
    <t>OPTKV-EN-DB-python</t>
  </si>
  <si>
    <t>Throughput: 2.64873 mops</t>
  </si>
  <si>
    <t>Throughput: 2.52384 mops</t>
  </si>
  <si>
    <t>Throughput: 2.57078 mops</t>
  </si>
  <si>
    <t xml:space="preserve">Read 90th percentile latency is 15.248us </t>
  </si>
  <si>
    <t xml:space="preserve">Read 90th percentile latency is 15.362us </t>
  </si>
  <si>
    <t xml:space="preserve">Read 90th percentile latency is 15.715us </t>
  </si>
  <si>
    <t xml:space="preserve">Read 95th percentile latency is 18.604us </t>
  </si>
  <si>
    <t xml:space="preserve">Read 95th percentile latency is 26.093us </t>
  </si>
  <si>
    <t xml:space="preserve">Read 95th percentile latency is 20.732us </t>
  </si>
  <si>
    <t xml:space="preserve">Read 99th percentile latency is 38.417us </t>
  </si>
  <si>
    <t xml:space="preserve">Read 99th percentile latency is 36.87us </t>
  </si>
  <si>
    <t xml:space="preserve">Read 99th percentile latency is 45.49us </t>
  </si>
  <si>
    <t xml:space="preserve">Mix 90th percentile latency is 15.248us </t>
  </si>
  <si>
    <t xml:space="preserve">Mix 90th percentile latency is 15.362us </t>
  </si>
  <si>
    <t xml:space="preserve">Mix 90th percentile latency is 15.715us </t>
  </si>
  <si>
    <t xml:space="preserve">Mix 95th percentile latency is 18.604us </t>
  </si>
  <si>
    <t xml:space="preserve">Mix 95th percentile latency is 26.093us </t>
  </si>
  <si>
    <t xml:space="preserve">Mix 95th percentile latency is 20.732us </t>
  </si>
  <si>
    <t>LOAD</t>
  </si>
  <si>
    <t>A</t>
  </si>
  <si>
    <t>B</t>
  </si>
  <si>
    <t>C</t>
  </si>
  <si>
    <t>D</t>
  </si>
  <si>
    <t>F</t>
  </si>
  <si>
    <t xml:space="preserve">Mix 99th percentile latency is 38.417us </t>
  </si>
  <si>
    <t xml:space="preserve">Mix 99th percentile latency is 36.87us </t>
  </si>
  <si>
    <t xml:space="preserve">Mix 99th percentile latency is 45.49us </t>
  </si>
  <si>
    <t>100%W</t>
  </si>
  <si>
    <t>50%W 50%R</t>
  </si>
  <si>
    <t>5%W 95%R zipf</t>
  </si>
  <si>
    <t>readonly</t>
  </si>
  <si>
    <t>5%W 95%R read-latest</t>
  </si>
  <si>
    <t>50%RMW 50%R</t>
  </si>
  <si>
    <t>thread_id0 send_num_ 0 sum write latency: 0 avg latency : -nanus</t>
  </si>
  <si>
    <t>OPTKV</t>
  </si>
  <si>
    <t>thread_id0read_num_ 300 sum read latency: 2754 avg latency : 9.18us</t>
  </si>
  <si>
    <t>thread_id0read_num_ 300 sum read latency: 2906 avg latency : 9.68667us</t>
  </si>
  <si>
    <t>thread_id0read_num_ 300 sum read latency: 2891 avg latency : 9.63667us</t>
  </si>
  <si>
    <t>err</t>
  </si>
  <si>
    <t>thread_id0 sum Mix latency: 2754 avg Mix latency : 9.18us</t>
  </si>
  <si>
    <t>thread_id0 sum Mix latency: 2906 avg Mix latency : 9.68667us</t>
  </si>
  <si>
    <t>thread_id0 sum Mix latency: 2891 avg Mix latency : 9.63667us</t>
  </si>
  <si>
    <t>VLDB</t>
  </si>
  <si>
    <t>==============================================================================</t>
  </si>
  <si>
    <t>==================================================================================</t>
  </si>
  <si>
    <t>OPTKV-enable-rocksdb</t>
  </si>
  <si>
    <t>Zipfan server batch_num = 50</t>
  </si>
  <si>
    <t>Zipifan</t>
  </si>
  <si>
    <t>Uniform 50-50</t>
  </si>
  <si>
    <t>one-one</t>
  </si>
  <si>
    <t>one-thtree</t>
  </si>
  <si>
    <t>Warm up.. edSwitchAGTRcount : 40000</t>
  </si>
  <si>
    <r>
      <rPr>
        <sz val="11"/>
        <color rgb="FF000000"/>
        <rFont val="宋体"/>
        <charset val="134"/>
        <scheme val="minor"/>
      </rPr>
      <t>isWrite 0 R_DST_IP 1882720013</t>
    </r>
    <r>
      <rPr>
        <sz val="11"/>
        <color rgb="FF000000"/>
        <rFont val="宋体"/>
        <charset val="134"/>
        <scheme val="minor"/>
      </rPr>
      <t xml:space="preserve"> </t>
    </r>
  </si>
  <si>
    <t>Send 30000 9766  collision 0</t>
  </si>
  <si>
    <t xml:space="preserve">Send 60000 28164 </t>
  </si>
  <si>
    <t>Send 30000 18597  collision 36331</t>
  </si>
  <si>
    <t>Send 30000 14129  collision 15558</t>
  </si>
  <si>
    <t>Send 30000 11334  collision 4183</t>
  </si>
  <si>
    <t xml:space="preserve">Send 30000 9578 </t>
  </si>
  <si>
    <t>Send 30000 9301  collision 0</t>
  </si>
  <si>
    <t>Send 30000 9173  collision 0</t>
  </si>
  <si>
    <t>Send 60000 85588  collision 0</t>
  </si>
  <si>
    <r>
      <rPr>
        <sz val="11"/>
        <color rgb="FF000000"/>
        <rFont val="宋体"/>
        <charset val="134"/>
        <scheme val="minor"/>
      </rPr>
      <t>write 90th percentile latency is 4.039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</si>
  <si>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4.446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</si>
  <si>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4.638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</si>
  <si>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4.678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</si>
  <si>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4.418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</si>
  <si>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4.645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</si>
  <si>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4.85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</si>
  <si>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4.324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</si>
  <si>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4.525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</si>
  <si>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4.787 </t>
  </si>
  <si>
    <t xml:space="preserve">write 90th percentile latency is 4.376 </t>
  </si>
  <si>
    <t xml:space="preserve">write 90th percentile latency is 4.28 </t>
  </si>
  <si>
    <t xml:space="preserve">write 90th percentile latency is 4.621 </t>
  </si>
  <si>
    <t xml:space="preserve">write 90th percentile latency is 4.828 </t>
  </si>
  <si>
    <t xml:space="preserve">write 90th percentile latency is 4.835 </t>
  </si>
  <si>
    <t xml:space="preserve">write 90th percentile latency is 4.792 </t>
  </si>
  <si>
    <t xml:space="preserve">write 90th percentile latency is 4.801 </t>
  </si>
  <si>
    <t xml:space="preserve">write 90th percentile latency is 4.628 </t>
  </si>
  <si>
    <t xml:space="preserve">Read 90th percentile latency is 48.996 </t>
  </si>
  <si>
    <r>
      <rPr>
        <sz val="11"/>
        <color rgb="FF000000"/>
        <rFont val="宋体"/>
        <charset val="134"/>
        <scheme val="minor"/>
      </rPr>
      <t>write 95th percentile latency is 4.09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</si>
  <si>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4.538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</si>
  <si>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4.881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</si>
  <si>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4.877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</si>
  <si>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4.648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</si>
  <si>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4.74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</si>
  <si>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4.972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</si>
  <si>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4.627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</si>
  <si>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4.75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</si>
  <si>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4.947 </t>
  </si>
  <si>
    <t xml:space="preserve">write 95th percentile latency is 4.584 </t>
  </si>
  <si>
    <t xml:space="preserve">write 95th percentile latency is 4.678 </t>
  </si>
  <si>
    <t xml:space="preserve">write 95th percentile latency is 4.708 </t>
  </si>
  <si>
    <t xml:space="preserve">write 95th percentile latency is 15.147 </t>
  </si>
  <si>
    <t xml:space="preserve">write 95th percentile latency is 5.037 </t>
  </si>
  <si>
    <t xml:space="preserve">write 95th percentile latency is 4.877 </t>
  </si>
  <si>
    <t xml:space="preserve">write 95th percentile latency is 4.971 </t>
  </si>
  <si>
    <t xml:space="preserve">write 95th percentile latency is 4.715 </t>
  </si>
  <si>
    <t xml:space="preserve">Read 95th percentile latency is 58.639 </t>
  </si>
  <si>
    <r>
      <rPr>
        <sz val="11"/>
        <color rgb="FF000000"/>
        <rFont val="宋体"/>
        <charset val="134"/>
        <scheme val="minor"/>
      </rPr>
      <t>write 99th percentile latency is 4.348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</si>
  <si>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22.518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</si>
  <si>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23.325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</si>
  <si>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6.236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</si>
  <si>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12.705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</si>
  <si>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5.42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</si>
  <si>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6.855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</si>
  <si>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5.086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</si>
  <si>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5.184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</si>
  <si>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5.934 </t>
  </si>
  <si>
    <t xml:space="preserve">write 99th percentile latency is 5.835 </t>
  </si>
  <si>
    <t xml:space="preserve">write 99th percentile latency is 5.25 </t>
  </si>
  <si>
    <t xml:space="preserve">write 99th percentile latency is 20.95 </t>
  </si>
  <si>
    <t xml:space="preserve">write 99th percentile latency is 22.101 </t>
  </si>
  <si>
    <t xml:space="preserve">write 99th percentile latency is 10.778 </t>
  </si>
  <si>
    <t xml:space="preserve">write 99th percentile latency is 5.014 </t>
  </si>
  <si>
    <t xml:space="preserve">write 99th percentile latency is 5.781 </t>
  </si>
  <si>
    <t xml:space="preserve">write 99th percentile latency is 5.041 </t>
  </si>
  <si>
    <t xml:space="preserve">Read 99th percentile latency is 154.275 </t>
  </si>
  <si>
    <r>
      <rPr>
        <sz val="11"/>
        <color rgb="FF000000"/>
        <rFont val="宋体"/>
        <charset val="134"/>
        <scheme val="minor"/>
      </rPr>
      <t>Read 90th percentile latency is 16.153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</si>
  <si>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17.025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</si>
  <si>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17.006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</si>
  <si>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17.33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</si>
  <si>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17.712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</si>
  <si>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20.753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</si>
  <si>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16.433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</si>
  <si>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19.039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</si>
  <si>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26.769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</si>
  <si>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24.246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</si>
  <si>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90th percentile latency is 16.335 </t>
  </si>
  <si>
    <t xml:space="preserve">Read 90th percentile latency is 18.417 </t>
  </si>
  <si>
    <r>
      <rPr>
        <sz val="11"/>
        <color rgb="FF000000"/>
        <rFont val="宋体"/>
        <charset val="134"/>
        <scheme val="minor"/>
      </rPr>
      <t>Read 95th percentile latency is 21.017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</si>
  <si>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20.747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</si>
  <si>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18.625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</si>
  <si>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19.568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</si>
  <si>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28.248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</si>
  <si>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28.423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</si>
  <si>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20.665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</si>
  <si>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21.834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</si>
  <si>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28.785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</si>
  <si>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32.43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</si>
  <si>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95th percentile latency is 21.169 </t>
  </si>
  <si>
    <t xml:space="preserve">Read 95th percentile latency is 22.403 </t>
  </si>
  <si>
    <r>
      <rPr>
        <sz val="11"/>
        <color rgb="FF000000"/>
        <rFont val="宋体"/>
        <charset val="134"/>
        <scheme val="minor"/>
      </rPr>
      <t>Read 99th percentile latency is 28.528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</si>
  <si>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32.567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</si>
  <si>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31.821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</si>
  <si>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34.126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</si>
  <si>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44.508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</si>
  <si>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42.81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</si>
  <si>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50.234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</si>
  <si>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30.658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</si>
  <si>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119.758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</si>
  <si>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38.729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</si>
  <si>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99th percentile latency is 48.244 </t>
  </si>
  <si>
    <t xml:space="preserve">Read 99th percentile latency is 33.133 </t>
  </si>
  <si>
    <t>thread_id0 send_num_ 0 sum write latency: 0 avg latency : -nan</t>
  </si>
  <si>
    <t>thread_id0read_num_ 300 sum read latency: 9865 avg latency : 32.8833</t>
  </si>
  <si>
    <t>thread_id0 send_num_ 26 sum write latency: 81 avg latency : 3.11538</t>
  </si>
  <si>
    <t>thread_id0 send_num_ 42 sum write latency: 154 avg latency : 3.66667</t>
  </si>
  <si>
    <t>thread_id0 send_num_ 76 sum write latency: 273 avg latency : 3.59211</t>
  </si>
  <si>
    <t>thread_id0 send_num_ 124 sum write latency: 426 avg latency : 3.43548</t>
  </si>
  <si>
    <t>thread_id0 send_num_ 153 sum write latency: 533 avg latency : 3.48366</t>
  </si>
  <si>
    <t>thread_id0 send_num_ 170 sum write latency: 575 avg latency : 3.38235</t>
  </si>
  <si>
    <t>thread_id0 send_num_ 219 sum write latency: 774 avg latency : 3.53425</t>
  </si>
  <si>
    <t>thread_id0 send_num_ 242 sum write latency: 783 avg latency : 3.23554</t>
  </si>
  <si>
    <t>thread_id0 send_num_ 269 sum write latency: 896 avg latency : 3.33086</t>
  </si>
  <si>
    <t>thread_id0 send_num_ 150 sum write latency: 593 avg latency : 3.95333</t>
  </si>
  <si>
    <t>thread_id0 send_num_ 140 sum write latency: 461 avg latency : 3.29286</t>
  </si>
  <si>
    <t>thread_id0 send_num_ 147 sum write latency: 514 avg latency : 3.4966</t>
  </si>
  <si>
    <t>thread_id0 send_num_ 150 sum write latency: 546 avg latency : 3.64</t>
  </si>
  <si>
    <t>thread_id0 send_num_ 150 sum write latency: 639 avg latency : 4.26</t>
  </si>
  <si>
    <t>thread_id0 send_num_ 150 sum write latency: 587 avg latency : 3.91333</t>
  </si>
  <si>
    <t>thread_id0 send_num_ 150 sum write latency: 564 avg latency : 3.76</t>
  </si>
  <si>
    <t>thread_id0 send_num_ 150 sum write latency: 555 avg latency : 3.7</t>
  </si>
  <si>
    <t>thread_id0 send_num_ 150 sum write latency: 544 avg latency : 3.62667</t>
  </si>
  <si>
    <t>thread_id0read_num_ 300 sum read latency: 3189 avg latency : 10.63</t>
  </si>
  <si>
    <t>thread_id0read_num_ 274 sum read latency: 2881 avg latency : 10.5146</t>
  </si>
  <si>
    <t>thread_id0read_num_ 258 sum read latency: 2655 avg latency : 10.2907</t>
  </si>
  <si>
    <t>thread_id0read_num_ 224 sum read latency: 2379 avg latency : 10.6205</t>
  </si>
  <si>
    <t>thread_id0read_num_ 176 sum read latency: 1956 avg latency : 11.1136</t>
  </si>
  <si>
    <t>thread_id0read_num_ 147 sum read latency: 1664 avg latency : 11.3197</t>
  </si>
  <si>
    <t>thread_id0read_num_ 130 sum read latency: 1515 avg latency : 11.6538</t>
  </si>
  <si>
    <t>thread_id0read_num_ 81 sum read latency: 825 avg latency : 10.1852</t>
  </si>
  <si>
    <t>thread_id0read_num_ 58 sum read latency: 784 avg latency : 13.5172</t>
  </si>
  <si>
    <t>thread_id0read_num_ 31 sum read latency: 399 avg latency : 12.871</t>
  </si>
  <si>
    <t>thread_id0read_num_ 0 sum read latency: 0 avg latency : -nan</t>
  </si>
  <si>
    <t>thread_id0read_num_ 160 sum read latency: 1719 avg latency : 10.7438</t>
  </si>
  <si>
    <t>thread_id0read_num_ 153 sum read latency: 1616 avg latency : 10.5621</t>
  </si>
  <si>
    <t>===========================================================================</t>
  </si>
  <si>
    <t>==========================================================================</t>
  </si>
  <si>
    <t>================================================================================</t>
  </si>
  <si>
    <t>===============================================================================</t>
  </si>
  <si>
    <t>=============================================================================</t>
  </si>
  <si>
    <t>Send 30000 9539  collision 0</t>
  </si>
  <si>
    <t xml:space="preserve">Send 60000 28157 </t>
  </si>
  <si>
    <t>Send 30000 18797  collision 37046</t>
  </si>
  <si>
    <t>Send 30000 13981  collision 15060</t>
  </si>
  <si>
    <t>Send 30000 10170  collision 2328</t>
  </si>
  <si>
    <t>Send 30000 9928  collision 439</t>
  </si>
  <si>
    <t>Send 30000 9464  collision 0</t>
  </si>
  <si>
    <t>Send 30000 9552  collision 0</t>
  </si>
  <si>
    <r>
      <rPr>
        <sz val="11"/>
        <color rgb="FF000000"/>
        <rFont val="宋体"/>
        <charset val="134"/>
        <scheme val="minor"/>
      </rPr>
      <t>write 90th percentile latency is 4.434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</si>
  <si>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4.52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</si>
  <si>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4.081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</si>
  <si>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4.665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</si>
  <si>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4.75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</si>
  <si>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4.506 </t>
  </si>
  <si>
    <r>
      <rPr>
        <sz val="11"/>
        <color rgb="FF000000"/>
        <rFont val="宋体"/>
        <charset val="134"/>
        <scheme val="minor"/>
      </rPr>
      <t>write 90th percentile latency is 4.429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</si>
  <si>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4.564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</si>
  <si>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4.42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</si>
  <si>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4.671 </t>
  </si>
  <si>
    <t xml:space="preserve">write 90th percentile latency is 4.363 </t>
  </si>
  <si>
    <t xml:space="preserve">write 90th percentile latency is 4.599 </t>
  </si>
  <si>
    <t xml:space="preserve">write 90th percentile latency is 4.618 </t>
  </si>
  <si>
    <t xml:space="preserve">write 90th percentile latency is 5.119 </t>
  </si>
  <si>
    <t xml:space="preserve">write 90th percentile latency is 4.772 </t>
  </si>
  <si>
    <t xml:space="preserve">write 90th percentile latency is 4.502 </t>
  </si>
  <si>
    <t xml:space="preserve">write 90th percentile latency is 4.784 </t>
  </si>
  <si>
    <t xml:space="preserve">write 90th percentile latency is 4.804 </t>
  </si>
  <si>
    <r>
      <rPr>
        <sz val="11"/>
        <color rgb="FF000000"/>
        <rFont val="宋体"/>
        <charset val="134"/>
        <scheme val="minor"/>
      </rPr>
      <t>write 95th percentile latency is 4.552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</si>
  <si>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4.68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</si>
  <si>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4.498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</si>
  <si>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4.84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</si>
  <si>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4.996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</si>
  <si>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4.721 </t>
  </si>
  <si>
    <r>
      <rPr>
        <sz val="11"/>
        <color rgb="FF000000"/>
        <rFont val="宋体"/>
        <charset val="134"/>
        <scheme val="minor"/>
      </rPr>
      <t>write 95th percentile latency is 4.664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</si>
  <si>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4.729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</si>
  <si>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4.619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</si>
  <si>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4.832 </t>
  </si>
  <si>
    <t xml:space="preserve">write 95th percentile latency is 4.473 </t>
  </si>
  <si>
    <t xml:space="preserve">write 95th percentile latency is 4.816 </t>
  </si>
  <si>
    <t xml:space="preserve">write 95th percentile latency is 4.939 </t>
  </si>
  <si>
    <t xml:space="preserve">write 95th percentile latency is 14.312 </t>
  </si>
  <si>
    <t xml:space="preserve">write 95th percentile latency is 4.897 </t>
  </si>
  <si>
    <t xml:space="preserve">write 95th percentile latency is 4.684 </t>
  </si>
  <si>
    <t xml:space="preserve">write 95th percentile latency is 4.884 </t>
  </si>
  <si>
    <t xml:space="preserve">write 95th percentile latency is 4.978 </t>
  </si>
  <si>
    <r>
      <rPr>
        <sz val="11"/>
        <color rgb="FF000000"/>
        <rFont val="宋体"/>
        <charset val="134"/>
        <scheme val="minor"/>
      </rPr>
      <t>write 99th percentile latency is 7.179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</si>
  <si>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23.09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</si>
  <si>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21.146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</si>
  <si>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5.027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</si>
  <si>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8.006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</si>
  <si>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5.182 </t>
  </si>
  <si>
    <r>
      <rPr>
        <sz val="11"/>
        <color rgb="FF000000"/>
        <rFont val="宋体"/>
        <charset val="134"/>
        <scheme val="minor"/>
      </rPr>
      <t>write 99th percentile latency is 5.015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</si>
  <si>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5.028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</si>
  <si>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5.202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</si>
  <si>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5.208 </t>
  </si>
  <si>
    <t xml:space="preserve">write 99th percentile latency is 5.125 </t>
  </si>
  <si>
    <t xml:space="preserve">write 99th percentile latency is 5.596 </t>
  </si>
  <si>
    <t xml:space="preserve">write 99th percentile latency is 5.372 </t>
  </si>
  <si>
    <t xml:space="preserve">write 99th percentile latency is 18.532 </t>
  </si>
  <si>
    <t xml:space="preserve">write 99th percentile latency is 6.853 </t>
  </si>
  <si>
    <t xml:space="preserve">write 99th percentile latency is 7.51 </t>
  </si>
  <si>
    <t xml:space="preserve">write 99th percentile latency is 5.122 </t>
  </si>
  <si>
    <t xml:space="preserve">write 99th percentile latency is 5.145 </t>
  </si>
  <si>
    <t xml:space="preserve">Read 90th percentile latency is 16.783 </t>
  </si>
  <si>
    <r>
      <rPr>
        <sz val="11"/>
        <color rgb="FF000000"/>
        <rFont val="宋体"/>
        <charset val="134"/>
        <scheme val="minor"/>
      </rPr>
      <t>Read 90th percentile latency is 17.253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</si>
  <si>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18.81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</si>
  <si>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17.376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</si>
  <si>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19.4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</si>
  <si>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17.177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</si>
  <si>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90th percentile latency is 16.031 </t>
  </si>
  <si>
    <r>
      <rPr>
        <sz val="11"/>
        <color rgb="FF000000"/>
        <rFont val="宋体"/>
        <charset val="134"/>
        <scheme val="minor"/>
      </rPr>
      <t>Read 90th percentile latency is 18.216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</si>
  <si>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29.209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</si>
  <si>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25.855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</si>
  <si>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90th percentile latency is 18.281 </t>
  </si>
  <si>
    <t xml:space="preserve">Read 90th percentile latency is 17.335 </t>
  </si>
  <si>
    <t xml:space="preserve">Read 95th percentile latency is 20.577 </t>
  </si>
  <si>
    <r>
      <rPr>
        <sz val="11"/>
        <color rgb="FF000000"/>
        <rFont val="宋体"/>
        <charset val="134"/>
        <scheme val="minor"/>
      </rPr>
      <t>Read 95th percentile latency is 18.944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</si>
  <si>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21.406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</si>
  <si>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19.903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</si>
  <si>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25.974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</si>
  <si>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20.014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</si>
  <si>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95th percentile latency is 22.761 </t>
  </si>
  <si>
    <r>
      <rPr>
        <sz val="11"/>
        <color rgb="FF000000"/>
        <rFont val="宋体"/>
        <charset val="134"/>
        <scheme val="minor"/>
      </rPr>
      <t>Read 95th percentile latency is 19.998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</si>
  <si>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36.633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</si>
  <si>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31.902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</si>
  <si>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95th percentile latency is 21.949 </t>
  </si>
  <si>
    <t xml:space="preserve">Read 95th percentile latency is 20.39 </t>
  </si>
  <si>
    <t xml:space="preserve">Read 99th percentile latency is 27.958 </t>
  </si>
  <si>
    <r>
      <rPr>
        <sz val="11"/>
        <color rgb="FF000000"/>
        <rFont val="宋体"/>
        <charset val="134"/>
        <scheme val="minor"/>
      </rPr>
      <t>Read 99th percentile latency is 28.862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</si>
  <si>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34.67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</si>
  <si>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35.165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</si>
  <si>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39.569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</si>
  <si>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34.072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</si>
  <si>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99th percentile latency is 29.757 </t>
  </si>
  <si>
    <r>
      <rPr>
        <sz val="11"/>
        <color rgb="FF000000"/>
        <rFont val="宋体"/>
        <charset val="134"/>
        <scheme val="minor"/>
      </rPr>
      <t>Read 99th percentile latency is 40.179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</si>
  <si>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145.59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</si>
  <si>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99.284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</si>
  <si>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99th percentile latency is 26.554 </t>
  </si>
  <si>
    <t xml:space="preserve">Read 99th percentile latency is 33.415 </t>
  </si>
  <si>
    <t>thread_id0 send_num_ 26 sum write latency: 84 avg latency : 3.23077</t>
  </si>
  <si>
    <t>thread_id0 send_num_ 42 sum write latency: 157 avg latency : 3.7381</t>
  </si>
  <si>
    <t>thread_id0 send_num_ 76 sum write latency: 255 avg latency : 3.35526</t>
  </si>
  <si>
    <t>thread_id0 send_num_ 124 sum write latency: 430 avg latency : 3.46774</t>
  </si>
  <si>
    <t>thread_id0 send_num_ 153 sum write latency: 529 avg latency : 3.45752</t>
  </si>
  <si>
    <t>thread_id0 send_num_ 178 sum write latency: 603 avg latency : 3.38764</t>
  </si>
  <si>
    <t>thread_id0 send_num_ 203 sum write latency: 662 avg latency : 3.26108</t>
  </si>
  <si>
    <t>thread_id0 send_num_ 242 sum write latency: 800 avg latency : 3.30579</t>
  </si>
  <si>
    <t>thread_id0 send_num_ 260 sum write latency: 846 avg latency : 3.25385</t>
  </si>
  <si>
    <t>thread_id0 send_num_ 150 sum write latency: 545 avg latency : 3.63333</t>
  </si>
  <si>
    <t>thread_id0 send_num_ 160 sum write latency: 529 avg latency : 3.30625</t>
  </si>
  <si>
    <t>thread_id0 send_num_ 147 sum write latency: 506 avg latency : 3.44218</t>
  </si>
  <si>
    <t>thread_id0 send_num_ 150 sum write latency: 524 avg latency : 3.49333</t>
  </si>
  <si>
    <t>thread_id0 send_num_ 150 sum write latency: 648 avg latency : 4.32</t>
  </si>
  <si>
    <t>thread_id0 send_num_ 150 sum write latency: 553 avg latency : 3.68667</t>
  </si>
  <si>
    <t>thread_id0 send_num_ 150 sum write latency: 554 avg latency : 3.69333</t>
  </si>
  <si>
    <t>thread_id0 send_num_ 150 sum write latency: 568 avg latency : 3.78667</t>
  </si>
  <si>
    <t>thread_id0read_num_ 400 sum read latency: 4047 avg latency : 10.1175</t>
  </si>
  <si>
    <t>thread_id0read_num_ 274 sum read latency: 2962 avg latency : 10.8102</t>
  </si>
  <si>
    <t>thread_id0read_num_ 258 sum read latency: 2807 avg latency : 10.8798</t>
  </si>
  <si>
    <t>thread_id0read_num_ 224 sum read latency: 2358 avg latency : 10.5268</t>
  </si>
  <si>
    <t>thread_id0read_num_ 176 sum read latency: 1971 avg latency : 11.1989</t>
  </si>
  <si>
    <t>thread_id0read_num_ 147 sum read latency: 1539 avg latency : 10.4694</t>
  </si>
  <si>
    <t>thread_id0read_num_ 122 sum read latency: 1193 avg latency : 9.77869</t>
  </si>
  <si>
    <t>thread_id0read_num_ 97 sum read latency: 1036 avg latency : 10.6804</t>
  </si>
  <si>
    <t>thread_id0read_num_ 58 sum read latency: 887 avg latency : 15.2931</t>
  </si>
  <si>
    <t>thread_id0read_num_ 40 sum read latency: 526 avg latency : 13.15</t>
  </si>
  <si>
    <t>thread_id0read_num_ 140 sum read latency: 1427 avg latency : 10.1929</t>
  </si>
  <si>
    <t>thread_id0read_num_ 153 sum read latency: 1646 avg latency : 10.7582</t>
  </si>
  <si>
    <t>==================================================================</t>
  </si>
  <si>
    <t>============================================================================</t>
  </si>
  <si>
    <t>=================================================================================</t>
  </si>
  <si>
    <t>Send 30000 9066  collision 0</t>
  </si>
  <si>
    <t xml:space="preserve">Send 60000 29086 </t>
  </si>
  <si>
    <t>Send 30000 19125  collision 37411</t>
  </si>
  <si>
    <t>Send 30000 14802  collision 16872</t>
  </si>
  <si>
    <t>Send 30000 10710  collision 2080</t>
  </si>
  <si>
    <t>Send 30000 9932  collision 279</t>
  </si>
  <si>
    <t>Send 30000 9425  collision 0</t>
  </si>
  <si>
    <t>Send 30000 9410  collision 0</t>
  </si>
  <si>
    <r>
      <rPr>
        <sz val="11"/>
        <color rgb="FF000000"/>
        <rFont val="宋体"/>
        <charset val="134"/>
        <scheme val="minor"/>
      </rPr>
      <t>write 90th percentile latency is 3.489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</si>
  <si>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4.626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</si>
  <si>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4.655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</si>
  <si>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4.777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</si>
  <si>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4.43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</si>
  <si>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4.874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</si>
  <si>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4.635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</si>
  <si>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4.567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</si>
  <si>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4.591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</si>
  <si>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4.701 </t>
  </si>
  <si>
    <t xml:space="preserve">write 90th percentile latency is 4.243 </t>
  </si>
  <si>
    <t xml:space="preserve">write 90th percentile latency is 4.663 </t>
  </si>
  <si>
    <t xml:space="preserve">write 90th percentile latency is 4.71 </t>
  </si>
  <si>
    <t xml:space="preserve">write 90th percentile latency is 5.684 </t>
  </si>
  <si>
    <t xml:space="preserve">write 90th percentile latency is 4.813 </t>
  </si>
  <si>
    <t xml:space="preserve">write 90th percentile latency is 4.626 </t>
  </si>
  <si>
    <t xml:space="preserve">write 90th percentile latency is 4.713 </t>
  </si>
  <si>
    <t xml:space="preserve">write 90th percentile latency is 4.547 </t>
  </si>
  <si>
    <r>
      <rPr>
        <sz val="11"/>
        <color rgb="FF000000"/>
        <rFont val="宋体"/>
        <charset val="134"/>
        <scheme val="minor"/>
      </rPr>
      <t>write 95th percentile latency is 4.15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</si>
  <si>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5.024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</si>
  <si>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4.811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</si>
  <si>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4.92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</si>
  <si>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4.96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</si>
  <si>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4.992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</si>
  <si>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4.786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</si>
  <si>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4.761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</si>
  <si>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4.724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</si>
  <si>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4.869 </t>
  </si>
  <si>
    <t xml:space="preserve">write 95th percentile latency is 4.484 </t>
  </si>
  <si>
    <t xml:space="preserve">write 95th percentile latency is 4.909 </t>
  </si>
  <si>
    <t xml:space="preserve">write 95th percentile latency is 4.848 </t>
  </si>
  <si>
    <t xml:space="preserve">write 95th percentile latency is 16.181 </t>
  </si>
  <si>
    <t xml:space="preserve">write 95th percentile latency is 4.961 </t>
  </si>
  <si>
    <t xml:space="preserve">write 95th percentile latency is 4.725 </t>
  </si>
  <si>
    <t xml:space="preserve">write 95th percentile latency is 4.841 </t>
  </si>
  <si>
    <t xml:space="preserve">write 95th percentile latency is 4.835 </t>
  </si>
  <si>
    <r>
      <rPr>
        <sz val="11"/>
        <color rgb="FF000000"/>
        <rFont val="宋体"/>
        <charset val="134"/>
        <scheme val="minor"/>
      </rPr>
      <t>write 99th percentile latency is 4.769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</si>
  <si>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22.437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</si>
  <si>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19.873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</si>
  <si>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5.186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</si>
  <si>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5.293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</si>
  <si>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5.122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</si>
  <si>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5.076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</si>
  <si>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4.989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</si>
  <si>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5.298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</si>
  <si>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5.248 </t>
  </si>
  <si>
    <t xml:space="preserve">write 99th percentile latency is 4.75 </t>
  </si>
  <si>
    <t xml:space="preserve">write 99th percentile latency is 5.224 </t>
  </si>
  <si>
    <t xml:space="preserve">write 99th percentile latency is 19.986 </t>
  </si>
  <si>
    <t xml:space="preserve">write 99th percentile latency is 20.442 </t>
  </si>
  <si>
    <t xml:space="preserve">write 99th percentile latency is 6.452 </t>
  </si>
  <si>
    <t xml:space="preserve">write 99th percentile latency is 11.474 </t>
  </si>
  <si>
    <t xml:space="preserve">write 99th percentile latency is 5.309 </t>
  </si>
  <si>
    <t xml:space="preserve">write 99th percentile latency is 5.146 </t>
  </si>
  <si>
    <t xml:space="preserve">Read 90th percentile latency is 16.618 </t>
  </si>
  <si>
    <r>
      <rPr>
        <sz val="11"/>
        <color rgb="FF000000"/>
        <rFont val="宋体"/>
        <charset val="134"/>
        <scheme val="minor"/>
      </rPr>
      <t>Read 90th percentile latency is 17.524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</si>
  <si>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17.694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</si>
  <si>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17.309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</si>
  <si>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15.936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</si>
  <si>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16.811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</si>
  <si>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21.027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</si>
  <si>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15.082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</si>
  <si>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17.329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</si>
  <si>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17.06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</si>
  <si>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90th percentile latency is 20.922 </t>
  </si>
  <si>
    <t xml:space="preserve">Read 90th percentile latency is 20.918 </t>
  </si>
  <si>
    <t xml:space="preserve">Read 95th percentile latency is 18.398 </t>
  </si>
  <si>
    <r>
      <rPr>
        <sz val="11"/>
        <color rgb="FF000000"/>
        <rFont val="宋体"/>
        <charset val="134"/>
        <scheme val="minor"/>
      </rPr>
      <t>Read 95th percentile latency is 20.4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</si>
  <si>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19.5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</si>
  <si>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20.195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</si>
  <si>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18.499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</si>
  <si>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22.256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</si>
  <si>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29.126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</si>
  <si>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20.046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</si>
  <si>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27.339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</si>
  <si>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19.805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</si>
  <si>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95th percentile latency is 24.965 </t>
  </si>
  <si>
    <t xml:space="preserve">Read 95th percentile latency is 30.93 </t>
  </si>
  <si>
    <t xml:space="preserve">Read 99th percentile latency is 21.298 </t>
  </si>
  <si>
    <r>
      <rPr>
        <sz val="11"/>
        <color rgb="FF000000"/>
        <rFont val="宋体"/>
        <charset val="134"/>
        <scheme val="minor"/>
      </rPr>
      <t>Read 99th percentile latency is 26.834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</si>
  <si>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30.472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</si>
  <si>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32.161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</si>
  <si>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35.118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</si>
  <si>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31.438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</si>
  <si>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44.426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</si>
  <si>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36.88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</si>
  <si>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127.296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</si>
  <si>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23.478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</si>
  <si>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99th percentile latency is 35.321 </t>
  </si>
  <si>
    <t xml:space="preserve">Read 99th percentile latency is 39.571 </t>
  </si>
  <si>
    <t>thread_id0 send_num_ 26 sum write latency: 80 avg latency : 3.07692</t>
  </si>
  <si>
    <t>thread_id0 send_num_ 42 sum write latency: 160 avg latency : 3.80952</t>
  </si>
  <si>
    <t>thread_id0 send_num_ 76 sum write latency: 266 avg latency : 3.5</t>
  </si>
  <si>
    <t>thread_id0 send_num_ 124 sum write latency: 437 avg latency : 3.52419</t>
  </si>
  <si>
    <t>thread_id0 send_num_ 153 sum write latency: 538 avg latency : 3.51634</t>
  </si>
  <si>
    <t>thread_id0 send_num_ 169 sum write latency: 577 avg latency : 3.4142</t>
  </si>
  <si>
    <t>thread_id0 send_num_ 203 sum write latency: 703 avg latency : 3.46305</t>
  </si>
  <si>
    <t>thread_id0 send_num_ 242 sum write latency: 782 avg latency : 3.2314</t>
  </si>
  <si>
    <t>thread_id0 send_num_ 271 sum write latency: 904 avg latency : 3.33579</t>
  </si>
  <si>
    <t>thread_id0 send_num_ 150 sum write latency: 557 avg latency : 3.71333</t>
  </si>
  <si>
    <t>thread_id0 send_num_ 160 sum write latency: 521 avg latency : 3.25625</t>
  </si>
  <si>
    <t>thread_id0 send_num_ 147 sum write latency: 515 avg latency : 3.5034</t>
  </si>
  <si>
    <t>thread_id0 send_num_ 150 sum write latency: 566 avg latency : 3.77333</t>
  </si>
  <si>
    <t>thread_id0 send_num_ 150 sum write latency: 694 avg latency : 4.62667</t>
  </si>
  <si>
    <t>thread_id0 send_num_ 150 sum write latency: 526 avg latency : 3.50667</t>
  </si>
  <si>
    <t>thread_id0 send_num_ 150 sum write latency: 552 avg latency : 3.68</t>
  </si>
  <si>
    <t>thread_id0read_num_ 400 sum read latency: 3930 avg latency : 9.825</t>
  </si>
  <si>
    <t>thread_id0read_num_ 274 sum read latency: 2890 avg latency : 10.5474</t>
  </si>
  <si>
    <t>thread_id0read_num_ 258 sum read latency: 2710 avg latency : 10.5039</t>
  </si>
  <si>
    <t>thread_id0read_num_ 224 sum read latency: 2268 avg latency : 10.125</t>
  </si>
  <si>
    <t>thread_id0read_num_ 176 sum read latency: 1741 avg latency : 9.89205</t>
  </si>
  <si>
    <t>thread_id0read_num_ 147 sum read latency: 1525 avg latency : 10.3741</t>
  </si>
  <si>
    <t>thread_id0read_num_ 131 sum read latency: 1565 avg latency : 11.9466</t>
  </si>
  <si>
    <t>thread_id0read_num_ 97 sum read latency: 901 avg latency : 9.28866</t>
  </si>
  <si>
    <t>thread_id0read_num_ 58 sum read latency: 647 avg latency : 11.1552</t>
  </si>
  <si>
    <t>thread_id0read_num_ 29 sum read latency: 285 avg latency : 9.82759</t>
  </si>
  <si>
    <t>thread_id0read_num_ 140 sum read latency: 1722 avg latency : 12.3</t>
  </si>
  <si>
    <t>thread_id0read_num_ 153 sum read latency: 1897 avg latency : 12.3987</t>
  </si>
  <si>
    <t>=========================================================================</t>
  </si>
  <si>
    <t>========================================================================</t>
  </si>
  <si>
    <t>====================================================================</t>
  </si>
  <si>
    <t>误差棒</t>
  </si>
  <si>
    <t xml:space="preserve">write 95th percentile latency is 4.916 </t>
  </si>
  <si>
    <t xml:space="preserve">write 99th percentile latency is 6.267 </t>
  </si>
  <si>
    <t>thread_id0 send_num_ 150 sum write latency: 567 avg latency : 3.78</t>
  </si>
  <si>
    <t>废弃</t>
  </si>
  <si>
    <t>FAST24-enable-rocksdb-</t>
  </si>
  <si>
    <t>1_to_1</t>
  </si>
  <si>
    <t>1_to_2</t>
  </si>
  <si>
    <t xml:space="preserve">Send 60000 33646 </t>
  </si>
  <si>
    <t xml:space="preserve">Send 60000 36399 </t>
  </si>
  <si>
    <t xml:space="preserve">Send 60000 37376 </t>
  </si>
  <si>
    <t xml:space="preserve">Send 60000 40194 </t>
  </si>
  <si>
    <t xml:space="preserve">Send 60000 48366 </t>
  </si>
  <si>
    <t xml:space="preserve">Send 60000 48919 </t>
  </si>
  <si>
    <t xml:space="preserve">Send 60000 50685 </t>
  </si>
  <si>
    <t xml:space="preserve">Send 60000 54265 </t>
  </si>
  <si>
    <t xml:space="preserve">Send 60000 57292 </t>
  </si>
  <si>
    <t xml:space="preserve">Send 60000 64016 </t>
  </si>
  <si>
    <t xml:space="preserve">Send 30000 33960 </t>
  </si>
  <si>
    <t xml:space="preserve">Send 30000 11572 </t>
  </si>
  <si>
    <t xml:space="preserve">Send 30000 19038 </t>
  </si>
  <si>
    <t xml:space="preserve">Send 60000 50800 </t>
  </si>
  <si>
    <t xml:space="preserve">Read 90th percentile latency is 20.927 </t>
  </si>
  <si>
    <t xml:space="preserve">write 90th percentile latency is 8.263 </t>
  </si>
  <si>
    <t xml:space="preserve">write 90th percentile latency is 8.666 </t>
  </si>
  <si>
    <t xml:space="preserve">write 90th percentile latency is 9.031 </t>
  </si>
  <si>
    <t xml:space="preserve">write 90th percentile latency is 9.94 </t>
  </si>
  <si>
    <t xml:space="preserve">write 90th percentile latency is 12.359 </t>
  </si>
  <si>
    <t xml:space="preserve">write 90th percentile latency is 14.391 </t>
  </si>
  <si>
    <t xml:space="preserve">write 90th percentile latency is 15.418 </t>
  </si>
  <si>
    <t xml:space="preserve">write 90th percentile latency is 14.959 </t>
  </si>
  <si>
    <t xml:space="preserve">write 90th percentile latency is 18.358 </t>
  </si>
  <si>
    <t xml:space="preserve">write 90th percentile latency is 30.185 </t>
  </si>
  <si>
    <t xml:space="preserve">write 90th percentile latency is 9.964 </t>
  </si>
  <si>
    <t xml:space="preserve">write 90th percentile latency is 11.27 </t>
  </si>
  <si>
    <t xml:space="preserve">write 90th percentile latency is 13.306 </t>
  </si>
  <si>
    <t xml:space="preserve">Read 95th percentile latency is 22.975 </t>
  </si>
  <si>
    <t xml:space="preserve">write 95th percentile latency is 17.843 </t>
  </si>
  <si>
    <t xml:space="preserve">write 95th percentile latency is 9.437 </t>
  </si>
  <si>
    <t xml:space="preserve">write 95th percentile latency is 11.377 </t>
  </si>
  <si>
    <t xml:space="preserve">write 95th percentile latency is 11.275 </t>
  </si>
  <si>
    <t xml:space="preserve">write 95th percentile latency is 16.629 </t>
  </si>
  <si>
    <t xml:space="preserve">write 95th percentile latency is 19.955 </t>
  </si>
  <si>
    <t xml:space="preserve">write 95th percentile latency is 20.341 </t>
  </si>
  <si>
    <t xml:space="preserve">write 95th percentile latency is 20.681 </t>
  </si>
  <si>
    <t xml:space="preserve">write 95th percentile latency is 28.639 </t>
  </si>
  <si>
    <t xml:space="preserve">write 95th percentile latency is 40.466 </t>
  </si>
  <si>
    <t xml:space="preserve">write 95th percentile latency is 10.338 </t>
  </si>
  <si>
    <t xml:space="preserve">write 95th percentile latency is 13.608 </t>
  </si>
  <si>
    <t xml:space="preserve">write 95th percentile latency is 18.765 </t>
  </si>
  <si>
    <t xml:space="preserve">Read 99th percentile latency is 33.067 </t>
  </si>
  <si>
    <t xml:space="preserve">write 99th percentile latency is 25.289 </t>
  </si>
  <si>
    <t xml:space="preserve">write 99th percentile latency is 18.558 </t>
  </si>
  <si>
    <t xml:space="preserve">write 99th percentile latency is 17.672 </t>
  </si>
  <si>
    <t xml:space="preserve">write 99th percentile latency is 20.549 </t>
  </si>
  <si>
    <t xml:space="preserve">write 99th percentile latency is 34.673 </t>
  </si>
  <si>
    <t xml:space="preserve">write 99th percentile latency is 43.996 </t>
  </si>
  <si>
    <t xml:space="preserve">write 99th percentile latency is 40.684 </t>
  </si>
  <si>
    <t xml:space="preserve">write 99th percentile latency is 36.313 </t>
  </si>
  <si>
    <t xml:space="preserve">write 99th percentile latency is 43.292 </t>
  </si>
  <si>
    <t xml:space="preserve">write 99th percentile latency is 55.733 </t>
  </si>
  <si>
    <t xml:space="preserve">write 99th percentile latency is 14.981 </t>
  </si>
  <si>
    <t xml:space="preserve">write 99th percentile latency is 25.502 </t>
  </si>
  <si>
    <t xml:space="preserve">write 99th percentile latency is 39.914 </t>
  </si>
  <si>
    <t xml:space="preserve">Read 90th percentile latency is 18.931 </t>
  </si>
  <si>
    <t xml:space="preserve">Read 90th percentile latency is 19.684 </t>
  </si>
  <si>
    <t xml:space="preserve">Read 90th percentile latency is 20.086 </t>
  </si>
  <si>
    <t xml:space="preserve">Read 90th percentile latency is 26.811 </t>
  </si>
  <si>
    <t xml:space="preserve">Read 90th percentile latency is 22.957 </t>
  </si>
  <si>
    <t xml:space="preserve">Read 90th percentile latency is 25.151 </t>
  </si>
  <si>
    <t xml:space="preserve">Read 90th percentile latency is 16.692 </t>
  </si>
  <si>
    <t xml:space="preserve">Read 90th percentile latency is 18.525 </t>
  </si>
  <si>
    <t xml:space="preserve">Read 90th percentile latency is 12.721 </t>
  </si>
  <si>
    <t xml:space="preserve">Read 90th percentile latency is 26.135 </t>
  </si>
  <si>
    <t xml:space="preserve">Read 95th percentile latency is 21.747 </t>
  </si>
  <si>
    <t xml:space="preserve">Read 95th percentile latency is 23.395 </t>
  </si>
  <si>
    <t xml:space="preserve">Read 95th percentile latency is 22.875 </t>
  </si>
  <si>
    <t xml:space="preserve">Read 95th percentile latency is 30.324 </t>
  </si>
  <si>
    <t xml:space="preserve">Read 95th percentile latency is 27.51 </t>
  </si>
  <si>
    <t xml:space="preserve">Read 95th percentile latency is 36.362 </t>
  </si>
  <si>
    <t xml:space="preserve">Read 95th percentile latency is 28.348 </t>
  </si>
  <si>
    <t xml:space="preserve">Read 95th percentile latency is 33.657 </t>
  </si>
  <si>
    <t xml:space="preserve">Read 95th percentile latency is 19.185 </t>
  </si>
  <si>
    <t xml:space="preserve">Read 95th percentile latency is 32.84 </t>
  </si>
  <si>
    <t xml:space="preserve">Read 99th percentile latency is 31.848 </t>
  </si>
  <si>
    <t xml:space="preserve">Read 99th percentile latency is 41.885 </t>
  </si>
  <si>
    <t xml:space="preserve">Read 99th percentile latency is 42.743 </t>
  </si>
  <si>
    <t xml:space="preserve">Read 99th percentile latency is 46.292 </t>
  </si>
  <si>
    <t xml:space="preserve">Read 99th percentile latency is 48.929 </t>
  </si>
  <si>
    <t xml:space="preserve">Read 99th percentile latency is 45.891 </t>
  </si>
  <si>
    <t xml:space="preserve">Read 99th percentile latency is 47.958 </t>
  </si>
  <si>
    <t xml:space="preserve">Read 99th percentile latency is 61.644 </t>
  </si>
  <si>
    <t xml:space="preserve">Read 99th percentile latency is 22.966 </t>
  </si>
  <si>
    <t xml:space="preserve">Read 99th percentile latency is 46.105 </t>
  </si>
  <si>
    <t>thread_id0 send_num_ 150 sum write latency: 1232 avg latency : 8.21333</t>
  </si>
  <si>
    <t>thread_id0 send_num_ 150 sum write latency: 1369 avg latency : 9.12667</t>
  </si>
  <si>
    <t>thread_id0 send_num_ 29 sum write latency: 210 avg latency : 7.24138</t>
  </si>
  <si>
    <t>thread_id0 send_num_ 51 sum write latency: 355 avg latency : 6.96078</t>
  </si>
  <si>
    <t>thread_id0 send_num_ 82 sum write latency: 585 avg latency : 7.13415</t>
  </si>
  <si>
    <t>thread_id0 send_num_ 113 sum write latency: 858 avg latency : 7.59292</t>
  </si>
  <si>
    <t>thread_id0 send_num_ 158 sum write latency: 1380 avg latency : 8.73418</t>
  </si>
  <si>
    <t>thread_id0 send_num_ 160 sum write latency: 1507 avg latency : 9.41875</t>
  </si>
  <si>
    <t>thread_id0 send_num_ 206 sum write latency: 2046 avg latency : 9.93204</t>
  </si>
  <si>
    <t>thread_id0 send_num_ 249 sum write latency: 2466 avg latency : 9.90361</t>
  </si>
  <si>
    <t>thread_id0 send_num_ 258 sum write latency: 2814 avg latency : 10.907</t>
  </si>
  <si>
    <t>thread_id0 send_num_ 150 sum write latency: 2061 avg latency : 13.74</t>
  </si>
  <si>
    <t>thread_id0 send_num_ 139 sum write latency: 1248 avg latency : 8.97842</t>
  </si>
  <si>
    <t>thread_id0read_num_ 300 sum read latency: 3488 avg latency : 11.6267</t>
  </si>
  <si>
    <t>thread_id0read_num_ 271 sum read latency: 3121 avg latency : 11.5166</t>
  </si>
  <si>
    <t>thread_id0read_num_ 249 sum read latency: 2928 avg latency : 11.759</t>
  </si>
  <si>
    <t>thread_id0read_num_ 218 sum read latency: 2561 avg latency : 11.7477</t>
  </si>
  <si>
    <t>thread_id0read_num_ 187 sum read latency: 2367 avg latency : 12.6578</t>
  </si>
  <si>
    <t>thread_id0read_num_ 142 sum read latency: 1667 avg latency : 11.7394</t>
  </si>
  <si>
    <t>thread_id0read_num_ 140 sum read latency: 1686 avg latency : 12.0429</t>
  </si>
  <si>
    <t>thread_id0read_num_ 94 sum read latency: 945 avg latency : 10.0532</t>
  </si>
  <si>
    <t>thread_id0read_num_ 51 sum read latency: 580 avg latency : 11.3725</t>
  </si>
  <si>
    <t>thread_id0read_num_ 42 sum read latency: 380 avg latency : 9.04762</t>
  </si>
  <si>
    <t>thread_id0read_num_ 161 sum read latency: 2199 avg latency : 13.6584</t>
  </si>
  <si>
    <t xml:space="preserve">Send 60000 33192 </t>
  </si>
  <si>
    <t xml:space="preserve">Send 60000 35531 </t>
  </si>
  <si>
    <t xml:space="preserve">Send 60000 38087 </t>
  </si>
  <si>
    <t xml:space="preserve">Send 60000 41620 </t>
  </si>
  <si>
    <t xml:space="preserve">Send 60000 47696 </t>
  </si>
  <si>
    <t xml:space="preserve">Send 60000 47340 </t>
  </si>
  <si>
    <t xml:space="preserve">Send 60000 49947 </t>
  </si>
  <si>
    <t xml:space="preserve">Send 60000 54021 </t>
  </si>
  <si>
    <t xml:space="preserve">Send 60000 57159 </t>
  </si>
  <si>
    <t xml:space="preserve">Send 60000 63076 </t>
  </si>
  <si>
    <t xml:space="preserve">Send 30000 34650 </t>
  </si>
  <si>
    <t xml:space="preserve">Send 60000 48713 </t>
  </si>
  <si>
    <t xml:space="preserve">Read 90th percentile latency is 20.709 </t>
  </si>
  <si>
    <t xml:space="preserve">write 90th percentile latency is 18.661 </t>
  </si>
  <si>
    <t xml:space="preserve">write 90th percentile latency is 8.832 </t>
  </si>
  <si>
    <t xml:space="preserve">write 90th percentile latency is 9.592 </t>
  </si>
  <si>
    <t xml:space="preserve">write 90th percentile latency is 10.94 </t>
  </si>
  <si>
    <t xml:space="preserve">write 90th percentile latency is 12.778 </t>
  </si>
  <si>
    <t xml:space="preserve">write 90th percentile latency is 11.71 </t>
  </si>
  <si>
    <t xml:space="preserve">write 90th percentile latency is 15.967 </t>
  </si>
  <si>
    <t xml:space="preserve">write 90th percentile latency is 14.962 </t>
  </si>
  <si>
    <t xml:space="preserve">write 90th percentile latency is 23.462 </t>
  </si>
  <si>
    <t xml:space="preserve">write 90th percentile latency is 23.071 </t>
  </si>
  <si>
    <t xml:space="preserve">write 90th percentile latency is 10.41 </t>
  </si>
  <si>
    <t xml:space="preserve">Read 95th percentile latency is 22.99 </t>
  </si>
  <si>
    <t xml:space="preserve">write 95th percentile latency is 20.61 </t>
  </si>
  <si>
    <t xml:space="preserve">write 95th percentile latency is 9.044 </t>
  </si>
  <si>
    <t xml:space="preserve">write 95th percentile latency is 11.058 </t>
  </si>
  <si>
    <t xml:space="preserve">write 95th percentile latency is 12.594 </t>
  </si>
  <si>
    <t xml:space="preserve">write 95th percentile latency is 15.694 </t>
  </si>
  <si>
    <t xml:space="preserve">write 95th percentile latency is 16.765 </t>
  </si>
  <si>
    <t xml:space="preserve">write 95th percentile latency is 18.328 </t>
  </si>
  <si>
    <t xml:space="preserve">write 95th percentile latency is 19.515 </t>
  </si>
  <si>
    <t xml:space="preserve">write 95th percentile latency is 28.57 </t>
  </si>
  <si>
    <t xml:space="preserve">write 95th percentile latency is 37.252 </t>
  </si>
  <si>
    <t xml:space="preserve">write 95th percentile latency is 13.121 </t>
  </si>
  <si>
    <t xml:space="preserve">Read 99th percentile latency is 27.087 </t>
  </si>
  <si>
    <t xml:space="preserve">write 99th percentile latency is 30.672 </t>
  </si>
  <si>
    <t xml:space="preserve">write 99th percentile latency is 25.879 </t>
  </si>
  <si>
    <t xml:space="preserve">write 99th percentile latency is 25.693 </t>
  </si>
  <si>
    <t xml:space="preserve">write 99th percentile latency is 19.7 </t>
  </si>
  <si>
    <t xml:space="preserve">write 99th percentile latency is 49.616 </t>
  </si>
  <si>
    <t xml:space="preserve">write 99th percentile latency is 27.154 </t>
  </si>
  <si>
    <t xml:space="preserve">write 99th percentile latency is 33.292 </t>
  </si>
  <si>
    <t xml:space="preserve">write 99th percentile latency is 36.166 </t>
  </si>
  <si>
    <t xml:space="preserve">write 99th percentile latency is 50.709 </t>
  </si>
  <si>
    <t xml:space="preserve">write 99th percentile latency is 58.781 </t>
  </si>
  <si>
    <t xml:space="preserve">write 99th percentile latency is 24.417 </t>
  </si>
  <si>
    <t xml:space="preserve">Read 90th percentile latency is 18.993 </t>
  </si>
  <si>
    <t xml:space="preserve">Read 90th percentile latency is 19.171 </t>
  </si>
  <si>
    <t xml:space="preserve">Read 90th percentile latency is 21.98 </t>
  </si>
  <si>
    <t xml:space="preserve">Read 90th percentile latency is 24.203 </t>
  </si>
  <si>
    <t xml:space="preserve">Read 90th percentile latency is 24.558 </t>
  </si>
  <si>
    <t xml:space="preserve">Read 90th percentile latency is 25.969 </t>
  </si>
  <si>
    <t xml:space="preserve">Read 90th percentile latency is 16.377 </t>
  </si>
  <si>
    <t xml:space="preserve">Read 90th percentile latency is 24.228 </t>
  </si>
  <si>
    <t xml:space="preserve">Read 90th percentile latency is 13.436 </t>
  </si>
  <si>
    <t xml:space="preserve">Read 90th percentile latency is 23.26 </t>
  </si>
  <si>
    <t xml:space="preserve">Read 95th percentile latency is 20.955 </t>
  </si>
  <si>
    <t xml:space="preserve">Read 95th percentile latency is 25.422 </t>
  </si>
  <si>
    <t xml:space="preserve">Read 95th percentile latency is 25.634 </t>
  </si>
  <si>
    <t xml:space="preserve">Read 95th percentile latency is 31.062 </t>
  </si>
  <si>
    <t xml:space="preserve">Read 95th percentile latency is 31.841 </t>
  </si>
  <si>
    <t xml:space="preserve">Read 95th percentile latency is 31.963 </t>
  </si>
  <si>
    <t xml:space="preserve">Read 95th percentile latency is 24.394 </t>
  </si>
  <si>
    <t xml:space="preserve">Read 95th percentile latency is 42.985 </t>
  </si>
  <si>
    <t xml:space="preserve">Read 95th percentile latency is 19.476 </t>
  </si>
  <si>
    <t xml:space="preserve">Read 95th percentile latency is 29.352 </t>
  </si>
  <si>
    <t xml:space="preserve">Read 99th percentile latency is 25.788 </t>
  </si>
  <si>
    <t xml:space="preserve">Read 99th percentile latency is 36.249 </t>
  </si>
  <si>
    <t xml:space="preserve">Read 99th percentile latency is 38.39 </t>
  </si>
  <si>
    <t xml:space="preserve">Read 99th percentile latency is 50.953 </t>
  </si>
  <si>
    <t xml:space="preserve">Read 99th percentile latency is 44.561 </t>
  </si>
  <si>
    <t xml:space="preserve">Read 99th percentile latency is 49.981 </t>
  </si>
  <si>
    <t xml:space="preserve">Read 99th percentile latency is 40.314 </t>
  </si>
  <si>
    <t xml:space="preserve">Read 99th percentile latency is 48.021 </t>
  </si>
  <si>
    <t xml:space="preserve">Read 99th percentile latency is 31.978 </t>
  </si>
  <si>
    <t xml:space="preserve">Read 99th percentile latency is 55.013 </t>
  </si>
  <si>
    <t>thread_id0 send_num_ 29 sum write latency: 229 avg latency : 7.89655</t>
  </si>
  <si>
    <t>thread_id0 send_num_ 51 sum write latency: 366 avg latency : 7.17647</t>
  </si>
  <si>
    <t>thread_id0 send_num_ 82 sum write latency: 626 avg latency : 7.63415</t>
  </si>
  <si>
    <t>thread_id0 send_num_ 107 sum write latency: 823 avg latency : 7.69159</t>
  </si>
  <si>
    <t>thread_id0 send_num_ 158 sum write latency: 1424 avg latency : 9.01266</t>
  </si>
  <si>
    <t>thread_id0 send_num_ 160 sum write latency: 1384 avg latency : 8.65</t>
  </si>
  <si>
    <t>thread_id0 send_num_ 206 sum write latency: 1970 avg latency : 9.56311</t>
  </si>
  <si>
    <t>thread_id0 send_num_ 249 sum write latency: 2401 avg latency : 9.64257</t>
  </si>
  <si>
    <t>thread_id0 send_num_ 258 sum write latency: 2899 avg latency : 11.2364</t>
  </si>
  <si>
    <t>thread_id0 send_num_ 150 sum write latency: 1981 avg latency : 13.2067</t>
  </si>
  <si>
    <t>thread_id0 send_num_ 139 sum write latency: 1099 avg latency : 7.90647</t>
  </si>
  <si>
    <t>thread_id0read_num_ 300 sum read latency: 3599 avg latency : 11.9967</t>
  </si>
  <si>
    <t>thread_id0read_num_ 271 sum read latency: 3170 avg latency : 11.6974</t>
  </si>
  <si>
    <t>thread_id0read_num_ 249 sum read latency: 2915 avg latency : 11.7068</t>
  </si>
  <si>
    <t>thread_id0read_num_ 218 sum read latency: 2647 avg latency : 12.1422</t>
  </si>
  <si>
    <t>thread_id0read_num_ 193 sum read latency: 2534 avg latency : 13.1295</t>
  </si>
  <si>
    <t>thread_id0read_num_ 142 sum read latency: 1870 avg latency : 13.169</t>
  </si>
  <si>
    <t>thread_id0read_num_ 140 sum read latency: 1575 avg latency : 11.25</t>
  </si>
  <si>
    <t>thread_id0read_num_ 94 sum read latency: 946 avg latency : 10.0638</t>
  </si>
  <si>
    <t>thread_id0read_num_ 51 sum read latency: 621 avg latency : 12.1765</t>
  </si>
  <si>
    <t>thread_id0read_num_ 42 sum read latency: 408 avg latency : 9.71429</t>
  </si>
  <si>
    <t>thread_id0read_num_ 161 sum read latency: 2089 avg latency : 12.9752</t>
  </si>
  <si>
    <t xml:space="preserve">Send 60000 34203 </t>
  </si>
  <si>
    <t xml:space="preserve">Send 60000 36920 </t>
  </si>
  <si>
    <t xml:space="preserve">Send 60000 36786 </t>
  </si>
  <si>
    <t xml:space="preserve">Send 60000 40824 </t>
  </si>
  <si>
    <t xml:space="preserve">Send 60000 43340 </t>
  </si>
  <si>
    <t xml:space="preserve">Send 60000 48517 </t>
  </si>
  <si>
    <t xml:space="preserve">Send 60000 52002 </t>
  </si>
  <si>
    <t xml:space="preserve">Send 60000 54306 </t>
  </si>
  <si>
    <t xml:space="preserve">Send 60000 57674 </t>
  </si>
  <si>
    <t xml:space="preserve">Send 60000 61073 </t>
  </si>
  <si>
    <t xml:space="preserve">Send 30000 34272 </t>
  </si>
  <si>
    <t xml:space="preserve">Send 60000 48069 </t>
  </si>
  <si>
    <t xml:space="preserve">Read 90th percentile latency is 20.272 </t>
  </si>
  <si>
    <t xml:space="preserve">write 90th percentile latency is 16.91 </t>
  </si>
  <si>
    <t xml:space="preserve">write 90th percentile latency is 8.875 </t>
  </si>
  <si>
    <t xml:space="preserve">write 90th percentile latency is 8.677 </t>
  </si>
  <si>
    <t xml:space="preserve">write 90th percentile latency is 10.229 </t>
  </si>
  <si>
    <t xml:space="preserve">write 90th percentile latency is 10.939 </t>
  </si>
  <si>
    <t xml:space="preserve">write 90th percentile latency is 10.465 </t>
  </si>
  <si>
    <t xml:space="preserve">write 90th percentile latency is 15.792 </t>
  </si>
  <si>
    <t xml:space="preserve">write 90th percentile latency is 16.531 </t>
  </si>
  <si>
    <t xml:space="preserve">write 90th percentile latency is 13.443 </t>
  </si>
  <si>
    <t xml:space="preserve">write 90th percentile latency is 20.546 </t>
  </si>
  <si>
    <t xml:space="preserve">write 90th percentile latency is 13.8 </t>
  </si>
  <si>
    <t xml:space="preserve">Read 95th percentile latency is 22.083 </t>
  </si>
  <si>
    <t xml:space="preserve">write 95th percentile latency is 19.313 </t>
  </si>
  <si>
    <t xml:space="preserve">write 95th percentile latency is 10.804 </t>
  </si>
  <si>
    <t xml:space="preserve">write 95th percentile latency is 12.96 </t>
  </si>
  <si>
    <t xml:space="preserve">write 95th percentile latency is 12.803 </t>
  </si>
  <si>
    <t xml:space="preserve">write 95th percentile latency is 15.549 </t>
  </si>
  <si>
    <t xml:space="preserve">write 95th percentile latency is 12.29 </t>
  </si>
  <si>
    <t xml:space="preserve">write 95th percentile latency is 19.352 </t>
  </si>
  <si>
    <t xml:space="preserve">write 95th percentile latency is 20.422 </t>
  </si>
  <si>
    <t xml:space="preserve">write 95th percentile latency is 21.606 </t>
  </si>
  <si>
    <t xml:space="preserve">write 95th percentile latency is 32.26 </t>
  </si>
  <si>
    <t xml:space="preserve">write 95th percentile latency is 17.97 </t>
  </si>
  <si>
    <t xml:space="preserve">Read 99th percentile latency is 31.597 </t>
  </si>
  <si>
    <t xml:space="preserve">write 99th percentile latency is 24.744 </t>
  </si>
  <si>
    <t xml:space="preserve">write 99th percentile latency is 21.25 </t>
  </si>
  <si>
    <t xml:space="preserve">write 99th percentile latency is 34.985 </t>
  </si>
  <si>
    <t xml:space="preserve">write 99th percentile latency is 20.006 </t>
  </si>
  <si>
    <t xml:space="preserve">write 99th percentile latency is 32.634 </t>
  </si>
  <si>
    <t xml:space="preserve">write 99th percentile latency is 29.622 </t>
  </si>
  <si>
    <t xml:space="preserve">write 99th percentile latency is 27.363 </t>
  </si>
  <si>
    <t xml:space="preserve">write 99th percentile latency is 36.376 </t>
  </si>
  <si>
    <t xml:space="preserve">write 99th percentile latency is 30.682 </t>
  </si>
  <si>
    <t xml:space="preserve">write 99th percentile latency is 47.287 </t>
  </si>
  <si>
    <t xml:space="preserve">write 99th percentile latency is 28.84 </t>
  </si>
  <si>
    <t xml:space="preserve">Read 90th percentile latency is 19.271 </t>
  </si>
  <si>
    <t xml:space="preserve">Read 90th percentile latency is 18.766 </t>
  </si>
  <si>
    <t xml:space="preserve">Read 90th percentile latency is 19.799 </t>
  </si>
  <si>
    <t xml:space="preserve">Read 90th percentile latency is 22.69 </t>
  </si>
  <si>
    <t xml:space="preserve">Read 90th percentile latency is 26.113 </t>
  </si>
  <si>
    <t xml:space="preserve">Read 90th percentile latency is 28.994 </t>
  </si>
  <si>
    <t xml:space="preserve">Read 90th percentile latency is 19.444 </t>
  </si>
  <si>
    <t xml:space="preserve">Read 90th percentile latency is 21.28 </t>
  </si>
  <si>
    <t xml:space="preserve">Read 90th percentile latency is 13.93 </t>
  </si>
  <si>
    <t xml:space="preserve">Read 90th percentile latency is 25.624 </t>
  </si>
  <si>
    <t xml:space="preserve">Read 95th percentile latency is 20.471 </t>
  </si>
  <si>
    <t xml:space="preserve">Read 95th percentile latency is 23.48 </t>
  </si>
  <si>
    <t xml:space="preserve">Read 95th percentile latency is 28.69 </t>
  </si>
  <si>
    <t xml:space="preserve">Read 95th percentile latency is 28.528 </t>
  </si>
  <si>
    <t xml:space="preserve">Read 95th percentile latency is 33.683 </t>
  </si>
  <si>
    <t xml:space="preserve">Read 95th percentile latency is 42.787 </t>
  </si>
  <si>
    <t xml:space="preserve">Read 95th percentile latency is 43.245 </t>
  </si>
  <si>
    <t xml:space="preserve">Read 95th percentile latency is 33.248 </t>
  </si>
  <si>
    <t xml:space="preserve">Read 95th percentile latency is 17.96 </t>
  </si>
  <si>
    <t xml:space="preserve">Read 95th percentile latency is 31.623 </t>
  </si>
  <si>
    <t xml:space="preserve">Read 99th percentile latency is 25.491 </t>
  </si>
  <si>
    <t xml:space="preserve">Read 99th percentile latency is 41.665 </t>
  </si>
  <si>
    <t xml:space="preserve">Read 99th percentile latency is 38.727 </t>
  </si>
  <si>
    <t xml:space="preserve">Read 99th percentile latency is 43.281 </t>
  </si>
  <si>
    <t xml:space="preserve">Read 99th percentile latency is 39.907 </t>
  </si>
  <si>
    <t xml:space="preserve">Read 99th percentile latency is 62.694 </t>
  </si>
  <si>
    <t xml:space="preserve">Read 99th percentile latency is 64.674 </t>
  </si>
  <si>
    <t xml:space="preserve">Read 99th percentile latency is 57.466 </t>
  </si>
  <si>
    <t xml:space="preserve">Read 99th percentile latency is 47.522 </t>
  </si>
  <si>
    <t xml:space="preserve">Read 99th percentile latency is 51.392 </t>
  </si>
  <si>
    <t>thread_id0 send_num_ 29 sum write latency: 220 avg latency : 7.58621</t>
  </si>
  <si>
    <t>thread_id0 send_num_ 51 sum write latency: 365 avg latency : 7.15686</t>
  </si>
  <si>
    <t>thread_id0 send_num_ 82 sum write latency: 628 avg latency : 7.65854</t>
  </si>
  <si>
    <t>thread_id0 send_num_ 107 sum write latency: 848 avg latency : 7.92523</t>
  </si>
  <si>
    <t>thread_id0 send_num_ 158 sum write latency: 1340 avg latency : 8.48101</t>
  </si>
  <si>
    <t>thread_id0 send_num_ 160 sum write latency: 1356 avg latency : 8.475</t>
  </si>
  <si>
    <t>thread_id0 send_num_ 206 sum write latency: 1992 avg latency : 9.6699</t>
  </si>
  <si>
    <t>thread_id0 send_num_ 249 sum write latency: 2465 avg latency : 9.8996</t>
  </si>
  <si>
    <t>thread_id0 send_num_ 258 sum write latency: 2448 avg latency : 9.48837</t>
  </si>
  <si>
    <t>thread_id0 send_num_ 150 sum write latency: 1912 avg latency : 12.7467</t>
  </si>
  <si>
    <t>thread_id0 send_num_ 139 sum write latency: 1203 avg latency : 8.65468</t>
  </si>
  <si>
    <t>thread_id0read_num_ 300 sum read latency: 3666 avg latency : 12.22</t>
  </si>
  <si>
    <t>thread_id0read_num_ 271 sum read latency: 3245 avg latency : 11.9742</t>
  </si>
  <si>
    <t>thread_id0read_num_ 249 sum read latency: 2859 avg latency : 11.4819</t>
  </si>
  <si>
    <t>thread_id0read_num_ 218 sum read latency: 2605 avg latency : 11.9495</t>
  </si>
  <si>
    <t>thread_id0read_num_ 193 sum read latency: 2333 avg latency : 12.0881</t>
  </si>
  <si>
    <t>thread_id0read_num_ 142 sum read latency: 1782 avg latency : 12.5493</t>
  </si>
  <si>
    <t>thread_id0read_num_ 140 sum read latency: 1852 avg latency : 13.2286</t>
  </si>
  <si>
    <t>thread_id0read_num_ 94 sum read latency: 1105 avg latency : 11.7553</t>
  </si>
  <si>
    <t>thread_id0read_num_ 51 sum read latency: 587 avg latency : 11.5098</t>
  </si>
  <si>
    <t>thread_id0read_num_ 42 sum read latency: 395 avg latency : 9.40476</t>
  </si>
  <si>
    <t>thread_id0read_num_ 161 sum read latency: 2067 avg latency : 12.8385</t>
  </si>
  <si>
    <t>zipifan</t>
  </si>
  <si>
    <t>FAST24-enable-rocksdb-read-two</t>
  </si>
  <si>
    <t xml:space="preserve">Send 60001 47713 </t>
  </si>
  <si>
    <t xml:space="preserve">Send 60001 48796 </t>
  </si>
  <si>
    <t xml:space="preserve">Send 60001 48543 </t>
  </si>
  <si>
    <t xml:space="preserve">Send 60001 50626 </t>
  </si>
  <si>
    <t xml:space="preserve">Send 60001 53665 </t>
  </si>
  <si>
    <t xml:space="preserve">Send 60001 62363 </t>
  </si>
  <si>
    <t xml:space="preserve">Send 60001 64119 </t>
  </si>
  <si>
    <t xml:space="preserve">Send 60001 65115 </t>
  </si>
  <si>
    <t xml:space="preserve">Send 60001 68007 </t>
  </si>
  <si>
    <t xml:space="preserve">Send 60001 67565 </t>
  </si>
  <si>
    <t xml:space="preserve">Send 30000 36009 </t>
  </si>
  <si>
    <t xml:space="preserve">Send 60001 59717 </t>
  </si>
  <si>
    <t xml:space="preserve">write 90th percentile latency is 29.531 </t>
  </si>
  <si>
    <t xml:space="preserve">write 90th percentile latency is 9.607 </t>
  </si>
  <si>
    <t xml:space="preserve">write 90th percentile latency is 14.512 </t>
  </si>
  <si>
    <t xml:space="preserve">write 90th percentile latency is 11.808 </t>
  </si>
  <si>
    <t xml:space="preserve">write 90th percentile latency is 11.387 </t>
  </si>
  <si>
    <t xml:space="preserve">write 90th percentile latency is 15.265 </t>
  </si>
  <si>
    <t xml:space="preserve">write 90th percentile latency is 14.784 </t>
  </si>
  <si>
    <t xml:space="preserve">write 90th percentile latency is 17.978 </t>
  </si>
  <si>
    <t xml:space="preserve">write 90th percentile latency is 17.523 </t>
  </si>
  <si>
    <t xml:space="preserve">write 90th percentile latency is 9.778 </t>
  </si>
  <si>
    <t xml:space="preserve">write 90th percentile latency is 13.368 </t>
  </si>
  <si>
    <t xml:space="preserve">write 95th percentile latency is 29.682 </t>
  </si>
  <si>
    <t xml:space="preserve">write 95th percentile latency is 11.121 </t>
  </si>
  <si>
    <t xml:space="preserve">write 95th percentile latency is 23.266 </t>
  </si>
  <si>
    <t xml:space="preserve">write 95th percentile latency is 14.475 </t>
  </si>
  <si>
    <t xml:space="preserve">write 95th percentile latency is 16.643 </t>
  </si>
  <si>
    <t xml:space="preserve">write 95th percentile latency is 18.188 </t>
  </si>
  <si>
    <t xml:space="preserve">write 95th percentile latency is 18.581 </t>
  </si>
  <si>
    <t xml:space="preserve">write 95th percentile latency is 24.703 </t>
  </si>
  <si>
    <t xml:space="preserve">write 95th percentile latency is 22.999 </t>
  </si>
  <si>
    <t xml:space="preserve">write 95th percentile latency is 10.17 </t>
  </si>
  <si>
    <t xml:space="preserve">write 95th percentile latency is 21.3 </t>
  </si>
  <si>
    <t xml:space="preserve">write 99th percentile latency is 32.717 </t>
  </si>
  <si>
    <t xml:space="preserve">write 99th percentile latency is 28.833 </t>
  </si>
  <si>
    <t xml:space="preserve">write 99th percentile latency is 26.731 </t>
  </si>
  <si>
    <t xml:space="preserve">write 99th percentile latency is 27.199 </t>
  </si>
  <si>
    <t xml:space="preserve">write 99th percentile latency is 26.914 </t>
  </si>
  <si>
    <t xml:space="preserve">write 99th percentile latency is 30.217 </t>
  </si>
  <si>
    <t xml:space="preserve">write 99th percentile latency is 28.625 </t>
  </si>
  <si>
    <t xml:space="preserve">write 99th percentile latency is 34.301 </t>
  </si>
  <si>
    <t xml:space="preserve">write 99th percentile latency is 31.836 </t>
  </si>
  <si>
    <t xml:space="preserve">write 99th percentile latency is 14.193 </t>
  </si>
  <si>
    <t xml:space="preserve">write 99th percentile latency is 31.825 </t>
  </si>
  <si>
    <t xml:space="preserve">Read 90th percentile latency is 25.73 </t>
  </si>
  <si>
    <t xml:space="preserve">Read 90th percentile latency is 19.024 </t>
  </si>
  <si>
    <t xml:space="preserve">Read 90th percentile latency is 18.185 </t>
  </si>
  <si>
    <t xml:space="preserve">Read 90th percentile latency is 19.715 </t>
  </si>
  <si>
    <t xml:space="preserve">Read 90th percentile latency is 18.377 </t>
  </si>
  <si>
    <t xml:space="preserve">Read 90th percentile latency is 27.756 </t>
  </si>
  <si>
    <t xml:space="preserve">Read 95th percentile latency is 28.7 </t>
  </si>
  <si>
    <t xml:space="preserve">Read 95th percentile latency is 22.87 </t>
  </si>
  <si>
    <t xml:space="preserve">Read 95th percentile latency is 21.02 </t>
  </si>
  <si>
    <t xml:space="preserve">Read 95th percentile latency is 28.493 </t>
  </si>
  <si>
    <t xml:space="preserve">Read 95th percentile latency is 22.115 </t>
  </si>
  <si>
    <t xml:space="preserve">Read 95th percentile latency is 30.2 </t>
  </si>
  <si>
    <t xml:space="preserve">Read 99th percentile latency is 33.156 </t>
  </si>
  <si>
    <t xml:space="preserve">Read 99th percentile latency is 33.077 </t>
  </si>
  <si>
    <t xml:space="preserve">Read 99th percentile latency is 43.564 </t>
  </si>
  <si>
    <t xml:space="preserve">Read 99th percentile latency is 43.637 </t>
  </si>
  <si>
    <t xml:space="preserve">Read 99th percentile latency is 24.041 </t>
  </si>
  <si>
    <t xml:space="preserve">Read 99th percentile latency is 35.981 </t>
  </si>
  <si>
    <t>thread_id0 send_num_ 27 sum write latency: 341 avg latency : 12.6296</t>
  </si>
  <si>
    <t>thread_id0 send_num_ 57 sum write latency: 444 avg latency : 7.78947</t>
  </si>
  <si>
    <t>thread_id0 send_num_ 95 sum write latency: 874 avg latency : 9.2</t>
  </si>
  <si>
    <t>thread_id0 send_num_ 135 sum write latency: 1192 avg latency : 8.82963</t>
  </si>
  <si>
    <t>thread_id0 send_num_ 153 sum write latency: 1343 avg latency : 8.77778</t>
  </si>
  <si>
    <t>thread_id0 send_num_ 209 sum write latency: 1945 avg latency : 9.30622</t>
  </si>
  <si>
    <t>thread_id0 send_num_ 209 sum write latency: 1963 avg latency : 9.39234</t>
  </si>
  <si>
    <t>thread_id0 send_num_ 232 sum write latency: 2448 avg latency : 10.5517</t>
  </si>
  <si>
    <t>thread_id0 send_num_ 264 sum write latency: 2652 avg latency : 10.0455</t>
  </si>
  <si>
    <t>thread_id0 send_num_ 150 sum write latency: 1215 avg latency : 8.1</t>
  </si>
  <si>
    <t>thread_id0 send_num_ 172 sum write latency: 1662 avg latency : 9.66279</t>
  </si>
  <si>
    <t>thread_id0read_num_ 300 sum read latency: 4405 avg latency : 14.6833</t>
  </si>
  <si>
    <t>thread_id0read_num_ 273 sum read latency: 3995 avg latency : 14.6337</t>
  </si>
  <si>
    <t>thread_id0read_num_ 243 sum read latency: 3182 avg latency : 13.0947</t>
  </si>
  <si>
    <t>thread_id0read_num_ 205 sum read latency: 2713 avg latency : 13.2341</t>
  </si>
  <si>
    <t>thread_id0read_num_ 165 sum read latency: 2199 avg latency : 13.3273</t>
  </si>
  <si>
    <t>thread_id0read_num_ 147 sum read latency: 2225 avg latency : 15.1361</t>
  </si>
  <si>
    <t>thread_id0read_num_ 91 sum read latency: 1187 avg latency : 13.044</t>
  </si>
  <si>
    <t>thread_id0read_num_ 91 sum read latency: 1306 avg latency : 14.3516</t>
  </si>
  <si>
    <t>thread_id0read_num_ 68 sum read latency: 745 avg latency : 10.9559</t>
  </si>
  <si>
    <t>thread_id0read_num_ 36 sum read latency: 356 avg latency : 9.88889</t>
  </si>
  <si>
    <t>thread_id0read_num_ 128 sum read latency: 1705 avg latency : 13.3203</t>
  </si>
  <si>
    <t xml:space="preserve">Send 60001 45896 </t>
  </si>
  <si>
    <t xml:space="preserve">Send 60001 49149 </t>
  </si>
  <si>
    <t xml:space="preserve">Send 60001 52457 </t>
  </si>
  <si>
    <t xml:space="preserve">Send 60001 52623 </t>
  </si>
  <si>
    <t xml:space="preserve">Send 60001 52121 </t>
  </si>
  <si>
    <t xml:space="preserve">Send 60001 62146 </t>
  </si>
  <si>
    <t xml:space="preserve">Send 60001 64522 </t>
  </si>
  <si>
    <t xml:space="preserve">Send 60001 65625 </t>
  </si>
  <si>
    <t xml:space="preserve">Send 60001 67413 </t>
  </si>
  <si>
    <t xml:space="preserve">Send 30000 35528 </t>
  </si>
  <si>
    <t xml:space="preserve">Send 60001 59379 </t>
  </si>
  <si>
    <t xml:space="preserve">write 90th percentile latency is 25.419 </t>
  </si>
  <si>
    <t xml:space="preserve">write 90th percentile latency is 16.746 </t>
  </si>
  <si>
    <t xml:space="preserve">write 90th percentile latency is 10.842 </t>
  </si>
  <si>
    <t xml:space="preserve">write 90th percentile latency is 12.095 </t>
  </si>
  <si>
    <t xml:space="preserve">write 90th percentile latency is 11.778 </t>
  </si>
  <si>
    <t xml:space="preserve">write 90th percentile latency is 13.086 </t>
  </si>
  <si>
    <t xml:space="preserve">write 90th percentile latency is 15.337 </t>
  </si>
  <si>
    <t xml:space="preserve">write 90th percentile latency is 18.681 </t>
  </si>
  <si>
    <t xml:space="preserve">write 90th percentile latency is 10.625 </t>
  </si>
  <si>
    <t xml:space="preserve">write 90th percentile latency is 14.358 </t>
  </si>
  <si>
    <t xml:space="preserve">write 95th percentile latency is 25.502 </t>
  </si>
  <si>
    <t xml:space="preserve">write 95th percentile latency is 25.52 </t>
  </si>
  <si>
    <t xml:space="preserve">write 95th percentile latency is 25.443 </t>
  </si>
  <si>
    <t xml:space="preserve">write 95th percentile latency is 16.185 </t>
  </si>
  <si>
    <t xml:space="preserve">write 95th percentile latency is 19.837 </t>
  </si>
  <si>
    <t xml:space="preserve">write 95th percentile latency is 18.622 </t>
  </si>
  <si>
    <t xml:space="preserve">write 95th percentile latency is 20.435 </t>
  </si>
  <si>
    <t xml:space="preserve">write 95th percentile latency is 21.232 </t>
  </si>
  <si>
    <t xml:space="preserve">write 95th percentile latency is 11.762 </t>
  </si>
  <si>
    <t xml:space="preserve">write 95th percentile latency is 18.306 </t>
  </si>
  <si>
    <t xml:space="preserve">write 99th percentile latency is 26.348 </t>
  </si>
  <si>
    <t xml:space="preserve">write 99th percentile latency is 25.64 </t>
  </si>
  <si>
    <t xml:space="preserve">write 99th percentile latency is 29.692 </t>
  </si>
  <si>
    <t xml:space="preserve">write 99th percentile latency is 20.74 </t>
  </si>
  <si>
    <t xml:space="preserve">write 99th percentile latency is 24.628 </t>
  </si>
  <si>
    <t xml:space="preserve">write 99th percentile latency is 36.235 </t>
  </si>
  <si>
    <t xml:space="preserve">write 99th percentile latency is 30.566 </t>
  </si>
  <si>
    <t xml:space="preserve">write 99th percentile latency is 29.33 </t>
  </si>
  <si>
    <t xml:space="preserve">write 99th percentile latency is 16.218 </t>
  </si>
  <si>
    <t xml:space="preserve">write 99th percentile latency is 24.291 </t>
  </si>
  <si>
    <t xml:space="preserve">Read 90th percentile latency is 25.144 </t>
  </si>
  <si>
    <t xml:space="preserve">Read 90th percentile latency is 20.959 </t>
  </si>
  <si>
    <t xml:space="preserve">Read 90th percentile latency is 18.745 </t>
  </si>
  <si>
    <t xml:space="preserve">Read 90th percentile latency is 27.027 </t>
  </si>
  <si>
    <t xml:space="preserve">Read 90th percentile latency is 24.959 </t>
  </si>
  <si>
    <t xml:space="preserve">Read 90th percentile latency is 27.163 </t>
  </si>
  <si>
    <t xml:space="preserve">Read 95th percentile latency is 28.261 </t>
  </si>
  <si>
    <t xml:space="preserve">Read 95th percentile latency is 28.086 </t>
  </si>
  <si>
    <t xml:space="preserve">Read 95th percentile latency is 25.728 </t>
  </si>
  <si>
    <t xml:space="preserve">Read 95th percentile latency is 28.494 </t>
  </si>
  <si>
    <t xml:space="preserve">Read 95th percentile latency is 27.865 </t>
  </si>
  <si>
    <t xml:space="preserve">Read 95th percentile latency is 30.009 </t>
  </si>
  <si>
    <t xml:space="preserve">Read 99th percentile latency is 42.148 </t>
  </si>
  <si>
    <t xml:space="preserve">Read 99th percentile latency is 36.871 </t>
  </si>
  <si>
    <t xml:space="preserve">Read 99th percentile latency is 33.078 </t>
  </si>
  <si>
    <t xml:space="preserve">Read 99th percentile latency is 40.778 </t>
  </si>
  <si>
    <t xml:space="preserve">Read 99th percentile latency is 28.342 </t>
  </si>
  <si>
    <t xml:space="preserve">Read 99th percentile latency is 40.073 </t>
  </si>
  <si>
    <t>thread_id0 send_num_ 27 sum write latency: 354 avg latency : 13.1111</t>
  </si>
  <si>
    <t>thread_id0 send_num_ 57 sum write latency: 539 avg latency : 9.45614</t>
  </si>
  <si>
    <t>thread_id0 send_num_ 95 sum write latency: 873 avg latency : 9.18947</t>
  </si>
  <si>
    <t>thread_id0 send_num_ 135 sum write latency: 1184 avg latency : 8.77037</t>
  </si>
  <si>
    <t>thread_id0 send_num_ 153 sum write latency: 1374 avg latency : 8.98039</t>
  </si>
  <si>
    <t>thread_id0 send_num_ 173 sum write latency: 1600 avg latency : 9.24855</t>
  </si>
  <si>
    <t>thread_id0 send_num_ 232 sum write latency: 2243 avg latency : 9.6681</t>
  </si>
  <si>
    <t>thread_id0 send_num_ 264 sum write latency: 2599 avg latency : 9.8447</t>
  </si>
  <si>
    <t>thread_id0 send_num_ 150 sum write latency: 1291 avg latency : 8.60667</t>
  </si>
  <si>
    <t>thread_id0 send_num_ 172 sum write latency: 1558 avg latency : 9.05814</t>
  </si>
  <si>
    <t>thread_id0read_num_ 300 sum read latency: 4267 avg latency : 14.2233</t>
  </si>
  <si>
    <t>thread_id0read_num_ 273 sum read latency: 3988 avg latency : 14.6081</t>
  </si>
  <si>
    <t>thread_id0read_num_ 243 sum read latency: 3377 avg latency : 13.8971</t>
  </si>
  <si>
    <t>thread_id0read_num_ 205 sum read latency: 2771 avg latency : 13.5171</t>
  </si>
  <si>
    <t>thread_id0read_num_ 165 sum read latency: 2186 avg latency : 13.2485</t>
  </si>
  <si>
    <t>thread_id0read_num_ 147 sum read latency: 2130 avg latency : 14.4898</t>
  </si>
  <si>
    <t>thread_id0read_num_ 127 sum read latency: 1693 avg latency : 13.3307</t>
  </si>
  <si>
    <t>thread_id0read_num_ 68 sum read latency: 874 avg latency : 12.8529</t>
  </si>
  <si>
    <t>thread_id0read_num_ 36 sum read latency: 399 avg latency : 11.0833</t>
  </si>
  <si>
    <t>thread_id0read_num_ 128 sum read latency: 1671 avg latency : 13.0547</t>
  </si>
  <si>
    <t xml:space="preserve">Send 60001 46838 </t>
  </si>
  <si>
    <t xml:space="preserve">Send 60001 48009 </t>
  </si>
  <si>
    <t xml:space="preserve">Send 60001 49521 </t>
  </si>
  <si>
    <t xml:space="preserve">Send 60001 51650 </t>
  </si>
  <si>
    <t xml:space="preserve">Send 60001 54086 </t>
  </si>
  <si>
    <t xml:space="preserve">Send 60001 62379 </t>
  </si>
  <si>
    <t xml:space="preserve">Send 60001 64140 </t>
  </si>
  <si>
    <t xml:space="preserve">Send 60001 65026 </t>
  </si>
  <si>
    <t xml:space="preserve">Send 60001 65197 </t>
  </si>
  <si>
    <t xml:space="preserve">Send 60001 68779 </t>
  </si>
  <si>
    <t xml:space="preserve">Send 30000 35470 </t>
  </si>
  <si>
    <t xml:space="preserve">Send 60001 61566 </t>
  </si>
  <si>
    <t xml:space="preserve">write 90th percentile latency is 22.723 </t>
  </si>
  <si>
    <t xml:space="preserve">write 90th percentile latency is 17.046 </t>
  </si>
  <si>
    <t xml:space="preserve">write 90th percentile latency is 16.168 </t>
  </si>
  <si>
    <t xml:space="preserve">write 90th percentile latency is 14.382 </t>
  </si>
  <si>
    <t xml:space="preserve">write 90th percentile latency is 11.399 </t>
  </si>
  <si>
    <t xml:space="preserve">write 90th percentile latency is 14.228 </t>
  </si>
  <si>
    <t xml:space="preserve">write 90th percentile latency is 12.646 </t>
  </si>
  <si>
    <t xml:space="preserve">write 90th percentile latency is 17.96 </t>
  </si>
  <si>
    <t xml:space="preserve">write 90th percentile latency is 19.409 </t>
  </si>
  <si>
    <t xml:space="preserve">write 90th percentile latency is 9.57 </t>
  </si>
  <si>
    <t xml:space="preserve">write 90th percentile latency is 16.732 </t>
  </si>
  <si>
    <t xml:space="preserve">write 95th percentile latency is 24.366 </t>
  </si>
  <si>
    <t xml:space="preserve">write 95th percentile latency is 22.33 </t>
  </si>
  <si>
    <t xml:space="preserve">write 95th percentile latency is 20.808 </t>
  </si>
  <si>
    <t xml:space="preserve">write 95th percentile latency is 20.323 </t>
  </si>
  <si>
    <t xml:space="preserve">write 95th percentile latency is 12.875 </t>
  </si>
  <si>
    <t xml:space="preserve">write 95th percentile latency is 18.993 </t>
  </si>
  <si>
    <t xml:space="preserve">write 95th percentile latency is 18.285 </t>
  </si>
  <si>
    <t xml:space="preserve">write 95th percentile latency is 22.788 </t>
  </si>
  <si>
    <t xml:space="preserve">write 95th percentile latency is 25.08 </t>
  </si>
  <si>
    <t xml:space="preserve">write 95th percentile latency is 10.304 </t>
  </si>
  <si>
    <t xml:space="preserve">write 95th percentile latency is 19.621 </t>
  </si>
  <si>
    <t xml:space="preserve">write 99th percentile latency is 26.487 </t>
  </si>
  <si>
    <t xml:space="preserve">write 99th percentile latency is 29.543 </t>
  </si>
  <si>
    <t xml:space="preserve">write 99th percentile latency is 37.55 </t>
  </si>
  <si>
    <t xml:space="preserve">write 99th percentile latency is 28.798 </t>
  </si>
  <si>
    <t xml:space="preserve">write 99th percentile latency is 23.037 </t>
  </si>
  <si>
    <t xml:space="preserve">write 99th percentile latency is 33.242 </t>
  </si>
  <si>
    <t xml:space="preserve">write 99th percentile latency is 26.592 </t>
  </si>
  <si>
    <t xml:space="preserve">write 99th percentile latency is 30.052 </t>
  </si>
  <si>
    <t xml:space="preserve">write 99th percentile latency is 35.843 </t>
  </si>
  <si>
    <t xml:space="preserve">write 99th percentile latency is 14.206 </t>
  </si>
  <si>
    <t xml:space="preserve">write 99th percentile latency is 32.973 </t>
  </si>
  <si>
    <t xml:space="preserve">Read 90th percentile latency is 22.365 </t>
  </si>
  <si>
    <t xml:space="preserve">Read 90th percentile latency is 18.592 </t>
  </si>
  <si>
    <t xml:space="preserve">Read 90th percentile latency is 20.024 </t>
  </si>
  <si>
    <t xml:space="preserve">Read 90th percentile latency is 25.635 </t>
  </si>
  <si>
    <t xml:space="preserve">Read 90th percentile latency is 30.229 </t>
  </si>
  <si>
    <t xml:space="preserve">Read 90th percentile latency is 27.655 </t>
  </si>
  <si>
    <t xml:space="preserve">Read 95th percentile latency is 25.376 </t>
  </si>
  <si>
    <t xml:space="preserve">Read 95th percentile latency is 25.495 </t>
  </si>
  <si>
    <t xml:space="preserve">Read 95th percentile latency is 28.402 </t>
  </si>
  <si>
    <t xml:space="preserve">Read 95th percentile latency is 30.662 </t>
  </si>
  <si>
    <t xml:space="preserve">Read 95th percentile latency is 33.277 </t>
  </si>
  <si>
    <t xml:space="preserve">Read 95th percentile latency is 33.679 </t>
  </si>
  <si>
    <t xml:space="preserve">Read 99th percentile latency is 33.45 </t>
  </si>
  <si>
    <t xml:space="preserve">Read 99th percentile latency is 29.562 </t>
  </si>
  <si>
    <t xml:space="preserve">Read 99th percentile latency is 44.223 </t>
  </si>
  <si>
    <t xml:space="preserve">Read 99th percentile latency is 41.498 </t>
  </si>
  <si>
    <t xml:space="preserve">Read 99th percentile latency is 45.793 </t>
  </si>
  <si>
    <t xml:space="preserve">Read 99th percentile latency is 42.89 </t>
  </si>
  <si>
    <t>thread_id0 send_num_ 27 sum write latency: 270 avg latency : 10</t>
  </si>
  <si>
    <t>thread_id0 send_num_ 57 sum write latency: 503 avg latency : 8.82456</t>
  </si>
  <si>
    <t>thread_id0 send_num_ 95 sum write latency: 948 avg latency : 9.97895</t>
  </si>
  <si>
    <t>thread_id0 send_num_ 135 sum write latency: 1230 avg latency : 9.11111</t>
  </si>
  <si>
    <t>thread_id0 send_num_ 153 sum write latency: 1302 avg latency : 8.5098</t>
  </si>
  <si>
    <t>thread_id0 send_num_ 173 sum write latency: 1616 avg latency : 9.34104</t>
  </si>
  <si>
    <t>thread_id0 send_num_ 209 sum write latency: 1885 avg latency : 9.01914</t>
  </si>
  <si>
    <t>thread_id0 send_num_ 232 sum write latency: 2258 avg latency : 9.73276</t>
  </si>
  <si>
    <t>thread_id0 send_num_ 264 sum write latency: 2724 avg latency : 10.3182</t>
  </si>
  <si>
    <t>thread_id0 send_num_ 150 sum write latency: 1219 avg latency : 8.12667</t>
  </si>
  <si>
    <t>thread_id0 send_num_ 172 sum write latency: 1660 avg latency : 9.65116</t>
  </si>
  <si>
    <t>thread_id0read_num_ 300 sum read latency: 4274 avg latency : 14.2467</t>
  </si>
  <si>
    <t>thread_id0read_num_ 273 sum read latency: 3793 avg latency : 13.8938</t>
  </si>
  <si>
    <t>thread_id0read_num_ 243 sum read latency: 3269 avg latency : 13.4527</t>
  </si>
  <si>
    <t>thread_id0read_num_ 205 sum read latency: 2925 avg latency : 14.2683</t>
  </si>
  <si>
    <t>thread_id0read_num_ 165 sum read latency: 2123 avg latency : 12.8667</t>
  </si>
  <si>
    <t>thread_id0read_num_ 147 sum read latency: 2303 avg latency : 15.6667</t>
  </si>
  <si>
    <t>thread_id0read_num_ 127 sum read latency: 1771 avg latency : 13.9449</t>
  </si>
  <si>
    <t>thread_id0read_num_ 91 sum read latency: 1368 avg latency : 15.033</t>
  </si>
  <si>
    <t>thread_id0read_num_ 68 sum read latency: 851 avg latency : 12.5147</t>
  </si>
  <si>
    <t>thread_id0read_num_ 36 sum read latency: 462 avg latency : 12.8333</t>
  </si>
  <si>
    <t>thread_id0read_num_ 128 sum read latency: 1837 avg latency : 14.3516</t>
  </si>
  <si>
    <t>======</t>
  </si>
  <si>
    <t>==============================================================</t>
  </si>
  <si>
    <t>VLDB-enable-rocksdb</t>
  </si>
  <si>
    <t>Send 30000 106474  collision 0</t>
  </si>
  <si>
    <t>Send 60000 76150  collision 0</t>
  </si>
  <si>
    <t xml:space="preserve">write 90th percentile latency is 105.366 </t>
  </si>
  <si>
    <t xml:space="preserve">write 95th percentile latency is 109.314 </t>
  </si>
  <si>
    <t xml:space="preserve">write 99th percentile latency is 111.552 </t>
  </si>
  <si>
    <r>
      <rPr>
        <sz val="11"/>
        <color rgb="FF000000"/>
        <rFont val="宋体"/>
        <charset val="134"/>
        <scheme val="minor"/>
      </rPr>
      <t>write 90th percentile latency is 12.822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</si>
  <si>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25.889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</si>
  <si>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39.175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</si>
  <si>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49.712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</si>
  <si>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55.382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</si>
  <si>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55.315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</si>
  <si>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60.53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</si>
  <si>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51.438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</si>
  <si>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79.09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</si>
  <si>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78.866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</si>
  <si>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57.652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</si>
  <si>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63.799 </t>
  </si>
  <si>
    <r>
      <rPr>
        <sz val="11"/>
        <color rgb="FF000000"/>
        <rFont val="宋体"/>
        <charset val="134"/>
        <scheme val="minor"/>
      </rPr>
      <t>write 95th percentile latency is 18.727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</si>
  <si>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29.63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</si>
  <si>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44.26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</si>
  <si>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54.124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</si>
  <si>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58.425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</si>
  <si>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65.522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</si>
  <si>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69.117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</si>
  <si>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59.138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</si>
  <si>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92.024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</si>
  <si>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92.599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</si>
  <si>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85.694 </t>
  </si>
  <si>
    <t xml:space="preserve">write 90th percentile latency is 120.747 </t>
  </si>
  <si>
    <r>
      <rPr>
        <sz val="11"/>
        <color rgb="FF000000"/>
        <rFont val="宋体"/>
        <charset val="134"/>
        <scheme val="minor"/>
      </rPr>
      <t>write 95th percentile latency is 61.817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</si>
  <si>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65.231 </t>
  </si>
  <si>
    <r>
      <rPr>
        <sz val="11"/>
        <color rgb="FF000000"/>
        <rFont val="宋体"/>
        <charset val="134"/>
        <scheme val="minor"/>
      </rPr>
      <t>write 99th percentile latency is 22.275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</si>
  <si>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62.364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</si>
  <si>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49.585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</si>
  <si>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76.415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</si>
  <si>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78.693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</si>
  <si>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79.854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</si>
  <si>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93.465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</si>
  <si>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73.038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</si>
  <si>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103.705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</si>
  <si>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131.521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</si>
  <si>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86.333 </t>
  </si>
  <si>
    <t xml:space="preserve">write 95th percentile latency is 124.262 </t>
  </si>
  <si>
    <r>
      <rPr>
        <sz val="11"/>
        <color rgb="FF000000"/>
        <rFont val="宋体"/>
        <charset val="134"/>
        <scheme val="minor"/>
      </rPr>
      <t>write 99th percentile latency is 95.861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</si>
  <si>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96.771 </t>
  </si>
  <si>
    <r>
      <rPr>
        <sz val="11"/>
        <color rgb="FF000000"/>
        <rFont val="宋体"/>
        <charset val="134"/>
        <scheme val="minor"/>
      </rPr>
      <t>Read 90th percentile latency is 16.923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</si>
  <si>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17.634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</si>
  <si>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16.564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</si>
  <si>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17.772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</si>
  <si>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23.41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</si>
  <si>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32.659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</si>
  <si>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34.458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</si>
  <si>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45.236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</si>
  <si>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40.593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</si>
  <si>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51.308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</si>
  <si>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87.642 </t>
  </si>
  <si>
    <t xml:space="preserve">write 99th percentile latency is 128.472 </t>
  </si>
  <si>
    <r>
      <rPr>
        <sz val="11"/>
        <color rgb="FF000000"/>
        <rFont val="宋体"/>
        <charset val="134"/>
        <scheme val="minor"/>
      </rPr>
      <t>Read 90th percentile latency is 32.138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</si>
  <si>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90th percentile latency is 31.943 </t>
  </si>
  <si>
    <t>thread_id0 send_num_ 150 sum write latency: 11065 avg latency : 73.7667</t>
  </si>
  <si>
    <r>
      <rPr>
        <sz val="11"/>
        <color rgb="FF000000"/>
        <rFont val="宋体"/>
        <charset val="134"/>
        <scheme val="minor"/>
      </rPr>
      <t>Read 95th percentile latency is 18.481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</si>
  <si>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20.032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</si>
  <si>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26.302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</si>
  <si>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23.677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</si>
  <si>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34.95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</si>
  <si>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40.234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</si>
  <si>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45.838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</si>
  <si>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48.592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</si>
  <si>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45.935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</si>
  <si>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53.294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</si>
  <si>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37.413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</si>
  <si>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95th percentile latency is 39.982 </t>
  </si>
  <si>
    <r>
      <rPr>
        <sz val="11"/>
        <color rgb="FF000000"/>
        <rFont val="宋体"/>
        <charset val="134"/>
        <scheme val="minor"/>
      </rPr>
      <t>Read 99th percentile latency is 22.338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</si>
  <si>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25.192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</si>
  <si>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41.511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</si>
  <si>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45.051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</si>
  <si>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55.111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</si>
  <si>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52.473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</si>
  <si>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58.478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</si>
  <si>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57.09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</si>
  <si>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74.736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</si>
  <si>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88.223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</si>
  <si>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61.865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</si>
  <si>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99th percentile latency is 45.66 </t>
  </si>
  <si>
    <t>thread_id0 send_num_ 29 sum write latency: 273 avg latency : 9.41379</t>
  </si>
  <si>
    <t>thread_id0 send_num_ 54 sum write latency: 754 avg latency : 13.963</t>
  </si>
  <si>
    <t>thread_id0 send_num_ 90 sum write latency: 1743 avg latency : 19.3667</t>
  </si>
  <si>
    <t>thread_id0 send_num_ 116 sum write latency: 2988 avg latency : 25.7586</t>
  </si>
  <si>
    <t>thread_id0 send_num_ 149 sum write latency: 4554 avg latency : 30.5638</t>
  </si>
  <si>
    <t>thread_id0 send_num_ 172 sum write latency: 5698 avg latency : 33.1279</t>
  </si>
  <si>
    <t>thread_id0 send_num_ 205 sum write latency: 7160 avg latency : 34.9268</t>
  </si>
  <si>
    <t>thread_id0 send_num_ 228 sum write latency: 7150 avg latency : 31.3596</t>
  </si>
  <si>
    <t>thread_id0 send_num_ 266 sum write latency: 13607 avg latency : 51.1541</t>
  </si>
  <si>
    <t>thread_id0 send_num_ 150 sum write latency: 7386 avg latency : 49.24</t>
  </si>
  <si>
    <t>thread_id0 send_num_ 147 sum write latency: 4831 avg latency : 32.8639</t>
  </si>
  <si>
    <t>thread_id0 send_num_ 141 sum write latency: 6068 avg latency : 43.0355</t>
  </si>
  <si>
    <t>thread_id0read_num_ 300 sum read latency: 3128 avg latency : 10.4267</t>
  </si>
  <si>
    <t>thread_id0read_num_ 271 sum read latency: 2811 avg latency : 10.3727</t>
  </si>
  <si>
    <t>thread_id0read_num_ 246 sum read latency: 2586 avg latency : 10.5122</t>
  </si>
  <si>
    <t>thread_id0read_num_ 210 sum read latency: 2320 avg latency : 11.0476</t>
  </si>
  <si>
    <t>thread_id0read_num_ 184 sum read latency: 2154 avg latency : 11.7065</t>
  </si>
  <si>
    <t>thread_id0read_num_ 151 sum read latency: 2052 avg latency : 13.5894</t>
  </si>
  <si>
    <t>thread_id0read_num_ 128 sum read latency: 1849 avg latency : 14.4453</t>
  </si>
  <si>
    <t>thread_id0read_num_ 95 sum read latency: 1657 avg latency : 17.4421</t>
  </si>
  <si>
    <t>thread_id0read_num_ 72 sum read latency: 985 avg latency : 13.6806</t>
  </si>
  <si>
    <t>thread_id0read_num_ 34 sum read latency: 584 avg latency : 17.1765</t>
  </si>
  <si>
    <t>thread_id0 send_num_ 150 sum write latency: 10024 avg latency : 66.8267</t>
  </si>
  <si>
    <t>thread_id0 send_num_ 150 sum write latency: 13289 avg latency : 88.5933</t>
  </si>
  <si>
    <t>thread_id0read_num_ 153 sum read latency: 2130 avg latency : 13.9216</t>
  </si>
  <si>
    <t>thread_id0read_num_ 159 sum read latency: 2132 avg latency : 13.4088</t>
  </si>
  <si>
    <r>
      <rPr>
        <sz val="11"/>
        <color rgb="FF000000"/>
        <rFont val="宋体"/>
        <charset val="134"/>
        <scheme val="minor"/>
      </rPr>
      <t>Send 60000 30855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</si>
  <si>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60001 31667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</si>
  <si>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37405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</si>
  <si>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47924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</si>
  <si>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60047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</si>
  <si>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71229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</si>
  <si>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83760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</si>
  <si>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98359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</si>
  <si>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109452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</si>
  <si>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124305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</si>
  <si>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30000 67854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</si>
  <si>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t>Send 60000 75554  collision 0</t>
  </si>
  <si>
    <r>
      <rPr>
        <sz val="11"/>
        <color rgb="FF000000"/>
        <rFont val="宋体"/>
        <charset val="134"/>
        <scheme val="minor"/>
      </rPr>
      <t>write 90th percentile latency is 13.907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</si>
  <si>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28.383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</si>
  <si>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36.644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</si>
  <si>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44.506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</si>
  <si>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53.681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</si>
  <si>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51.303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</si>
  <si>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48.221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</si>
  <si>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54.951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</si>
  <si>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58.386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</si>
  <si>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79.644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</si>
  <si>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54.227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</si>
  <si>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63.955 </t>
  </si>
  <si>
    <r>
      <rPr>
        <sz val="11"/>
        <color rgb="FF000000"/>
        <rFont val="宋体"/>
        <charset val="134"/>
        <scheme val="minor"/>
      </rPr>
      <t>write 95th percentile latency is 20.237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</si>
  <si>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29.846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</si>
  <si>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40.549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</si>
  <si>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47.877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</si>
  <si>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56.205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</si>
  <si>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57.1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</si>
  <si>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54.213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</si>
  <si>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62.645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</si>
  <si>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72.599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</si>
  <si>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90.098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</si>
  <si>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58.606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</si>
  <si>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66.678 </t>
  </si>
  <si>
    <r>
      <rPr>
        <sz val="11"/>
        <color rgb="FF000000"/>
        <rFont val="宋体"/>
        <charset val="134"/>
        <scheme val="minor"/>
      </rPr>
      <t>write 99th percentile latency is 21.366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</si>
  <si>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35.411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</si>
  <si>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73.109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</si>
  <si>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49.846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</si>
  <si>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63.093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</si>
  <si>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73.483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</si>
  <si>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68.676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</si>
  <si>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82.813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</si>
  <si>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94.515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</si>
  <si>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140.049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</si>
  <si>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63.442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</si>
  <si>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77.562 </t>
  </si>
  <si>
    <r>
      <rPr>
        <sz val="11"/>
        <color rgb="FF000000"/>
        <rFont val="宋体"/>
        <charset val="134"/>
        <scheme val="minor"/>
      </rPr>
      <t>Read 90th percentile latency is 16.219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</si>
  <si>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15.825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</si>
  <si>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16.24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</si>
  <si>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17.761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</si>
  <si>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17.711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</si>
  <si>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21.24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</si>
  <si>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40.464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</si>
  <si>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36.402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</si>
  <si>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39.905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</si>
  <si>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29.703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</si>
  <si>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29.507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</si>
  <si>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90th percentile latency is 36.986 </t>
  </si>
  <si>
    <r>
      <rPr>
        <sz val="11"/>
        <color rgb="FF000000"/>
        <rFont val="宋体"/>
        <charset val="134"/>
        <scheme val="minor"/>
      </rPr>
      <t>Read 95th percentile latency is 18.174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</si>
  <si>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19.527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</si>
  <si>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24.314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</si>
  <si>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22.163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</si>
  <si>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28.618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</si>
  <si>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32.386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</si>
  <si>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42.813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</si>
  <si>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50.221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</si>
  <si>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53.038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</si>
  <si>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49.086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</si>
  <si>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41.755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</si>
  <si>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95th percentile latency is 43.464 </t>
  </si>
  <si>
    <r>
      <rPr>
        <sz val="11"/>
        <color rgb="FF000000"/>
        <rFont val="宋体"/>
        <charset val="134"/>
        <scheme val="minor"/>
      </rPr>
      <t>Read 99th percentile latency is 22.851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</si>
  <si>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31.509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</si>
  <si>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33.671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</si>
  <si>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40.33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</si>
  <si>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48.943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</si>
  <si>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35.344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</si>
  <si>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52.777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</si>
  <si>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66.995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</si>
  <si>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68.451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</si>
  <si>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86.451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</si>
  <si>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53.388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</si>
  <si>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99th percentile latency is 50.441 </t>
  </si>
  <si>
    <t>thread_id0 send_num_ 29 sum write latency: 268 avg latency : 9.24138</t>
  </si>
  <si>
    <t>thread_id0 send_num_ 54 sum write latency: 723 avg latency : 13.3889</t>
  </si>
  <si>
    <t>thread_id0 send_num_ 90 sum write latency: 1699 avg latency : 18.8778</t>
  </si>
  <si>
    <t>thread_id0 send_num_ 116 sum write latency: 2600 avg latency : 22.4138</t>
  </si>
  <si>
    <t>thread_id0 send_num_ 149 sum write latency: 4477 avg latency : 30.047</t>
  </si>
  <si>
    <t>thread_id0 send_num_ 172 sum write latency: 5027 avg latency : 29.2267</t>
  </si>
  <si>
    <t>thread_id0 send_num_ 205 sum write latency: 5860 avg latency : 28.5854</t>
  </si>
  <si>
    <t>thread_id0 send_num_ 228 sum write latency: 7557 avg latency : 33.1447</t>
  </si>
  <si>
    <t>thread_id0 send_num_ 266 sum write latency: 9196 avg latency : 34.5714</t>
  </si>
  <si>
    <t>thread_id0 send_num_ 150 sum write latency: 7707 avg latency : 51.38</t>
  </si>
  <si>
    <t>thread_id0 send_num_ 147 sum write latency: 4268 avg latency : 29.034</t>
  </si>
  <si>
    <t>thread_id0 send_num_ 141 sum write latency: 6004 avg latency : 42.5816</t>
  </si>
  <si>
    <t>thread_id0read_num_ 300 sum read latency: 2800 avg latency : 9.33333</t>
  </si>
  <si>
    <t>thread_id0read_num_ 271 sum read latency: 2659 avg latency : 9.81181</t>
  </si>
  <si>
    <t>thread_id0read_num_ 246 sum read latency: 2541 avg latency : 10.3293</t>
  </si>
  <si>
    <t>thread_id0read_num_ 210 sum read latency: 2211 avg latency : 10.5286</t>
  </si>
  <si>
    <t>thread_id0read_num_ 184 sum read latency: 1976 avg latency : 10.7391</t>
  </si>
  <si>
    <t>thread_id0read_num_ 151 sum read latency: 1584 avg latency : 10.4901</t>
  </si>
  <si>
    <t>thread_id0read_num_ 128 sum read latency: 1966 avg latency : 15.3594</t>
  </si>
  <si>
    <t>thread_id0read_num_ 95 sum read latency: 1362 avg latency : 14.3368</t>
  </si>
  <si>
    <t>thread_id0read_num_ 72 sum read latency: 1111 avg latency : 15.4306</t>
  </si>
  <si>
    <t>thread_id0read_num_ 34 sum read latency: 462 avg latency : 13.5882</t>
  </si>
  <si>
    <t>thread_id0read_num_ 153 sum read latency: 2013 avg latency : 13.1569</t>
  </si>
  <si>
    <t>thread_id0read_num_ 159 sum read latency: 2450 avg latency : 15.4088</t>
  </si>
  <si>
    <t>lc427@R750-427Server9:~/lcc/Striding_RQ/NetLR$ sudo ./lc_client_app 1 0 2 40000</t>
  </si>
  <si>
    <r>
      <rPr>
        <sz val="11"/>
        <color rgb="FF000000"/>
        <rFont val="宋体"/>
        <charset val="134"/>
        <scheme val="minor"/>
      </rPr>
      <t>Send 60000 31121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</si>
  <si>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60001 32666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</si>
  <si>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37835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</si>
  <si>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47695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</si>
  <si>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61931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</si>
  <si>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69888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</si>
  <si>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86245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</si>
  <si>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97487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</si>
  <si>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109569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</si>
  <si>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60000 123012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</si>
  <si>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r>
      <rPr>
        <sz val="11"/>
        <color rgb="FF000000"/>
        <rFont val="宋体"/>
        <charset val="134"/>
        <scheme val="minor"/>
      </rPr>
      <t>Send 30000 64617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collision 0</t>
    </r>
  </si>
  <si>
    <t>Send 60000 77439  collision 0</t>
  </si>
  <si>
    <r>
      <rPr>
        <sz val="11"/>
        <color rgb="FF000000"/>
        <rFont val="宋体"/>
        <charset val="134"/>
        <scheme val="minor"/>
      </rPr>
      <t>write 90th percentile latency is 10.909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</si>
  <si>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26.692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</si>
  <si>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37.041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</si>
  <si>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51.664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</si>
  <si>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51.935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</si>
  <si>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53.61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</si>
  <si>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57.874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</si>
  <si>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46.205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</si>
  <si>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54.884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</si>
  <si>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61.625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</si>
  <si>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90th percentile latency is 51.695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</si>
  <si>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64.054 </t>
  </si>
  <si>
    <r>
      <rPr>
        <sz val="11"/>
        <color rgb="FF000000"/>
        <rFont val="宋体"/>
        <charset val="134"/>
        <scheme val="minor"/>
      </rPr>
      <t>write 95th percentile latency is 22.985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</si>
  <si>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33.211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</si>
  <si>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41.906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</si>
  <si>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58.561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</si>
  <si>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55.738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</si>
  <si>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64.981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</si>
  <si>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63.138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</si>
  <si>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54.457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</si>
  <si>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63.19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</si>
  <si>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68.603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</si>
  <si>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95th percentile latency is 54.454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</si>
  <si>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95th percentile latency is 67.66 </t>
  </si>
  <si>
    <r>
      <rPr>
        <sz val="11"/>
        <color rgb="FF000000"/>
        <rFont val="宋体"/>
        <charset val="134"/>
        <scheme val="minor"/>
      </rPr>
      <t>write 99th percentile latency is 23.916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</si>
  <si>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35.556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</si>
  <si>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44.904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</si>
  <si>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68.781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</si>
  <si>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63.735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</si>
  <si>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71.885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</si>
  <si>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76.858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</si>
  <si>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79.655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</si>
  <si>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83.505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</si>
  <si>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88.707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</si>
  <si>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write 99th percentile latency is 78.221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</si>
  <si>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99th percentile latency is 78.124 </t>
  </si>
  <si>
    <r>
      <rPr>
        <sz val="11"/>
        <color rgb="FF000000"/>
        <rFont val="宋体"/>
        <charset val="134"/>
        <scheme val="minor"/>
      </rPr>
      <t>Read 90th percentile latency is 15.503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</si>
  <si>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17.497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</si>
  <si>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19.497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</si>
  <si>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19.437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</si>
  <si>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24.772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</si>
  <si>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26.451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</si>
  <si>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32.298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</si>
  <si>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47.174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</si>
  <si>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50.986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</si>
  <si>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56.609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</si>
  <si>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90th percentile latency is 30.845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</si>
  <si>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90th percentile latency is 30.301 </t>
  </si>
  <si>
    <r>
      <rPr>
        <sz val="11"/>
        <color rgb="FF000000"/>
        <rFont val="宋体"/>
        <charset val="134"/>
        <scheme val="minor"/>
      </rPr>
      <t>Read 95th percentile latency is 17.996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</si>
  <si>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23.809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</si>
  <si>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27.838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</si>
  <si>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26.034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</si>
  <si>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31.859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</si>
  <si>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39.497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</si>
  <si>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40.26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</si>
  <si>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54.237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</si>
  <si>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55.129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</si>
  <si>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60.915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</si>
  <si>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95th percentile latency is 39.065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</si>
  <si>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95th percentile latency is 36.269 </t>
  </si>
  <si>
    <r>
      <rPr>
        <sz val="11"/>
        <color rgb="FF000000"/>
        <rFont val="宋体"/>
        <charset val="134"/>
        <scheme val="minor"/>
      </rPr>
      <t>Read 99th percentile latency is 28.436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</si>
  <si>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35.575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</si>
  <si>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48.196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</si>
  <si>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38.034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</si>
  <si>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52.366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</si>
  <si>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53.774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</si>
  <si>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60.338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</si>
  <si>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71.243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</si>
  <si>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67.923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</si>
  <si>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68.613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</si>
  <si>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Read 99th percentile latency is 63.614</t>
    </r>
    <r>
      <rPr>
        <sz val="11"/>
        <color rgb="FF000000"/>
        <rFont val="宋体"/>
        <charset val="134"/>
        <scheme val="minor"/>
      </rPr>
      <t xml:space="preserve"> </t>
    </r>
  </si>
  <si>
    <t xml:space="preserve">Read 99th percentile latency is 51.034 </t>
  </si>
  <si>
    <t>thread_id0 send_num_ 29 sum write latency: 275 avg latency : 9.48276</t>
  </si>
  <si>
    <t>thread_id0 send_num_ 54 sum write latency: 701 avg latency : 12.9815</t>
  </si>
  <si>
    <t>thread_id0 send_num_ 90 sum write latency: 1580 avg latency : 17.5556</t>
  </si>
  <si>
    <t>thread_id0 send_num_ 116 sum write latency: 3201 avg latency : 27.5948</t>
  </si>
  <si>
    <t>thread_id0 send_num_ 149 sum write latency: 4469 avg latency : 29.9933</t>
  </si>
  <si>
    <t>thread_id0 send_num_ 172 sum write latency: 5318 avg latency : 30.9186</t>
  </si>
  <si>
    <t>thread_id0 send_num_ 205 sum write latency: 6771 avg latency : 33.0293</t>
  </si>
  <si>
    <t>thread_id0 send_num_ 228 sum write latency: 6617 avg latency : 29.0219</t>
  </si>
  <si>
    <t>thread_id0 send_num_ 266 sum write latency: 9253 avg latency : 34.7857</t>
  </si>
  <si>
    <t>thread_id0 send_num_ 150 sum write latency: 6295 avg latency : 41.9667</t>
  </si>
  <si>
    <t>thread_id0 send_num_ 147 sum write latency: 4205 avg latency : 28.6054</t>
  </si>
  <si>
    <t>thread_id0 send_num_ 141 sum write latency: 6935 avg latency : 49.1844</t>
  </si>
  <si>
    <t>thread_id0read_num_ 300 sum read latency: 2966 avg latency : 9.88667</t>
  </si>
  <si>
    <t>thread_id0read_num_ 271 sum read latency: 2890 avg latency : 10.6642</t>
  </si>
  <si>
    <t>thread_id0read_num_ 246 sum read latency: 2772 avg latency : 11.2683</t>
  </si>
  <si>
    <t>thread_id0read_num_ 210 sum read latency: 2173 avg latency : 10.3476</t>
  </si>
  <si>
    <t>thread_id0read_num_ 184 sum read latency: 2225 avg latency : 12.0924</t>
  </si>
  <si>
    <t>thread_id0read_num_ 151 sum read latency: 1856 avg latency : 12.2914</t>
  </si>
  <si>
    <t>thread_id0read_num_ 128 sum read latency: 1979 avg latency : 15.4609</t>
  </si>
  <si>
    <t>thread_id0read_num_ 95 sum read latency: 1603 avg latency : 16.8737</t>
  </si>
  <si>
    <t>thread_id0read_num_ 72 sum read latency: 1340 avg latency : 18.6111</t>
  </si>
  <si>
    <t>thread_id0read_num_ 34 sum read latency: 622 avg latency : 18.2941</t>
  </si>
  <si>
    <t>thread_id0read_num_ 153 sum read latency: 2050 avg latency : 13.3987</t>
  </si>
  <si>
    <t>thread_id0read_num_ 159 sum read latency: 2150 avg latency : 13.522</t>
  </si>
  <si>
    <t>=====</t>
  </si>
  <si>
    <t>==========</t>
  </si>
  <si>
    <t>=======================</t>
  </si>
  <si>
    <t>========================</t>
  </si>
  <si>
    <t>==========================</t>
  </si>
  <si>
    <t>=====================================</t>
  </si>
  <si>
    <t>=====================================================</t>
  </si>
  <si>
    <t>========================================</t>
  </si>
  <si>
    <t>====================================</t>
  </si>
  <si>
    <t>=================================</t>
  </si>
  <si>
    <t>50-50</t>
  </si>
  <si>
    <t xml:space="preserve">200 write 6549ns </t>
  </si>
  <si>
    <t xml:space="preserve">write 90th percentile latency is 63.702 </t>
  </si>
  <si>
    <t xml:space="preserve">201 read_latency 8758ns </t>
  </si>
  <si>
    <t xml:space="preserve">write 95th percentile latency is 67.436 </t>
  </si>
  <si>
    <t xml:space="preserve">202 read_latency 8501ns </t>
  </si>
  <si>
    <t xml:space="preserve">write 99th percentile latency is 138.575 </t>
  </si>
  <si>
    <t xml:space="preserve">203 read_latency 7901ns </t>
  </si>
  <si>
    <t xml:space="preserve">Read 90th percentile latency is 32.37 </t>
  </si>
  <si>
    <t xml:space="preserve">204 read_latency 7799ns </t>
  </si>
  <si>
    <t xml:space="preserve">Read 95th percentile latency is 39.067 </t>
  </si>
  <si>
    <t xml:space="preserve">205 write 7506ns </t>
  </si>
  <si>
    <t xml:space="preserve">Read 99th percentile latency is 47.625 </t>
  </si>
  <si>
    <t xml:space="preserve">206 read_latency 10028ns </t>
  </si>
  <si>
    <t xml:space="preserve">207 read_latency 13293ns </t>
  </si>
  <si>
    <t xml:space="preserve">208 read_latency 8813ns </t>
  </si>
  <si>
    <t xml:space="preserve">209 write 8113ns </t>
  </si>
  <si>
    <t>thread_id0 send_num_ 97 sum write latency: 4571 avg latency : 47.1237</t>
  </si>
  <si>
    <t xml:space="preserve">210 write 7930ns </t>
  </si>
  <si>
    <t>thread_id0read_num_ 103 sum read latency: 1508 avg latency : 14.6408</t>
  </si>
  <si>
    <t xml:space="preserve">211 read_latency 9641ns </t>
  </si>
  <si>
    <t xml:space="preserve">212 write 5706ns </t>
  </si>
  <si>
    <t xml:space="preserve">213 write 7556ns </t>
  </si>
  <si>
    <t xml:space="preserve">214 write 6917ns </t>
  </si>
  <si>
    <t xml:space="preserve">215 read_latency 8442ns </t>
  </si>
  <si>
    <t xml:space="preserve">216 write 6068ns </t>
  </si>
  <si>
    <t xml:space="preserve">217 read_latency 7465ns </t>
  </si>
  <si>
    <t xml:space="preserve">218 write 6846ns </t>
  </si>
  <si>
    <t xml:space="preserve">219 write 6969ns </t>
  </si>
  <si>
    <t xml:space="preserve">220 read_latency 7693ns </t>
  </si>
  <si>
    <t xml:space="preserve">221 write 6231ns </t>
  </si>
  <si>
    <t xml:space="preserve">222 read_latency 8393ns </t>
  </si>
  <si>
    <t xml:space="preserve">223 write 8427ns </t>
  </si>
  <si>
    <t xml:space="preserve">224 read_latency 8525ns </t>
  </si>
  <si>
    <t xml:space="preserve">225 write 8189ns </t>
  </si>
  <si>
    <t xml:space="preserve">226 read_latency 9214ns </t>
  </si>
  <si>
    <t xml:space="preserve">227 write 7290ns </t>
  </si>
  <si>
    <t xml:space="preserve">228 read_latency 7293ns </t>
  </si>
  <si>
    <t xml:space="preserve">229 read_latency 6897ns </t>
  </si>
  <si>
    <t xml:space="preserve">230 read_latency 24137ns </t>
  </si>
  <si>
    <t xml:space="preserve">231 read_latency 14118ns </t>
  </si>
  <si>
    <t xml:space="preserve">232 read_latency 8449ns </t>
  </si>
  <si>
    <t xml:space="preserve">233 read_latency 14837ns </t>
  </si>
  <si>
    <t xml:space="preserve">234 read_latency 9440ns </t>
  </si>
  <si>
    <t xml:space="preserve">235 write 6234ns </t>
  </si>
  <si>
    <t xml:space="preserve">236 write 7653ns </t>
  </si>
  <si>
    <t xml:space="preserve">237 read_latency 6817ns </t>
  </si>
  <si>
    <t xml:space="preserve">238 write 6404ns </t>
  </si>
  <si>
    <t xml:space="preserve">239 read_latency 8981ns </t>
  </si>
  <si>
    <t xml:space="preserve">240 read_latency 42471ns </t>
  </si>
  <si>
    <t xml:space="preserve">241 write 6744ns </t>
  </si>
  <si>
    <t xml:space="preserve">242 read_latency 8633ns </t>
  </si>
  <si>
    <t xml:space="preserve">243 read_latency 6458ns </t>
  </si>
  <si>
    <t xml:space="preserve">244 read_latency 7058ns </t>
  </si>
  <si>
    <t xml:space="preserve">245 read_latency 6783ns </t>
  </si>
  <si>
    <t xml:space="preserve">246 read_latency 11452ns </t>
  </si>
  <si>
    <t xml:space="preserve">247 read_latency 6288ns </t>
  </si>
  <si>
    <t xml:space="preserve">248 read_latency 10389ns </t>
  </si>
  <si>
    <t xml:space="preserve">249 read_latency 33925ns </t>
  </si>
  <si>
    <t xml:space="preserve">250 read_latency 19348ns </t>
  </si>
  <si>
    <t xml:space="preserve">251 read_latency 7402ns </t>
  </si>
  <si>
    <t xml:space="preserve">252 write 6420ns </t>
  </si>
  <si>
    <t xml:space="preserve">253 write 5782ns </t>
  </si>
  <si>
    <t xml:space="preserve">254 write 7446ns </t>
  </si>
  <si>
    <t xml:space="preserve">255 write 7270ns </t>
  </si>
  <si>
    <t xml:space="preserve">256 read_latency 16314ns </t>
  </si>
  <si>
    <t xml:space="preserve">257 write 5920ns </t>
  </si>
  <si>
    <t xml:space="preserve">258 read_latency 7512ns </t>
  </si>
  <si>
    <t xml:space="preserve">259 read_latency 16647ns </t>
  </si>
  <si>
    <t xml:space="preserve">190 read_latency 13376ns </t>
  </si>
  <si>
    <t xml:space="preserve">260 read_latency 10381ns </t>
  </si>
  <si>
    <t xml:space="preserve">191 write 3815ns </t>
  </si>
  <si>
    <t xml:space="preserve">write 90th percentile latency is 9.616 </t>
  </si>
  <si>
    <t xml:space="preserve">261 read_latency 10486ns </t>
  </si>
  <si>
    <t xml:space="preserve">192 write 4746ns </t>
  </si>
  <si>
    <t xml:space="preserve">write 95th percentile latency is 10.287 </t>
  </si>
  <si>
    <t xml:space="preserve">262 write 7822ns </t>
  </si>
  <si>
    <t xml:space="preserve">193 write 3451ns </t>
  </si>
  <si>
    <t xml:space="preserve">write 99th percentile latency is 24.784 </t>
  </si>
  <si>
    <t xml:space="preserve">263 read_latency 6743ns </t>
  </si>
  <si>
    <t xml:space="preserve">194 read_latency 13374ns </t>
  </si>
  <si>
    <t xml:space="preserve">264 read_latency 14170ns </t>
  </si>
  <si>
    <t xml:space="preserve">195 read_latency 11106ns </t>
  </si>
  <si>
    <t xml:space="preserve">265 read_latency 9946ns </t>
  </si>
  <si>
    <t xml:space="preserve">196 write 3536ns </t>
  </si>
  <si>
    <t xml:space="preserve">266 write 7373ns </t>
  </si>
  <si>
    <t xml:space="preserve">197 write 3616ns </t>
  </si>
  <si>
    <t>thread_id0 send_num_ 200 sum write latency: 1622 avg latency : 8.11</t>
  </si>
  <si>
    <t xml:space="preserve">267 write 8183ns </t>
  </si>
  <si>
    <t xml:space="preserve">198 read_latency 7254ns </t>
  </si>
  <si>
    <t xml:space="preserve">268 read_latency 6965ns </t>
  </si>
  <si>
    <t xml:space="preserve">199 read_latency 7129ns </t>
  </si>
  <si>
    <t xml:space="preserve">269 read_latency 8333ns </t>
  </si>
  <si>
    <t xml:space="preserve">write 90th percentile latency is 3.881 </t>
  </si>
  <si>
    <t xml:space="preserve">270 write 9278ns </t>
  </si>
  <si>
    <t xml:space="preserve">write 95th percentile latency is 4.151 </t>
  </si>
  <si>
    <t>^C</t>
  </si>
  <si>
    <t xml:space="preserve">271 write 7517ns </t>
  </si>
  <si>
    <t xml:space="preserve">write 99th percentile latency is 22.332 </t>
  </si>
  <si>
    <t xml:space="preserve">lc427@R750-427Server9:~/lcc/Striding_RQ/Ionia_client$ sudo ./lc_client_app 1 0 1 40000 </t>
  </si>
  <si>
    <t xml:space="preserve">272 write 8766ns </t>
  </si>
  <si>
    <t xml:space="preserve">Read 90th percentile latency is 11.63 </t>
  </si>
  <si>
    <t xml:space="preserve">273 write 7600ns </t>
  </si>
  <si>
    <t xml:space="preserve">Read 95th percentile latency is 12.621 </t>
  </si>
  <si>
    <t xml:space="preserve">274 read_latency 9569ns </t>
  </si>
  <si>
    <t xml:space="preserve">Read 99th percentile latency is 23.859 </t>
  </si>
  <si>
    <t xml:space="preserve">275 write 8545ns </t>
  </si>
  <si>
    <t xml:space="preserve">276 write 8133ns </t>
  </si>
  <si>
    <t xml:space="preserve">Send 40000 37280 </t>
  </si>
  <si>
    <t xml:space="preserve">277 read_latency 7626ns </t>
  </si>
  <si>
    <t xml:space="preserve">278 write 45027ns </t>
  </si>
  <si>
    <t>thread_id0 send_num_ 97 sum write latency: 316 avg latency : 3.25773</t>
  </si>
  <si>
    <t xml:space="preserve">279 read_latency 9369ns </t>
  </si>
  <si>
    <t>thread_id0read_num_ 103 sum read latency: 845 avg latency : 8.20388</t>
  </si>
  <si>
    <t xml:space="preserve">0 write 79014ns </t>
  </si>
  <si>
    <t xml:space="preserve">280 read_latency 8963ns </t>
  </si>
  <si>
    <t xml:space="preserve">1 write 9962ns </t>
  </si>
  <si>
    <t xml:space="preserve">281 read_latency 23111ns </t>
  </si>
  <si>
    <t xml:space="preserve">2 write 11651ns </t>
  </si>
  <si>
    <t xml:space="preserve">282 read_latency 9439ns </t>
  </si>
  <si>
    <t xml:space="preserve">3 write 11339ns </t>
  </si>
  <si>
    <t xml:space="preserve">283 read_latency 7343ns </t>
  </si>
  <si>
    <t xml:space="preserve">4 write 8911ns </t>
  </si>
  <si>
    <t xml:space="preserve">284 read_latency 10030ns </t>
  </si>
  <si>
    <t xml:space="preserve">5 write 10904ns </t>
  </si>
  <si>
    <t xml:space="preserve">285 read_latency 7975ns </t>
  </si>
  <si>
    <t xml:space="preserve">6 write 10836ns </t>
  </si>
  <si>
    <t xml:space="preserve">286 read_latency 6676ns </t>
  </si>
  <si>
    <t xml:space="preserve">7 write 8297ns </t>
  </si>
  <si>
    <t xml:space="preserve">287 write 5756ns </t>
  </si>
  <si>
    <t xml:space="preserve">8 write 9906ns </t>
  </si>
  <si>
    <t xml:space="preserve">288 read_latency 10194ns </t>
  </si>
  <si>
    <t xml:space="preserve">9 write 9721ns </t>
  </si>
  <si>
    <t xml:space="preserve">289 write 6003ns </t>
  </si>
  <si>
    <t xml:space="preserve">10 write 10331ns </t>
  </si>
  <si>
    <t xml:space="preserve">290 write 6816ns </t>
  </si>
  <si>
    <t xml:space="preserve">11 write 9054ns </t>
  </si>
  <si>
    <t xml:space="preserve">291 write 6102ns </t>
  </si>
  <si>
    <t xml:space="preserve">12 write 9136ns </t>
  </si>
  <si>
    <t xml:space="preserve">292 read_latency 11694ns </t>
  </si>
  <si>
    <t xml:space="preserve">13 write 8718ns </t>
  </si>
  <si>
    <t xml:space="preserve">293 write 7418ns </t>
  </si>
  <si>
    <t xml:space="preserve">14 write 8878ns </t>
  </si>
  <si>
    <t xml:space="preserve">294 write 6866ns </t>
  </si>
  <si>
    <t xml:space="preserve">15 write 9255ns </t>
  </si>
  <si>
    <t xml:space="preserve">295 write 7013ns </t>
  </si>
  <si>
    <t xml:space="preserve">16 write 8951ns </t>
  </si>
  <si>
    <t xml:space="preserve">296 write 6096ns </t>
  </si>
  <si>
    <t xml:space="preserve">17 write 10048ns </t>
  </si>
  <si>
    <t xml:space="preserve">297 write 7298ns </t>
  </si>
  <si>
    <t xml:space="preserve">18 write 8869ns </t>
  </si>
  <si>
    <t xml:space="preserve">298 read_latency 8488ns </t>
  </si>
  <si>
    <t xml:space="preserve">19 write 9105ns </t>
  </si>
  <si>
    <t xml:space="preserve">299 read_latency 8656ns </t>
  </si>
  <si>
    <t xml:space="preserve">20 write 8838ns </t>
  </si>
  <si>
    <t xml:space="preserve">21 write 9207ns </t>
  </si>
  <si>
    <t xml:space="preserve">write 90th percentile latency is 8.776 </t>
  </si>
  <si>
    <t xml:space="preserve">22 write 8994ns </t>
  </si>
  <si>
    <t xml:space="preserve">write 95th percentile latency is 19.987 </t>
  </si>
  <si>
    <t xml:space="preserve">23 write 9851ns </t>
  </si>
  <si>
    <t xml:space="preserve">write 99th percentile latency is 45.027 </t>
  </si>
  <si>
    <t xml:space="preserve">24 write 8059ns </t>
  </si>
  <si>
    <t xml:space="preserve">Read 90th percentile latency is 20.566 </t>
  </si>
  <si>
    <t xml:space="preserve">25 write 14584ns </t>
  </si>
  <si>
    <t xml:space="preserve">Read 95th percentile latency is 25.009 </t>
  </si>
  <si>
    <t xml:space="preserve">26 write 8616ns </t>
  </si>
  <si>
    <t xml:space="preserve">Read 99th percentile latency is 42.471 </t>
  </si>
  <si>
    <t xml:space="preserve">27 write 12254ns </t>
  </si>
  <si>
    <t xml:space="preserve">28 write 9833ns </t>
  </si>
  <si>
    <t xml:space="preserve">29 write 10452ns </t>
  </si>
  <si>
    <t xml:space="preserve">30 write 8326ns </t>
  </si>
  <si>
    <t>thread_id0 send_num_ 139 sum write latency: 1112 avg latency : 8</t>
  </si>
  <si>
    <t xml:space="preserve">31 write 8387ns </t>
  </si>
  <si>
    <t>thread_id0read_num_ 161 sum read latency: 1801 avg latency : 11.1863</t>
  </si>
  <si>
    <t xml:space="preserve">32 write 9267ns </t>
  </si>
  <si>
    <t xml:space="preserve">33 write 8107ns </t>
  </si>
  <si>
    <t xml:space="preserve">34 write 9001ns </t>
  </si>
  <si>
    <t xml:space="preserve">35 write 8917ns </t>
  </si>
  <si>
    <t xml:space="preserve">36 write 8903ns </t>
  </si>
  <si>
    <t xml:space="preserve">37 write 8143ns </t>
  </si>
  <si>
    <t xml:space="preserve">38 write 8703ns </t>
  </si>
  <si>
    <t xml:space="preserve">39 write 8937ns </t>
  </si>
  <si>
    <t xml:space="preserve">40 write 8659ns </t>
  </si>
  <si>
    <t xml:space="preserve">41 write 8159ns </t>
  </si>
  <si>
    <t xml:space="preserve">42 write 9714ns </t>
  </si>
  <si>
    <t xml:space="preserve">43 write 7505ns </t>
  </si>
  <si>
    <t xml:space="preserve">44 write 9002ns </t>
  </si>
  <si>
    <t xml:space="preserve">45 write 8690ns </t>
  </si>
  <si>
    <t xml:space="preserve">46 write 8403ns </t>
  </si>
  <si>
    <t xml:space="preserve">47 write 8462ns </t>
  </si>
  <si>
    <t xml:space="preserve">48 write 9335ns </t>
  </si>
  <si>
    <t xml:space="preserve">49 write 8196ns </t>
  </si>
  <si>
    <t xml:space="preserve">50 write 6776ns </t>
  </si>
  <si>
    <t xml:space="preserve">51 write 8045ns </t>
  </si>
  <si>
    <t xml:space="preserve">52 write 22212ns </t>
  </si>
  <si>
    <t xml:space="preserve">53 write 8258ns </t>
  </si>
  <si>
    <t xml:space="preserve">54 write 8094ns </t>
  </si>
  <si>
    <t xml:space="preserve">55 write 8126ns </t>
  </si>
  <si>
    <t xml:space="preserve">56 write 7404ns </t>
  </si>
  <si>
    <t xml:space="preserve">57 write 10377ns </t>
  </si>
  <si>
    <t xml:space="preserve">58 write 7892ns </t>
  </si>
  <si>
    <t xml:space="preserve">59 write 8727ns </t>
  </si>
  <si>
    <t xml:space="preserve">60 write 7227ns </t>
  </si>
  <si>
    <t xml:space="preserve">61 write 7517ns </t>
  </si>
  <si>
    <t xml:space="preserve">62 write 7315ns </t>
  </si>
  <si>
    <t xml:space="preserve">63 write 7979ns </t>
  </si>
  <si>
    <t xml:space="preserve">64 write 8385ns </t>
  </si>
  <si>
    <t xml:space="preserve">65 write 8041ns </t>
  </si>
  <si>
    <t xml:space="preserve">66 write 7420ns </t>
  </si>
  <si>
    <t xml:space="preserve">67 write 7495ns </t>
  </si>
  <si>
    <t xml:space="preserve">68 write 8450ns </t>
  </si>
  <si>
    <t xml:space="preserve">69 write 8914ns </t>
  </si>
  <si>
    <t xml:space="preserve">70 write 8468ns </t>
  </si>
  <si>
    <t xml:space="preserve">71 write 7638ns </t>
  </si>
  <si>
    <t xml:space="preserve">72 write 7607ns </t>
  </si>
  <si>
    <t xml:space="preserve">73 write 7478ns </t>
  </si>
  <si>
    <t xml:space="preserve">74 write 7855ns </t>
  </si>
  <si>
    <t xml:space="preserve">75 write 8029ns </t>
  </si>
  <si>
    <t xml:space="preserve">76 write 8493ns </t>
  </si>
  <si>
    <t xml:space="preserve">77 write 7234ns </t>
  </si>
  <si>
    <t xml:space="preserve">78 write 7337ns </t>
  </si>
  <si>
    <t xml:space="preserve">79 write 7838ns </t>
  </si>
  <si>
    <t xml:space="preserve">80 write 8495ns </t>
  </si>
  <si>
    <t xml:space="preserve">81 write 8254ns </t>
  </si>
  <si>
    <t xml:space="preserve">82 write 7688ns </t>
  </si>
  <si>
    <t xml:space="preserve">83 write 8823ns </t>
  </si>
  <si>
    <t xml:space="preserve">84 write 8078ns </t>
  </si>
  <si>
    <t xml:space="preserve">85 write 7864ns </t>
  </si>
  <si>
    <t xml:space="preserve">86 write 7326ns </t>
  </si>
  <si>
    <t xml:space="preserve">87 write 6198ns </t>
  </si>
  <si>
    <t xml:space="preserve">88 write 7664ns </t>
  </si>
  <si>
    <t xml:space="preserve">89 write 7211ns </t>
  </si>
  <si>
    <t xml:space="preserve">90 write 7767ns </t>
  </si>
  <si>
    <t xml:space="preserve">91 write 8639ns </t>
  </si>
  <si>
    <t xml:space="preserve">92 write 7946ns </t>
  </si>
  <si>
    <t xml:space="preserve">93 write 10109ns </t>
  </si>
  <si>
    <t xml:space="preserve">94 write 7249ns </t>
  </si>
  <si>
    <t xml:space="preserve">95 write 8119ns </t>
  </si>
  <si>
    <t xml:space="preserve">96 write 8523ns </t>
  </si>
  <si>
    <t xml:space="preserve">97 write 7828ns </t>
  </si>
  <si>
    <t xml:space="preserve">98 write 7514ns </t>
  </si>
  <si>
    <t xml:space="preserve">99 write 7856ns </t>
  </si>
  <si>
    <t xml:space="preserve">100 write 8187ns </t>
  </si>
  <si>
    <t xml:space="preserve">101 write 8178ns </t>
  </si>
  <si>
    <t xml:space="preserve">102 write 8438ns </t>
  </si>
  <si>
    <t xml:space="preserve">103 write 7457ns </t>
  </si>
  <si>
    <t xml:space="preserve">104 write 7612ns </t>
  </si>
  <si>
    <t xml:space="preserve">105 write 7346ns </t>
  </si>
  <si>
    <t xml:space="preserve">106 write 7873ns </t>
  </si>
  <si>
    <t xml:space="preserve">107 write 8154ns </t>
  </si>
  <si>
    <t xml:space="preserve">108 write 8401ns </t>
  </si>
  <si>
    <t xml:space="preserve">109 write 7663ns </t>
  </si>
  <si>
    <t xml:space="preserve">110 write 7654ns </t>
  </si>
  <si>
    <t xml:space="preserve">111 write 8341ns </t>
  </si>
  <si>
    <t xml:space="preserve">112 write 8095ns </t>
  </si>
  <si>
    <t xml:space="preserve">113 write 8380ns </t>
  </si>
  <si>
    <t xml:space="preserve">114 write 7835ns </t>
  </si>
  <si>
    <t xml:space="preserve">115 write 7613ns </t>
  </si>
  <si>
    <t xml:space="preserve">116 write 7885ns </t>
  </si>
  <si>
    <t xml:space="preserve">117 write 7711ns </t>
  </si>
  <si>
    <t xml:space="preserve">118 write 8694ns </t>
  </si>
  <si>
    <t xml:space="preserve">119 write 7333ns </t>
  </si>
  <si>
    <t xml:space="preserve">120 write 7636ns </t>
  </si>
  <si>
    <t xml:space="preserve">121 write 6913ns </t>
  </si>
  <si>
    <t xml:space="preserve">122 write 7351ns </t>
  </si>
  <si>
    <t xml:space="preserve">123 write 8845ns </t>
  </si>
  <si>
    <t xml:space="preserve">124 write 8492ns </t>
  </si>
  <si>
    <t xml:space="preserve">125 write 7516ns </t>
  </si>
  <si>
    <t xml:space="preserve">126 write 7328ns </t>
  </si>
  <si>
    <t xml:space="preserve">127 write 8327ns </t>
  </si>
  <si>
    <t xml:space="preserve">128 write 8946ns </t>
  </si>
  <si>
    <t xml:space="preserve">129 write 7727ns </t>
  </si>
  <si>
    <t xml:space="preserve">130 write 7855ns </t>
  </si>
  <si>
    <t xml:space="preserve">131 write 6878ns </t>
  </si>
  <si>
    <t xml:space="preserve">132 write 7606ns </t>
  </si>
  <si>
    <t xml:space="preserve">133 write 7365ns </t>
  </si>
  <si>
    <t xml:space="preserve">134 write 8948ns </t>
  </si>
  <si>
    <t xml:space="preserve">135 write 7689ns </t>
  </si>
  <si>
    <t xml:space="preserve">136 write 7698ns </t>
  </si>
  <si>
    <t xml:space="preserve">137 write 7097ns </t>
  </si>
  <si>
    <t xml:space="preserve">138 write 9078ns </t>
  </si>
  <si>
    <t xml:space="preserve">139 write 8116ns </t>
  </si>
  <si>
    <t xml:space="preserve">140 write 7704ns </t>
  </si>
  <si>
    <t xml:space="preserve">141 write 7359ns </t>
  </si>
  <si>
    <t xml:space="preserve">142 write 8244ns </t>
  </si>
  <si>
    <t xml:space="preserve">143 write 7888ns </t>
  </si>
  <si>
    <t xml:space="preserve">144 write 7778ns </t>
  </si>
  <si>
    <t xml:space="preserve">145 write 8689ns </t>
  </si>
  <si>
    <t xml:space="preserve">146 write 8233ns </t>
  </si>
  <si>
    <t xml:space="preserve">147 write 7376ns </t>
  </si>
  <si>
    <t xml:space="preserve">148 write 7693ns </t>
  </si>
  <si>
    <t xml:space="preserve">149 write 7715ns </t>
  </si>
  <si>
    <t xml:space="preserve">150 write 11687ns </t>
  </si>
  <si>
    <t xml:space="preserve">151 write 8792ns </t>
  </si>
  <si>
    <t xml:space="preserve">152 write 7266ns </t>
  </si>
  <si>
    <t xml:space="preserve">153 write 7447ns </t>
  </si>
  <si>
    <t xml:space="preserve">154 write 8050ns </t>
  </si>
  <si>
    <t xml:space="preserve">155 write 7711ns </t>
  </si>
  <si>
    <t xml:space="preserve">156 write 7447ns </t>
  </si>
  <si>
    <t xml:space="preserve">157 write 9383ns </t>
  </si>
  <si>
    <t xml:space="preserve">158 write 6990ns </t>
  </si>
  <si>
    <t xml:space="preserve">159 write 8147ns </t>
  </si>
  <si>
    <t xml:space="preserve">160 write 8277ns </t>
  </si>
  <si>
    <t xml:space="preserve">161 write 8081ns </t>
  </si>
  <si>
    <t xml:space="preserve">162 write 8484ns </t>
  </si>
  <si>
    <t xml:space="preserve">163 write 7272ns </t>
  </si>
  <si>
    <t xml:space="preserve">164 write 8643ns </t>
  </si>
  <si>
    <t xml:space="preserve">165 write 8062ns </t>
  </si>
  <si>
    <t xml:space="preserve">166 write 8869ns </t>
  </si>
  <si>
    <t xml:space="preserve">167 write 8608ns </t>
  </si>
  <si>
    <t xml:space="preserve">168 write 8213ns </t>
  </si>
  <si>
    <t xml:space="preserve">169 write 7697ns </t>
  </si>
  <si>
    <t xml:space="preserve">170 write 8312ns </t>
  </si>
  <si>
    <t xml:space="preserve">171 write 8387ns </t>
  </si>
  <si>
    <t xml:space="preserve">172 write 8193ns </t>
  </si>
  <si>
    <t xml:space="preserve">173 write 7704ns </t>
  </si>
  <si>
    <t xml:space="preserve">174 write 7829ns </t>
  </si>
  <si>
    <t xml:space="preserve">175 write 9819ns </t>
  </si>
  <si>
    <t xml:space="preserve">176 write 8658ns </t>
  </si>
  <si>
    <t xml:space="preserve">177 write 7969ns </t>
  </si>
  <si>
    <t xml:space="preserve">178 write 7135ns </t>
  </si>
  <si>
    <t xml:space="preserve">179 write 7636ns </t>
  </si>
  <si>
    <t xml:space="preserve">180 write 7486ns </t>
  </si>
  <si>
    <t xml:space="preserve">181 write 8601ns </t>
  </si>
  <si>
    <t xml:space="preserve">182 write 7159ns </t>
  </si>
  <si>
    <t xml:space="preserve">183 write 7561ns </t>
  </si>
  <si>
    <t xml:space="preserve">184 write 7512ns </t>
  </si>
  <si>
    <t xml:space="preserve">185 write 8048ns </t>
  </si>
  <si>
    <t xml:space="preserve">186 write 8026ns </t>
  </si>
  <si>
    <t xml:space="preserve">187 write 7303ns </t>
  </si>
  <si>
    <t xml:space="preserve">188 write 7536ns </t>
  </si>
  <si>
    <t xml:space="preserve">189 write 8075ns </t>
  </si>
  <si>
    <t xml:space="preserve">190 write 7579ns </t>
  </si>
  <si>
    <t xml:space="preserve">191 write 8371ns </t>
  </si>
  <si>
    <t xml:space="preserve">192 write 7291ns </t>
  </si>
  <si>
    <t xml:space="preserve">193 write 9052ns </t>
  </si>
  <si>
    <t xml:space="preserve">194 write 7664ns </t>
  </si>
  <si>
    <t xml:space="preserve">195 write 7815ns </t>
  </si>
  <si>
    <t xml:space="preserve">196 write 7504ns </t>
  </si>
  <si>
    <t xml:space="preserve">197 write 8230ns </t>
  </si>
  <si>
    <t xml:space="preserve">198 write 7972ns </t>
  </si>
  <si>
    <t xml:space="preserve">199 write 8059ns </t>
  </si>
  <si>
    <t xml:space="preserve">write 90th percentile latency is 9.721 </t>
  </si>
  <si>
    <t xml:space="preserve">write 95th percentile latency is 10.452 </t>
  </si>
  <si>
    <t xml:space="preserve">write 99th percentile latency is 22.212 </t>
  </si>
  <si>
    <t>thread_id0 send_num_ 200 sum write latency: 1648 avg latency : 8.24</t>
  </si>
  <si>
    <t>1_to_5</t>
  </si>
  <si>
    <t xml:space="preserve">Read 90th percentile latency is 22.009 </t>
  </si>
  <si>
    <t xml:space="preserve">Read 90th percentile latency is 17.505 </t>
  </si>
  <si>
    <t xml:space="preserve">Read 95th percentile latency is 23.954 </t>
  </si>
  <si>
    <t xml:space="preserve">Read 95th percentile latency is 18.098 </t>
  </si>
  <si>
    <t xml:space="preserve">Read 99th percentile latency is 34.756 </t>
  </si>
  <si>
    <t xml:space="preserve">Read 99th percentile latency is 19.902 </t>
  </si>
  <si>
    <t xml:space="preserve">Mix 90th percentile latency is 22.009 </t>
  </si>
  <si>
    <t xml:space="preserve">Mix 90th percentile latency is 17.505 </t>
  </si>
  <si>
    <t xml:space="preserve">Mix 95th percentile latency is 23.954 </t>
  </si>
  <si>
    <t xml:space="preserve">Mix 95th percentile latency is 18.098 </t>
  </si>
  <si>
    <t xml:space="preserve">Mix 99th percentile latency is 34.756 </t>
  </si>
  <si>
    <t xml:space="preserve">Mix 99th percentile latency is 19.902 </t>
  </si>
  <si>
    <t>thread_id0read_num_ 600 sum read latency: 8902 avg latency : 14.8367</t>
  </si>
  <si>
    <t>thread_id0read_num_ 600 sum read latency: 9065 avg latency : 15.1083</t>
  </si>
  <si>
    <t xml:space="preserve">Read 90th percentile latency is 22.864 </t>
  </si>
  <si>
    <t xml:space="preserve">Read 90th percentile latency is 17.531 </t>
  </si>
  <si>
    <t xml:space="preserve">Read 95th percentile latency is 24.306 </t>
  </si>
  <si>
    <t xml:space="preserve">Read 95th percentile latency is 17.959 </t>
  </si>
  <si>
    <t xml:space="preserve">Read 99th percentile latency is 30.499 </t>
  </si>
  <si>
    <t xml:space="preserve">Read 99th percentile latency is 19.551 </t>
  </si>
  <si>
    <t xml:space="preserve">Mix 90th percentile latency is 22.864 </t>
  </si>
  <si>
    <t xml:space="preserve">Mix 90th percentile latency is 17.531 </t>
  </si>
  <si>
    <t xml:space="preserve">Mix 95th percentile latency is 24.306 </t>
  </si>
  <si>
    <t xml:space="preserve">Mix 95th percentile latency is 17.959 </t>
  </si>
  <si>
    <t xml:space="preserve">Mix 99th percentile latency is 30.499 </t>
  </si>
  <si>
    <t xml:space="preserve">Mix 99th percentile latency is 19.551 </t>
  </si>
  <si>
    <t>thread_id0read_num_ 600 sum read latency: 8921 avg latency : 14.8683</t>
  </si>
  <si>
    <t xml:space="preserve">Read 90th percentile latency is 21.992 </t>
  </si>
  <si>
    <t xml:space="preserve">Read 90th percentile latency is 17.378 </t>
  </si>
  <si>
    <t xml:space="preserve">Read 95th percentile latency is 24.139 </t>
  </si>
  <si>
    <t xml:space="preserve">Read 95th percentile latency is 17.674 </t>
  </si>
  <si>
    <t xml:space="preserve">Read 99th percentile latency is 38.584 </t>
  </si>
  <si>
    <t xml:space="preserve">Read 99th percentile latency is 18.551 </t>
  </si>
  <si>
    <t xml:space="preserve">Mix 90th percentile latency is 21.992 </t>
  </si>
  <si>
    <t xml:space="preserve">Mix 90th percentile latency is 17.378 </t>
  </si>
  <si>
    <t xml:space="preserve">Mix 95th percentile latency is 24.139 </t>
  </si>
  <si>
    <t xml:space="preserve">Mix 95th percentile latency is 17.674 </t>
  </si>
  <si>
    <t xml:space="preserve">Mix 99th percentile latency is 38.584 </t>
  </si>
  <si>
    <t xml:space="preserve">Mix 99th percentile latency is 18.551 </t>
  </si>
  <si>
    <t>thread_id0read_num_ 600 sum read latency: 8827 avg latency : 14.7117</t>
  </si>
  <si>
    <t>thread_id0read_num_ 600 sum read latency: 8874 avg latency : 14.79</t>
  </si>
  <si>
    <t>IONIA</t>
  </si>
  <si>
    <t>read</t>
  </si>
  <si>
    <t>overall</t>
  </si>
  <si>
    <t>requests_.size 60000</t>
  </si>
  <si>
    <t>Send 60000 48811 us</t>
  </si>
  <si>
    <t>Send 60000 56537 us</t>
  </si>
  <si>
    <t>Send 60000 31417 us collision 0</t>
  </si>
  <si>
    <t>Send 60000 27468 us collision 0</t>
  </si>
  <si>
    <t>1753.74 mbps</t>
  </si>
  <si>
    <t>1514.08 mbps</t>
  </si>
  <si>
    <t>Send 60000 32212 us collision 0</t>
  </si>
  <si>
    <t>Send 60000 70082 us collision 0</t>
  </si>
  <si>
    <t>2724.7 mbps</t>
  </si>
  <si>
    <t>3116.42 mbps</t>
  </si>
  <si>
    <t>1.17229 mops</t>
  </si>
  <si>
    <t>1.01209 mops</t>
  </si>
  <si>
    <t>2657.45 mbps</t>
  </si>
  <si>
    <t>1221.45 mbps</t>
  </si>
  <si>
    <t>1.82132 mops</t>
  </si>
  <si>
    <t>2.08317 mops</t>
  </si>
  <si>
    <t xml:space="preserve">0 read_latency 103462ns </t>
  </si>
  <si>
    <t xml:space="preserve">0 write_latency 49103ns </t>
  </si>
  <si>
    <t>1.77637 mops</t>
  </si>
  <si>
    <t>0.816479 mops</t>
  </si>
  <si>
    <t xml:space="preserve">0 read_latency 20386ns </t>
  </si>
  <si>
    <t xml:space="preserve">0 read_latency 51182ns </t>
  </si>
  <si>
    <t xml:space="preserve">1 read_latency 37542ns </t>
  </si>
  <si>
    <t xml:space="preserve">1 write_latency 11767ns </t>
  </si>
  <si>
    <t xml:space="preserve">0 read_latency 103571ns </t>
  </si>
  <si>
    <t xml:space="preserve">0 read_latency 68597ns </t>
  </si>
  <si>
    <t xml:space="preserve">1 read_latency 6515ns </t>
  </si>
  <si>
    <t xml:space="preserve">1 write_latency 4107ns </t>
  </si>
  <si>
    <t xml:space="preserve">2 read_latency 15548ns </t>
  </si>
  <si>
    <t xml:space="preserve">2 write_latency 10458ns </t>
  </si>
  <si>
    <t xml:space="preserve">1 read_latency 53457ns </t>
  </si>
  <si>
    <t xml:space="preserve">1 write 14084ns </t>
  </si>
  <si>
    <t xml:space="preserve">2 read_latency 7700ns </t>
  </si>
  <si>
    <t xml:space="preserve">2 read_latency 8189ns </t>
  </si>
  <si>
    <t xml:space="preserve">3 read_latency 20208ns </t>
  </si>
  <si>
    <t xml:space="preserve">3 write_latency 9254ns </t>
  </si>
  <si>
    <t xml:space="preserve">2 read_latency 6997ns </t>
  </si>
  <si>
    <t xml:space="preserve">2 read_latency 8380ns </t>
  </si>
  <si>
    <t xml:space="preserve">3 read_latency 14737ns </t>
  </si>
  <si>
    <t xml:space="preserve">3 read_latency 16028ns </t>
  </si>
  <si>
    <t xml:space="preserve">4 read_latency 11592ns </t>
  </si>
  <si>
    <t xml:space="preserve">4 read_latency 21931ns </t>
  </si>
  <si>
    <t xml:space="preserve">3 read_latency 8704ns </t>
  </si>
  <si>
    <t xml:space="preserve">3 read_latency 14230ns </t>
  </si>
  <si>
    <t xml:space="preserve">4 read_latency 8825ns </t>
  </si>
  <si>
    <t xml:space="preserve">4 read_latency 8307ns </t>
  </si>
  <si>
    <t xml:space="preserve">5 read_latency 21117ns </t>
  </si>
  <si>
    <t xml:space="preserve">5 write_latency 10646ns </t>
  </si>
  <si>
    <t xml:space="preserve">4 read_latency 14564ns </t>
  </si>
  <si>
    <t xml:space="preserve">4 read_latency 16256ns </t>
  </si>
  <si>
    <t xml:space="preserve">5 read_latency 16068ns </t>
  </si>
  <si>
    <t xml:space="preserve">5 write_latency 3751ns </t>
  </si>
  <si>
    <t xml:space="preserve">6 read_latency 22881ns </t>
  </si>
  <si>
    <t xml:space="preserve">6 read_latency 9760ns </t>
  </si>
  <si>
    <t xml:space="preserve">5 read_latency 8124ns </t>
  </si>
  <si>
    <t xml:space="preserve">5 write 9783ns </t>
  </si>
  <si>
    <t xml:space="preserve">6 read_latency 10955ns </t>
  </si>
  <si>
    <t xml:space="preserve">6 read_latency 10008ns </t>
  </si>
  <si>
    <t xml:space="preserve">7 read_latency 18839ns </t>
  </si>
  <si>
    <t xml:space="preserve">7 write_latency 8272ns </t>
  </si>
  <si>
    <t xml:space="preserve">6 read_latency 15784ns </t>
  </si>
  <si>
    <t xml:space="preserve">6 read_latency 7655ns </t>
  </si>
  <si>
    <t xml:space="preserve">7 read_latency 21180ns </t>
  </si>
  <si>
    <t xml:space="preserve">7 read_latency 8717ns </t>
  </si>
  <si>
    <t xml:space="preserve">8 read_latency 12984ns </t>
  </si>
  <si>
    <t xml:space="preserve">8 write_latency 11789ns </t>
  </si>
  <si>
    <t xml:space="preserve">7 read_latency 23107ns </t>
  </si>
  <si>
    <t xml:space="preserve">7 read_latency 8032ns </t>
  </si>
  <si>
    <t xml:space="preserve">8 read_latency 8559ns </t>
  </si>
  <si>
    <t xml:space="preserve">8 write_latency 4222ns </t>
  </si>
  <si>
    <t xml:space="preserve">9 read_latency 11695ns </t>
  </si>
  <si>
    <t xml:space="preserve">9 write_latency 10925ns </t>
  </si>
  <si>
    <t xml:space="preserve">8 read_latency 8016ns </t>
  </si>
  <si>
    <t xml:space="preserve">8 write 13945ns </t>
  </si>
  <si>
    <t xml:space="preserve">9 read_latency 8254ns </t>
  </si>
  <si>
    <t xml:space="preserve">9 write_latency 3661ns </t>
  </si>
  <si>
    <t xml:space="preserve">10 read_latency 18584ns </t>
  </si>
  <si>
    <t xml:space="preserve">10 write_latency 8322ns </t>
  </si>
  <si>
    <t xml:space="preserve">9 read_latency 8869ns </t>
  </si>
  <si>
    <t xml:space="preserve">9 write 22290ns </t>
  </si>
  <si>
    <t xml:space="preserve">10 read_latency 19131ns </t>
  </si>
  <si>
    <t xml:space="preserve">10 write_latency 4007ns </t>
  </si>
  <si>
    <t xml:space="preserve">11 read_latency 14146ns </t>
  </si>
  <si>
    <t xml:space="preserve">11 read_latency 18834ns </t>
  </si>
  <si>
    <t xml:space="preserve">10 read_latency 9156ns </t>
  </si>
  <si>
    <t xml:space="preserve">10 write 9163ns </t>
  </si>
  <si>
    <t xml:space="preserve">11 read_latency 8438ns </t>
  </si>
  <si>
    <t xml:space="preserve">11 read_latency 7170ns </t>
  </si>
  <si>
    <t xml:space="preserve">12 read_latency 18359ns </t>
  </si>
  <si>
    <t xml:space="preserve">12 write_latency 10224ns </t>
  </si>
  <si>
    <t xml:space="preserve">11 read_latency 18644ns </t>
  </si>
  <si>
    <t xml:space="preserve">11 read_latency 9135ns </t>
  </si>
  <si>
    <t xml:space="preserve">12 read_latency 6569ns </t>
  </si>
  <si>
    <t xml:space="preserve">12 write_latency 3488ns </t>
  </si>
  <si>
    <t xml:space="preserve">13 write_latency 8082ns </t>
  </si>
  <si>
    <t xml:space="preserve">13 read_latency 16980ns </t>
  </si>
  <si>
    <t xml:space="preserve">12 read_latency 8192ns </t>
  </si>
  <si>
    <t xml:space="preserve">12 write 19181ns </t>
  </si>
  <si>
    <t xml:space="preserve">13 read_latency 8705ns </t>
  </si>
  <si>
    <t xml:space="preserve">13 read_latency 12226ns </t>
  </si>
  <si>
    <t xml:space="preserve">14 read_latency 16980ns </t>
  </si>
  <si>
    <t xml:space="preserve">14 write_latency 7939ns </t>
  </si>
  <si>
    <t xml:space="preserve">13 read_latency 9525ns </t>
  </si>
  <si>
    <t xml:space="preserve">13 read_latency 15339ns </t>
  </si>
  <si>
    <t xml:space="preserve">14 read_latency 7279ns </t>
  </si>
  <si>
    <t xml:space="preserve">14 write_latency 3699ns </t>
  </si>
  <si>
    <t xml:space="preserve">15 read_latency 15409ns </t>
  </si>
  <si>
    <t xml:space="preserve">15 read_latency 21699ns </t>
  </si>
  <si>
    <t xml:space="preserve">14 read_latency 8302ns </t>
  </si>
  <si>
    <t xml:space="preserve">14 write 8573ns </t>
  </si>
  <si>
    <t xml:space="preserve">15 write_latency 3572ns </t>
  </si>
  <si>
    <t xml:space="preserve">15 read_latency 10242ns </t>
  </si>
  <si>
    <t xml:space="preserve">16 read_latency 11145ns </t>
  </si>
  <si>
    <t xml:space="preserve">16 read_latency 16185ns </t>
  </si>
  <si>
    <t xml:space="preserve">15 write 10194ns </t>
  </si>
  <si>
    <t xml:space="preserve">15 read_latency 9186ns </t>
  </si>
  <si>
    <t xml:space="preserve">16 write_latency 3547ns </t>
  </si>
  <si>
    <t xml:space="preserve">16 read_latency 19307ns </t>
  </si>
  <si>
    <t xml:space="preserve">17 read_latency 15603ns </t>
  </si>
  <si>
    <t xml:space="preserve">17 read_latency 12021ns </t>
  </si>
  <si>
    <t xml:space="preserve">16 write 9539ns </t>
  </si>
  <si>
    <t xml:space="preserve">16 read_latency 7654ns </t>
  </si>
  <si>
    <t xml:space="preserve">17 read_latency 7021ns </t>
  </si>
  <si>
    <t xml:space="preserve">17 write_latency 3799ns </t>
  </si>
  <si>
    <t xml:space="preserve">18 read_latency 15927ns </t>
  </si>
  <si>
    <t xml:space="preserve">18 write_latency 12512ns </t>
  </si>
  <si>
    <t xml:space="preserve">17 read_latency 8815ns </t>
  </si>
  <si>
    <t xml:space="preserve">17 write 8830ns </t>
  </si>
  <si>
    <t xml:space="preserve">18 read_latency 7664ns </t>
  </si>
  <si>
    <t xml:space="preserve">18 write_latency 3876ns </t>
  </si>
  <si>
    <t xml:space="preserve">19 read_latency 14130ns </t>
  </si>
  <si>
    <t xml:space="preserve">19 read_latency 20599ns </t>
  </si>
  <si>
    <t xml:space="preserve">18 read_latency 7631ns </t>
  </si>
  <si>
    <t xml:space="preserve">18 write 29850ns </t>
  </si>
  <si>
    <t xml:space="preserve">19 read_latency 8018ns </t>
  </si>
  <si>
    <t xml:space="preserve">19 read_latency 15777ns </t>
  </si>
  <si>
    <t xml:space="preserve">20 read_latency 15004ns </t>
  </si>
  <si>
    <t xml:space="preserve">20 read_latency 8907ns </t>
  </si>
  <si>
    <t xml:space="preserve">19 read_latency 9482ns </t>
  </si>
  <si>
    <t xml:space="preserve">19 read_latency 19997ns </t>
  </si>
  <si>
    <t xml:space="preserve">20 read_latency 7669ns </t>
  </si>
  <si>
    <t xml:space="preserve">20 write_latency 3511ns </t>
  </si>
  <si>
    <t xml:space="preserve">21 read_latency 6425ns </t>
  </si>
  <si>
    <t xml:space="preserve">21 read_latency 15393ns </t>
  </si>
  <si>
    <t xml:space="preserve">20 read_latency 7161ns </t>
  </si>
  <si>
    <t xml:space="preserve">20 write 25233ns </t>
  </si>
  <si>
    <t xml:space="preserve">21 read_latency 16329ns </t>
  </si>
  <si>
    <t xml:space="preserve">21 read_latency 35387ns </t>
  </si>
  <si>
    <t xml:space="preserve">22 read_latency 34189ns </t>
  </si>
  <si>
    <t xml:space="preserve">22 write_latency 10746ns </t>
  </si>
  <si>
    <t xml:space="preserve">21 read_latency 8263ns </t>
  </si>
  <si>
    <t xml:space="preserve">21 read_latency 8425ns </t>
  </si>
  <si>
    <t xml:space="preserve">22 read_latency 19925ns </t>
  </si>
  <si>
    <t xml:space="preserve">22 write_latency 3746ns </t>
  </si>
  <si>
    <t xml:space="preserve">23 read_latency 10482ns </t>
  </si>
  <si>
    <t xml:space="preserve">23 write_latency 9050ns </t>
  </si>
  <si>
    <t xml:space="preserve">22 read_latency 7474ns </t>
  </si>
  <si>
    <t xml:space="preserve">22 write 9351ns </t>
  </si>
  <si>
    <t xml:space="preserve">23 read_latency 7201ns </t>
  </si>
  <si>
    <t xml:space="preserve">23 read_latency 7595ns </t>
  </si>
  <si>
    <t xml:space="preserve">24 read_latency 20101ns </t>
  </si>
  <si>
    <t xml:space="preserve">24 read_latency 15532ns </t>
  </si>
  <si>
    <t xml:space="preserve">23 read_latency 8154ns </t>
  </si>
  <si>
    <t xml:space="preserve">23 read_latency 8129ns </t>
  </si>
  <si>
    <t xml:space="preserve">24 read_latency 6387ns </t>
  </si>
  <si>
    <t xml:space="preserve">24 write_latency 4042ns </t>
  </si>
  <si>
    <t xml:space="preserve">25 read_latency 11678ns </t>
  </si>
  <si>
    <t xml:space="preserve">25 read_latency 15338ns </t>
  </si>
  <si>
    <t xml:space="preserve">24 read_latency 9914ns </t>
  </si>
  <si>
    <t xml:space="preserve">24 write 8821ns </t>
  </si>
  <si>
    <t xml:space="preserve">25 read_latency 10235ns </t>
  </si>
  <si>
    <t xml:space="preserve">25 write_latency 3421ns </t>
  </si>
  <si>
    <t xml:space="preserve">26 read_latency 17902ns </t>
  </si>
  <si>
    <t xml:space="preserve">26 write_latency 11845ns </t>
  </si>
  <si>
    <t xml:space="preserve">25 read_latency 9600ns </t>
  </si>
  <si>
    <t xml:space="preserve">25 write 13218ns </t>
  </si>
  <si>
    <t xml:space="preserve">26 read_latency 13898ns </t>
  </si>
  <si>
    <t xml:space="preserve">26 read_latency 16028ns </t>
  </si>
  <si>
    <t xml:space="preserve">27 read_latency 18236ns </t>
  </si>
  <si>
    <t xml:space="preserve">27 write_latency 10143ns </t>
  </si>
  <si>
    <t xml:space="preserve">26 read_latency 25096ns </t>
  </si>
  <si>
    <t xml:space="preserve">26 read_latency 9101ns </t>
  </si>
  <si>
    <t xml:space="preserve">27 read_latency 13381ns </t>
  </si>
  <si>
    <t xml:space="preserve">27 read_latency 23561ns </t>
  </si>
  <si>
    <t xml:space="preserve">28 read_latency 24306ns </t>
  </si>
  <si>
    <t xml:space="preserve">28 read_latency 8883ns </t>
  </si>
  <si>
    <t xml:space="preserve">27 read_latency 17384ns </t>
  </si>
  <si>
    <t xml:space="preserve">27 read_latency 8002ns </t>
  </si>
  <si>
    <t xml:space="preserve">28 read_latency 7849ns </t>
  </si>
  <si>
    <t xml:space="preserve">28 read_latency 8608ns </t>
  </si>
  <si>
    <t xml:space="preserve">29 read_latency 16071ns </t>
  </si>
  <si>
    <t xml:space="preserve">29 read_latency 31945ns </t>
  </si>
  <si>
    <t xml:space="preserve">28 read_latency 8132ns </t>
  </si>
  <si>
    <t xml:space="preserve">28 read_latency 36359ns </t>
  </si>
  <si>
    <t xml:space="preserve">29 read_latency 6680ns </t>
  </si>
  <si>
    <t xml:space="preserve">29 write_latency 4152ns </t>
  </si>
  <si>
    <t xml:space="preserve">30 read_latency 13154ns </t>
  </si>
  <si>
    <t xml:space="preserve">30 write_latency 12497ns </t>
  </si>
  <si>
    <t xml:space="preserve">29 read_latency 8167ns </t>
  </si>
  <si>
    <t xml:space="preserve">29 write 25296ns </t>
  </si>
  <si>
    <t xml:space="preserve">30 read_latency 13485ns </t>
  </si>
  <si>
    <t xml:space="preserve">30 read_latency 10023ns </t>
  </si>
  <si>
    <t xml:space="preserve">31 read_latency 17602ns </t>
  </si>
  <si>
    <t xml:space="preserve">31 write_latency 10795ns </t>
  </si>
  <si>
    <t xml:space="preserve">30 read_latency 8302ns </t>
  </si>
  <si>
    <t xml:space="preserve">30 read_latency 8310ns </t>
  </si>
  <si>
    <t xml:space="preserve">31 read_latency 7652ns </t>
  </si>
  <si>
    <t xml:space="preserve">31 write_latency 4510ns </t>
  </si>
  <si>
    <t xml:space="preserve">32 read_latency 18800ns </t>
  </si>
  <si>
    <t xml:space="preserve">32 write_latency 10226ns </t>
  </si>
  <si>
    <t xml:space="preserve">31 read_latency 10671ns </t>
  </si>
  <si>
    <t xml:space="preserve">31 write 18205ns </t>
  </si>
  <si>
    <t xml:space="preserve">32 read_latency 6824ns </t>
  </si>
  <si>
    <t xml:space="preserve">32 read_latency 8547ns </t>
  </si>
  <si>
    <t xml:space="preserve">33 read_latency 13215ns </t>
  </si>
  <si>
    <t xml:space="preserve">33 read_latency 9131ns </t>
  </si>
  <si>
    <t xml:space="preserve">32 read_latency 8173ns </t>
  </si>
  <si>
    <t xml:space="preserve">32 read_latency 7389ns </t>
  </si>
  <si>
    <t xml:space="preserve">33 read_latency 9357ns </t>
  </si>
  <si>
    <t xml:space="preserve">33 write_latency 3097ns </t>
  </si>
  <si>
    <t xml:space="preserve">34 read_latency 11043ns </t>
  </si>
  <si>
    <t xml:space="preserve">34 write_latency 6942ns </t>
  </si>
  <si>
    <t xml:space="preserve">33 read_latency 7454ns </t>
  </si>
  <si>
    <t xml:space="preserve">33 write 12296ns </t>
  </si>
  <si>
    <t xml:space="preserve">34 read_latency 9930ns </t>
  </si>
  <si>
    <t xml:space="preserve">34 read_latency 8648ns </t>
  </si>
  <si>
    <t xml:space="preserve">35 read_latency 6967ns </t>
  </si>
  <si>
    <t xml:space="preserve">35 read_latency 14881ns </t>
  </si>
  <si>
    <t xml:space="preserve">34 read_latency 7410ns </t>
  </si>
  <si>
    <t xml:space="preserve">34 read_latency 8928ns </t>
  </si>
  <si>
    <t xml:space="preserve">35 read_latency 14867ns </t>
  </si>
  <si>
    <t xml:space="preserve">35 read_latency 9328ns </t>
  </si>
  <si>
    <t xml:space="preserve">36 read_latency 12366ns </t>
  </si>
  <si>
    <t xml:space="preserve">36 read_latency 11093ns </t>
  </si>
  <si>
    <t xml:space="preserve">35 read_latency 7576ns </t>
  </si>
  <si>
    <t xml:space="preserve">35 read_latency 8737ns </t>
  </si>
  <si>
    <t xml:space="preserve">36 read_latency 13854ns </t>
  </si>
  <si>
    <t xml:space="preserve">36 read_latency 7032ns </t>
  </si>
  <si>
    <t xml:space="preserve">37 read_latency 8970ns </t>
  </si>
  <si>
    <t xml:space="preserve">37 read_latency 21795ns </t>
  </si>
  <si>
    <t xml:space="preserve">36 read_latency 8137ns </t>
  </si>
  <si>
    <t xml:space="preserve">36 read_latency 8122ns </t>
  </si>
  <si>
    <t xml:space="preserve">37 read_latency 9603ns </t>
  </si>
  <si>
    <t xml:space="preserve">37 read_latency 13042ns </t>
  </si>
  <si>
    <t xml:space="preserve">38 read_latency 15234ns </t>
  </si>
  <si>
    <t xml:space="preserve">38 write_latency 10662ns </t>
  </si>
  <si>
    <t xml:space="preserve">37 read_latency 11995ns </t>
  </si>
  <si>
    <t xml:space="preserve">37 read_latency 7711ns </t>
  </si>
  <si>
    <t xml:space="preserve">38 read_latency 7631ns </t>
  </si>
  <si>
    <t xml:space="preserve">38 write_latency 3920ns </t>
  </si>
  <si>
    <t xml:space="preserve">39 read_latency 15299ns </t>
  </si>
  <si>
    <t xml:space="preserve">39 read_latency 12274ns </t>
  </si>
  <si>
    <t xml:space="preserve">38 read_latency 7177ns </t>
  </si>
  <si>
    <t xml:space="preserve">38 write 12700ns </t>
  </si>
  <si>
    <t xml:space="preserve">39 read_latency 7533ns </t>
  </si>
  <si>
    <t xml:space="preserve">39 write_latency 3247ns </t>
  </si>
  <si>
    <t xml:space="preserve">40 read_latency 16956ns </t>
  </si>
  <si>
    <t xml:space="preserve">40 read_latency 22576ns </t>
  </si>
  <si>
    <t xml:space="preserve">39 read_latency 8187ns </t>
  </si>
  <si>
    <t xml:space="preserve">39 write 12917ns </t>
  </si>
  <si>
    <t xml:space="preserve">40 read_latency 8239ns </t>
  </si>
  <si>
    <t xml:space="preserve">40 read_latency 8873ns </t>
  </si>
  <si>
    <t xml:space="preserve">41 read_latency 17311ns </t>
  </si>
  <si>
    <t xml:space="preserve">41 read_latency 15273ns </t>
  </si>
  <si>
    <t xml:space="preserve">40 read_latency 8592ns </t>
  </si>
  <si>
    <t xml:space="preserve">40 read_latency 7631ns </t>
  </si>
  <si>
    <t xml:space="preserve">41 read_latency 6801ns </t>
  </si>
  <si>
    <t xml:space="preserve">41 write_latency 4042ns </t>
  </si>
  <si>
    <t xml:space="preserve">42 write_latency 19488ns </t>
  </si>
  <si>
    <t xml:space="preserve">42 read_latency 11073ns </t>
  </si>
  <si>
    <t xml:space="preserve">41 read_latency 9628ns </t>
  </si>
  <si>
    <t xml:space="preserve">41 write 9327ns </t>
  </si>
  <si>
    <t xml:space="preserve">42 read_latency 11912ns </t>
  </si>
  <si>
    <t xml:space="preserve">42 write_latency 3757ns </t>
  </si>
  <si>
    <t xml:space="preserve">43 read_latency 18476ns </t>
  </si>
  <si>
    <t xml:space="preserve">43 write_latency 8116ns </t>
  </si>
  <si>
    <t xml:space="preserve">42 read_latency 7643ns </t>
  </si>
  <si>
    <t xml:space="preserve">42 write 9187ns </t>
  </si>
  <si>
    <t xml:space="preserve">43 read_latency 7141ns </t>
  </si>
  <si>
    <t xml:space="preserve">43 read_latency 7732ns </t>
  </si>
  <si>
    <t xml:space="preserve">44 read_latency 10314ns </t>
  </si>
  <si>
    <t xml:space="preserve">44 write_latency 9524ns </t>
  </si>
  <si>
    <t xml:space="preserve">43 read_latency 8313ns </t>
  </si>
  <si>
    <t xml:space="preserve">43 read_latency 11311ns </t>
  </si>
  <si>
    <t xml:space="preserve">44 read_latency 13113ns </t>
  </si>
  <si>
    <t xml:space="preserve">44 read_latency 8077ns </t>
  </si>
  <si>
    <t xml:space="preserve">45 read_latency 17030ns </t>
  </si>
  <si>
    <t xml:space="preserve">45 read_latency 10990ns </t>
  </si>
  <si>
    <t xml:space="preserve">44 read_latency 8206ns </t>
  </si>
  <si>
    <t xml:space="preserve">44 read_latency 9576ns </t>
  </si>
  <si>
    <t xml:space="preserve">45 read_latency 10865ns </t>
  </si>
  <si>
    <t xml:space="preserve">45 read_latency 7270ns </t>
  </si>
  <si>
    <t xml:space="preserve">46 read_latency 25630ns </t>
  </si>
  <si>
    <t xml:space="preserve">46 write_latency 8499ns </t>
  </si>
  <si>
    <t xml:space="preserve">45 read_latency 9610ns </t>
  </si>
  <si>
    <t xml:space="preserve">45 read_latency 8997ns </t>
  </si>
  <si>
    <t xml:space="preserve">46 read_latency 6956ns </t>
  </si>
  <si>
    <t xml:space="preserve">46 write_latency 4259ns </t>
  </si>
  <si>
    <t xml:space="preserve">47 read_latency 7781ns </t>
  </si>
  <si>
    <t xml:space="preserve">47 read_latency 12561ns </t>
  </si>
  <si>
    <t xml:space="preserve">46 read_latency 9139ns </t>
  </si>
  <si>
    <t xml:space="preserve">46 write 28522ns </t>
  </si>
  <si>
    <t xml:space="preserve">47 read_latency 7322ns </t>
  </si>
  <si>
    <t xml:space="preserve">47 read_latency 8219ns </t>
  </si>
  <si>
    <t xml:space="preserve">48 read_latency 14944ns </t>
  </si>
  <si>
    <t xml:space="preserve">48 write_latency 10599ns </t>
  </si>
  <si>
    <t xml:space="preserve">47 read_latency 8323ns </t>
  </si>
  <si>
    <t xml:space="preserve">47 read_latency 6635ns </t>
  </si>
  <si>
    <t xml:space="preserve">48 read_latency 6878ns </t>
  </si>
  <si>
    <t xml:space="preserve">48 read_latency 18410ns </t>
  </si>
  <si>
    <t xml:space="preserve">49 read_latency 7701ns </t>
  </si>
  <si>
    <t xml:space="preserve">49 read_latency 11238ns </t>
  </si>
  <si>
    <t xml:space="preserve">48 read_latency 8583ns </t>
  </si>
  <si>
    <t xml:space="preserve">48 read_latency 8952ns </t>
  </si>
  <si>
    <t xml:space="preserve">49 read_latency 12498ns </t>
  </si>
  <si>
    <t xml:space="preserve">49 write_latency 3832ns </t>
  </si>
  <si>
    <t xml:space="preserve">50 read_latency 15378ns </t>
  </si>
  <si>
    <t xml:space="preserve">50 read_latency 10983ns </t>
  </si>
  <si>
    <t xml:space="preserve">49 read_latency 9697ns </t>
  </si>
  <si>
    <t xml:space="preserve">49 write 8387ns </t>
  </si>
  <si>
    <t xml:space="preserve">50 read_latency 8213ns </t>
  </si>
  <si>
    <t xml:space="preserve">50 read_latency 14374ns </t>
  </si>
  <si>
    <t xml:space="preserve">51 read_latency 16279ns </t>
  </si>
  <si>
    <t xml:space="preserve">51 read_latency 15365ns </t>
  </si>
  <si>
    <t xml:space="preserve">50 read_latency 7541ns </t>
  </si>
  <si>
    <t xml:space="preserve">50 read_latency 7350ns </t>
  </si>
  <si>
    <t xml:space="preserve">51 read_latency 6347ns </t>
  </si>
  <si>
    <t xml:space="preserve">51 read_latency 7739ns </t>
  </si>
  <si>
    <t xml:space="preserve">52 read_latency 17731ns </t>
  </si>
  <si>
    <t xml:space="preserve">52 write_latency 8479ns </t>
  </si>
  <si>
    <t xml:space="preserve">51 read_latency 8235ns </t>
  </si>
  <si>
    <t xml:space="preserve">51 read_latency 7163ns </t>
  </si>
  <si>
    <t xml:space="preserve">52 read_latency 6844ns </t>
  </si>
  <si>
    <t xml:space="preserve">52 read_latency 15520ns </t>
  </si>
  <si>
    <t xml:space="preserve">53 read_latency 13775ns </t>
  </si>
  <si>
    <t xml:space="preserve">53 read_latency 12884ns </t>
  </si>
  <si>
    <t xml:space="preserve">52 read_latency 13758ns </t>
  </si>
  <si>
    <t xml:space="preserve">52 read_latency 6997ns </t>
  </si>
  <si>
    <t xml:space="preserve">53 read_latency 21674ns </t>
  </si>
  <si>
    <t xml:space="preserve">53 read_latency 9503ns </t>
  </si>
  <si>
    <t xml:space="preserve">54 read_latency 14071ns </t>
  </si>
  <si>
    <t xml:space="preserve">54 read_latency 14269ns </t>
  </si>
  <si>
    <t xml:space="preserve">53 read_latency 7749ns </t>
  </si>
  <si>
    <t xml:space="preserve">53 read_latency 11672ns </t>
  </si>
  <si>
    <t xml:space="preserve">54 read_latency 12482ns </t>
  </si>
  <si>
    <t xml:space="preserve">54 read_latency 16861ns </t>
  </si>
  <si>
    <t xml:space="preserve">55 read_latency 13715ns </t>
  </si>
  <si>
    <t xml:space="preserve">55 read_latency 7489ns </t>
  </si>
  <si>
    <t xml:space="preserve">54 read_latency 7482ns </t>
  </si>
  <si>
    <t xml:space="preserve">54 read_latency 7431ns </t>
  </si>
  <si>
    <t xml:space="preserve">55 read_latency 6579ns </t>
  </si>
  <si>
    <t xml:space="preserve">55 read_latency 10601ns </t>
  </si>
  <si>
    <t xml:space="preserve">56 read_latency 8104ns </t>
  </si>
  <si>
    <t xml:space="preserve">56 write_latency 11000ns </t>
  </si>
  <si>
    <t xml:space="preserve">55 read_latency 8064ns </t>
  </si>
  <si>
    <t xml:space="preserve">55 read_latency 9141ns </t>
  </si>
  <si>
    <t xml:space="preserve">56 read_latency 9574ns </t>
  </si>
  <si>
    <t xml:space="preserve">56 write_latency 3955ns </t>
  </si>
  <si>
    <t xml:space="preserve">57 read_latency 16141ns </t>
  </si>
  <si>
    <t xml:space="preserve">57 read_latency 13797ns </t>
  </si>
  <si>
    <t xml:space="preserve">56 read_latency 19058ns </t>
  </si>
  <si>
    <t xml:space="preserve">56 write 40949ns </t>
  </si>
  <si>
    <t xml:space="preserve">57 read_latency 6858ns </t>
  </si>
  <si>
    <t xml:space="preserve">57 read_latency 7880ns </t>
  </si>
  <si>
    <t xml:space="preserve">58 read_latency 17962ns </t>
  </si>
  <si>
    <t xml:space="preserve">58 write_latency 7483ns </t>
  </si>
  <si>
    <t xml:space="preserve">57 read_latency 8584ns </t>
  </si>
  <si>
    <t xml:space="preserve">57 read_latency 7041ns </t>
  </si>
  <si>
    <t xml:space="preserve">58 read_latency 7465ns </t>
  </si>
  <si>
    <t xml:space="preserve">58 write_latency 3980ns </t>
  </si>
  <si>
    <t xml:space="preserve">59 read_latency 14531ns </t>
  </si>
  <si>
    <t xml:space="preserve">59 read_latency 9688ns </t>
  </si>
  <si>
    <t xml:space="preserve">58 read_latency 7214ns </t>
  </si>
  <si>
    <t xml:space="preserve">58 write 46275ns </t>
  </si>
  <si>
    <t xml:space="preserve">59 read_latency 29276ns </t>
  </si>
  <si>
    <t xml:space="preserve">59 read_latency 13843ns </t>
  </si>
  <si>
    <t xml:space="preserve">60 read_latency 14427ns </t>
  </si>
  <si>
    <t xml:space="preserve">60 read_latency 13916ns </t>
  </si>
  <si>
    <t xml:space="preserve">59 read_latency 8830ns </t>
  </si>
  <si>
    <t xml:space="preserve">59 read_latency 8217ns </t>
  </si>
  <si>
    <t xml:space="preserve">60 read_latency 10860ns </t>
  </si>
  <si>
    <t xml:space="preserve">60 read_latency 11116ns </t>
  </si>
  <si>
    <t xml:space="preserve">61 read_latency 8002ns </t>
  </si>
  <si>
    <t xml:space="preserve">61 read_latency 13078ns </t>
  </si>
  <si>
    <t xml:space="preserve">60 read_latency 9382ns </t>
  </si>
  <si>
    <t xml:space="preserve">60 read_latency 7351ns </t>
  </si>
  <si>
    <t xml:space="preserve">61 read_latency 8406ns </t>
  </si>
  <si>
    <t xml:space="preserve">61 write_latency 3782ns </t>
  </si>
  <si>
    <t xml:space="preserve">62 read_latency 17487ns </t>
  </si>
  <si>
    <t xml:space="preserve">62 write_latency 12272ns </t>
  </si>
  <si>
    <t xml:space="preserve">61 read_latency 10793ns </t>
  </si>
  <si>
    <t xml:space="preserve">61 write 14493ns </t>
  </si>
  <si>
    <t xml:space="preserve">62 write_latency 3579ns </t>
  </si>
  <si>
    <t xml:space="preserve">62 write_latency 4121ns </t>
  </si>
  <si>
    <t xml:space="preserve">63 read_latency 9259ns </t>
  </si>
  <si>
    <t xml:space="preserve">63 read_latency 8263ns </t>
  </si>
  <si>
    <t xml:space="preserve">62 write 9512ns </t>
  </si>
  <si>
    <t xml:space="preserve">62 write 23754ns </t>
  </si>
  <si>
    <t xml:space="preserve">63 read_latency 8255ns </t>
  </si>
  <si>
    <t xml:space="preserve">63 read_latency 14161ns </t>
  </si>
  <si>
    <t xml:space="preserve">64 read_latency 15130ns </t>
  </si>
  <si>
    <t xml:space="preserve">64 write_latency 6582ns </t>
  </si>
  <si>
    <t xml:space="preserve">63 read_latency 11892ns </t>
  </si>
  <si>
    <t xml:space="preserve">63 read_latency 18272ns </t>
  </si>
  <si>
    <t xml:space="preserve">64 read_latency 18695ns </t>
  </si>
  <si>
    <t xml:space="preserve">64 write_latency 4184ns </t>
  </si>
  <si>
    <t xml:space="preserve">65 read_latency 14185ns </t>
  </si>
  <si>
    <t xml:space="preserve">65 write_latency 9453ns </t>
  </si>
  <si>
    <t xml:space="preserve">64 read_latency 8295ns </t>
  </si>
  <si>
    <t xml:space="preserve">64 write 47483ns </t>
  </si>
  <si>
    <t xml:space="preserve">65 read_latency 8226ns </t>
  </si>
  <si>
    <t xml:space="preserve">65 read_latency 7812ns </t>
  </si>
  <si>
    <t xml:space="preserve">66 read_latency 26134ns </t>
  </si>
  <si>
    <t xml:space="preserve">66 write_latency 22587ns </t>
  </si>
  <si>
    <t xml:space="preserve">65 read_latency 7462ns </t>
  </si>
  <si>
    <t xml:space="preserve">65 read_latency 44174ns </t>
  </si>
  <si>
    <t xml:space="preserve">66 read_latency 9511ns </t>
  </si>
  <si>
    <t xml:space="preserve">66 read_latency 13709ns </t>
  </si>
  <si>
    <t xml:space="preserve">67 read_latency 10695ns </t>
  </si>
  <si>
    <t xml:space="preserve">67 read_latency 23621ns </t>
  </si>
  <si>
    <t xml:space="preserve">66 read_latency 11977ns </t>
  </si>
  <si>
    <t xml:space="preserve">66 read_latency 7388ns </t>
  </si>
  <si>
    <t xml:space="preserve">67 read_latency 6948ns </t>
  </si>
  <si>
    <t xml:space="preserve">67 write_latency 3787ns </t>
  </si>
  <si>
    <t xml:space="preserve">68 read_latency 7674ns </t>
  </si>
  <si>
    <t xml:space="preserve">68 read_latency 14880ns </t>
  </si>
  <si>
    <t xml:space="preserve">67 read_latency 6736ns </t>
  </si>
  <si>
    <t xml:space="preserve">67 write 41383ns </t>
  </si>
  <si>
    <t xml:space="preserve">68 write_latency 3525ns </t>
  </si>
  <si>
    <t xml:space="preserve">68 write_latency 4061ns </t>
  </si>
  <si>
    <t xml:space="preserve">69 read_latency 16735ns </t>
  </si>
  <si>
    <t xml:space="preserve">69 read_latency 13809ns </t>
  </si>
  <si>
    <t xml:space="preserve">68 write 8677ns </t>
  </si>
  <si>
    <t xml:space="preserve">68 write 12722ns </t>
  </si>
  <si>
    <t xml:space="preserve">69 read_latency 7722ns </t>
  </si>
  <si>
    <t xml:space="preserve">69 write_latency 3912ns </t>
  </si>
  <si>
    <t xml:space="preserve">70 read_latency 12767ns </t>
  </si>
  <si>
    <t xml:space="preserve">70 read_latency 51602ns </t>
  </si>
  <si>
    <t xml:space="preserve">69 read_latency 24222ns </t>
  </si>
  <si>
    <t xml:space="preserve">69 write 8182ns </t>
  </si>
  <si>
    <t xml:space="preserve">70 read_latency 7278ns </t>
  </si>
  <si>
    <t xml:space="preserve">70 write_latency 3799ns </t>
  </si>
  <si>
    <t xml:space="preserve">71 read_latency 19491ns </t>
  </si>
  <si>
    <t xml:space="preserve">71 read_latency 14542ns </t>
  </si>
  <si>
    <t xml:space="preserve">70 read_latency 7956ns </t>
  </si>
  <si>
    <t xml:space="preserve">70 write 44422ns </t>
  </si>
  <si>
    <t xml:space="preserve">71 read_latency 6977ns </t>
  </si>
  <si>
    <t xml:space="preserve">71 write_latency 3829ns </t>
  </si>
  <si>
    <t xml:space="preserve">72 read_latency 13692ns </t>
  </si>
  <si>
    <t xml:space="preserve">72 read_latency 12453ns </t>
  </si>
  <si>
    <t xml:space="preserve">71 read_latency 7109ns </t>
  </si>
  <si>
    <t xml:space="preserve">71 write 47814ns </t>
  </si>
  <si>
    <t xml:space="preserve">72 write_latency 3577ns </t>
  </si>
  <si>
    <t xml:space="preserve">72 write_latency 3688ns </t>
  </si>
  <si>
    <t xml:space="preserve">73 read_latency 14554ns </t>
  </si>
  <si>
    <t xml:space="preserve">73 write_latency 8792ns </t>
  </si>
  <si>
    <t xml:space="preserve">72 write 19646ns </t>
  </si>
  <si>
    <t xml:space="preserve">72 write 34271ns </t>
  </si>
  <si>
    <t xml:space="preserve">73 read_latency 6837ns </t>
  </si>
  <si>
    <t xml:space="preserve">73 write_latency 4110ns </t>
  </si>
  <si>
    <t xml:space="preserve">74 read_latency 10218ns </t>
  </si>
  <si>
    <t xml:space="preserve">74 write_latency 7283ns </t>
  </si>
  <si>
    <t xml:space="preserve">73 read_latency 8968ns </t>
  </si>
  <si>
    <t xml:space="preserve">73 write 7960ns </t>
  </si>
  <si>
    <t xml:space="preserve">74 read_latency 10220ns </t>
  </si>
  <si>
    <t xml:space="preserve">74 write_latency 3859ns </t>
  </si>
  <si>
    <t xml:space="preserve">75 write_latency 8578ns </t>
  </si>
  <si>
    <t xml:space="preserve">75 read_latency 7132ns </t>
  </si>
  <si>
    <t xml:space="preserve">74 read_latency 9513ns </t>
  </si>
  <si>
    <t xml:space="preserve">74 write 44937ns </t>
  </si>
  <si>
    <t xml:space="preserve">75 read_latency 7888ns </t>
  </si>
  <si>
    <t xml:space="preserve">75 read_latency 8066ns </t>
  </si>
  <si>
    <t xml:space="preserve">76 read_latency 16378ns </t>
  </si>
  <si>
    <t xml:space="preserve">76 read_latency 14526ns </t>
  </si>
  <si>
    <t xml:space="preserve">75 read_latency 7931ns </t>
  </si>
  <si>
    <t xml:space="preserve">75 read_latency 11688ns </t>
  </si>
  <si>
    <t xml:space="preserve">76 read_latency 12975ns </t>
  </si>
  <si>
    <t xml:space="preserve">76 read_latency 10578ns </t>
  </si>
  <si>
    <t xml:space="preserve">77 read_latency 8002ns </t>
  </si>
  <si>
    <t xml:space="preserve">77 write_latency 8331ns </t>
  </si>
  <si>
    <t xml:space="preserve">76 read_latency 9951ns </t>
  </si>
  <si>
    <t xml:space="preserve">76 read_latency 7845ns </t>
  </si>
  <si>
    <t xml:space="preserve">77 read_latency 14467ns </t>
  </si>
  <si>
    <t xml:space="preserve">77 write_latency 3729ns </t>
  </si>
  <si>
    <t xml:space="preserve">78 read_latency 13341ns </t>
  </si>
  <si>
    <t xml:space="preserve">78 write_latency 7214ns </t>
  </si>
  <si>
    <t xml:space="preserve">77 read_latency 8076ns </t>
  </si>
  <si>
    <t xml:space="preserve">77 write 10670ns </t>
  </si>
  <si>
    <t xml:space="preserve">78 read_latency 8171ns </t>
  </si>
  <si>
    <t xml:space="preserve">78 read_latency 7932ns </t>
  </si>
  <si>
    <t xml:space="preserve">79 read_latency 11878ns </t>
  </si>
  <si>
    <t xml:space="preserve">79 read_latency 11684ns </t>
  </si>
  <si>
    <t xml:space="preserve">78 read_latency 7360ns </t>
  </si>
  <si>
    <t xml:space="preserve">78 read_latency 8642ns </t>
  </si>
  <si>
    <t xml:space="preserve">79 read_latency 7111ns </t>
  </si>
  <si>
    <t xml:space="preserve">79 write_latency 3556ns </t>
  </si>
  <si>
    <t xml:space="preserve">80 read_latency 14229ns </t>
  </si>
  <si>
    <t xml:space="preserve">80 write_latency 9624ns </t>
  </si>
  <si>
    <t xml:space="preserve">79 read_latency 8062ns </t>
  </si>
  <si>
    <t xml:space="preserve">79 write 18634ns </t>
  </si>
  <si>
    <t xml:space="preserve">80 read_latency 18458ns </t>
  </si>
  <si>
    <t xml:space="preserve">80 read_latency 6534ns </t>
  </si>
  <si>
    <t xml:space="preserve">81 read_latency 12499ns </t>
  </si>
  <si>
    <t xml:space="preserve">81 read_latency 11508ns </t>
  </si>
  <si>
    <t xml:space="preserve">80 read_latency 8158ns </t>
  </si>
  <si>
    <t xml:space="preserve">80 read_latency 23193ns </t>
  </si>
  <si>
    <t xml:space="preserve">81 read_latency 13724ns </t>
  </si>
  <si>
    <t xml:space="preserve">81 write_latency 4551ns </t>
  </si>
  <si>
    <t xml:space="preserve">82 read_latency 14534ns </t>
  </si>
  <si>
    <t xml:space="preserve">82 read_latency 13314ns </t>
  </si>
  <si>
    <t xml:space="preserve">81 read_latency 8242ns </t>
  </si>
  <si>
    <t xml:space="preserve">81 write 10237ns </t>
  </si>
  <si>
    <t xml:space="preserve">82 read_latency 19994ns </t>
  </si>
  <si>
    <t xml:space="preserve">82 write_latency 3703ns </t>
  </si>
  <si>
    <t xml:space="preserve">83 read_latency 14297ns </t>
  </si>
  <si>
    <t xml:space="preserve">83 write_latency 11087ns </t>
  </si>
  <si>
    <t xml:space="preserve">82 read_latency 23425ns </t>
  </si>
  <si>
    <t xml:space="preserve">82 write 32406ns </t>
  </si>
  <si>
    <t xml:space="preserve">83 read_latency 6986ns </t>
  </si>
  <si>
    <t xml:space="preserve">83 write_latency 3875ns </t>
  </si>
  <si>
    <t xml:space="preserve">84 read_latency 29417ns </t>
  </si>
  <si>
    <t xml:space="preserve">84 write_latency 9150ns </t>
  </si>
  <si>
    <t xml:space="preserve">83 read_latency 7822ns </t>
  </si>
  <si>
    <t xml:space="preserve">83 write 52233ns </t>
  </si>
  <si>
    <t xml:space="preserve">84 read_latency 6667ns </t>
  </si>
  <si>
    <t xml:space="preserve">84 write_latency 3917ns </t>
  </si>
  <si>
    <t xml:space="preserve">85 read_latency 17414ns </t>
  </si>
  <si>
    <t xml:space="preserve">85 read_latency 28649ns </t>
  </si>
  <si>
    <t xml:space="preserve">84 read_latency 8616ns </t>
  </si>
  <si>
    <t xml:space="preserve">84 write 16429ns </t>
  </si>
  <si>
    <t xml:space="preserve">85 read_latency 6231ns </t>
  </si>
  <si>
    <t xml:space="preserve">85 read_latency 9833ns </t>
  </si>
  <si>
    <t xml:space="preserve">86 read_latency 10758ns </t>
  </si>
  <si>
    <t xml:space="preserve">86 write_latency 8894ns </t>
  </si>
  <si>
    <t xml:space="preserve">85 read_latency 7449ns </t>
  </si>
  <si>
    <t xml:space="preserve">85 read_latency 7818ns </t>
  </si>
  <si>
    <t xml:space="preserve">86 read_latency 12535ns </t>
  </si>
  <si>
    <t xml:space="preserve">86 read_latency 11174ns </t>
  </si>
  <si>
    <t xml:space="preserve">87 read_latency 15391ns </t>
  </si>
  <si>
    <t xml:space="preserve">87 write_latency 12709ns </t>
  </si>
  <si>
    <t xml:space="preserve">86 read_latency 6990ns </t>
  </si>
  <si>
    <t xml:space="preserve">86 read_latency 8935ns </t>
  </si>
  <si>
    <t xml:space="preserve">87 read_latency 7685ns </t>
  </si>
  <si>
    <t xml:space="preserve">87 read_latency 6869ns </t>
  </si>
  <si>
    <t xml:space="preserve">88 read_latency 14942ns </t>
  </si>
  <si>
    <t xml:space="preserve">88 read_latency 15047ns </t>
  </si>
  <si>
    <t xml:space="preserve">87 read_latency 9350ns </t>
  </si>
  <si>
    <t xml:space="preserve">87 read_latency 17598ns </t>
  </si>
  <si>
    <t xml:space="preserve">88 read_latency 15619ns </t>
  </si>
  <si>
    <t xml:space="preserve">88 write_latency 4173ns </t>
  </si>
  <si>
    <t xml:space="preserve">89 read_latency 15422ns </t>
  </si>
  <si>
    <t xml:space="preserve">89 read_latency 12663ns </t>
  </si>
  <si>
    <t xml:space="preserve">88 read_latency 16912ns </t>
  </si>
  <si>
    <t xml:space="preserve">88 write 29865ns </t>
  </si>
  <si>
    <t xml:space="preserve">89 read_latency 7014ns </t>
  </si>
  <si>
    <t xml:space="preserve">89 write_latency 3739ns </t>
  </si>
  <si>
    <t xml:space="preserve">90 read_latency 15196ns </t>
  </si>
  <si>
    <t xml:space="preserve">90 read_latency 16018ns </t>
  </si>
  <si>
    <t xml:space="preserve">89 read_latency 11692ns </t>
  </si>
  <si>
    <t xml:space="preserve">89 write 37007ns </t>
  </si>
  <si>
    <t xml:space="preserve">90 read_latency 6959ns </t>
  </si>
  <si>
    <t xml:space="preserve">90 write_latency 3999ns </t>
  </si>
  <si>
    <t xml:space="preserve">91 read_latency 9159ns </t>
  </si>
  <si>
    <t xml:space="preserve">91 read_latency 7106ns </t>
  </si>
  <si>
    <t xml:space="preserve">90 read_latency 8052ns </t>
  </si>
  <si>
    <t xml:space="preserve">90 write 24641ns </t>
  </si>
  <si>
    <t xml:space="preserve">91 read_latency 8002ns </t>
  </si>
  <si>
    <t xml:space="preserve">91 write_latency 3632ns </t>
  </si>
  <si>
    <t xml:space="preserve">92 read_latency 12469ns </t>
  </si>
  <si>
    <t xml:space="preserve">92 write_latency 10502ns </t>
  </si>
  <si>
    <t xml:space="preserve">91 read_latency 7035ns </t>
  </si>
  <si>
    <t xml:space="preserve">91 write 16047ns </t>
  </si>
  <si>
    <t xml:space="preserve">92 read_latency 8289ns </t>
  </si>
  <si>
    <t xml:space="preserve">92 read_latency 17857ns </t>
  </si>
  <si>
    <t xml:space="preserve">93 read_latency 14981ns </t>
  </si>
  <si>
    <t xml:space="preserve">93 read_latency 22900ns </t>
  </si>
  <si>
    <t xml:space="preserve">92 read_latency 8198ns </t>
  </si>
  <si>
    <t xml:space="preserve">92 read_latency 7474ns </t>
  </si>
  <si>
    <t xml:space="preserve">93 read_latency 11912ns </t>
  </si>
  <si>
    <t xml:space="preserve">93 write_latency 3648ns </t>
  </si>
  <si>
    <t xml:space="preserve">94 read_latency 14975ns </t>
  </si>
  <si>
    <t xml:space="preserve">94 read_latency 27272ns </t>
  </si>
  <si>
    <t xml:space="preserve">93 read_latency 9485ns </t>
  </si>
  <si>
    <t xml:space="preserve">93 write 47774ns </t>
  </si>
  <si>
    <t xml:space="preserve">94 read_latency 9072ns </t>
  </si>
  <si>
    <t xml:space="preserve">94 write_latency 3781ns </t>
  </si>
  <si>
    <t xml:space="preserve">95 read_latency 14194ns </t>
  </si>
  <si>
    <t xml:space="preserve">95 write_latency 9581ns </t>
  </si>
  <si>
    <t xml:space="preserve">94 read_latency 7475ns </t>
  </si>
  <si>
    <t xml:space="preserve">94 write 33488ns </t>
  </si>
  <si>
    <t xml:space="preserve">95 read_latency 7076ns </t>
  </si>
  <si>
    <t xml:space="preserve">95 write_latency 4050ns </t>
  </si>
  <si>
    <t xml:space="preserve">96 read_latency 7022ns </t>
  </si>
  <si>
    <t xml:space="preserve">96 read_latency 16074ns </t>
  </si>
  <si>
    <t xml:space="preserve">95 read_latency 9854ns </t>
  </si>
  <si>
    <t xml:space="preserve">95 write 8339ns </t>
  </si>
  <si>
    <t xml:space="preserve">96 read_latency 6657ns </t>
  </si>
  <si>
    <t xml:space="preserve">96 read_latency 10813ns </t>
  </si>
  <si>
    <t xml:space="preserve">97 read_latency 13344ns </t>
  </si>
  <si>
    <t xml:space="preserve">97 write_latency 9654ns </t>
  </si>
  <si>
    <t xml:space="preserve">96 read_latency 16840ns </t>
  </si>
  <si>
    <t xml:space="preserve">96 read_latency 8480ns </t>
  </si>
  <si>
    <t xml:space="preserve">97 read_latency 7851ns </t>
  </si>
  <si>
    <t xml:space="preserve">97 write_latency 3295ns </t>
  </si>
  <si>
    <t xml:space="preserve">98 read_latency 10241ns </t>
  </si>
  <si>
    <t xml:space="preserve">98 read_latency 11802ns </t>
  </si>
  <si>
    <t xml:space="preserve">97 read_latency 8094ns </t>
  </si>
  <si>
    <t xml:space="preserve">97 write 7939ns </t>
  </si>
  <si>
    <t xml:space="preserve">98 read_latency 7787ns </t>
  </si>
  <si>
    <t xml:space="preserve">98 read_latency 11003ns </t>
  </si>
  <si>
    <t xml:space="preserve">99 read_latency 24253ns </t>
  </si>
  <si>
    <t xml:space="preserve">99 read_latency 14229ns </t>
  </si>
  <si>
    <t xml:space="preserve">98 read_latency 6603ns </t>
  </si>
  <si>
    <t xml:space="preserve">98 read_latency 16896ns </t>
  </si>
  <si>
    <t xml:space="preserve">99 read_latency 13098ns </t>
  </si>
  <si>
    <t xml:space="preserve">99 write_latency 3908ns </t>
  </si>
  <si>
    <t xml:space="preserve">100 read_latency 11857ns </t>
  </si>
  <si>
    <t xml:space="preserve">100 read_latency 17726ns </t>
  </si>
  <si>
    <t xml:space="preserve">99 read_latency 8181ns </t>
  </si>
  <si>
    <t xml:space="preserve">99 write 15586ns </t>
  </si>
  <si>
    <t xml:space="preserve">100 read_latency 8134ns </t>
  </si>
  <si>
    <t xml:space="preserve">100 read_latency 9634ns </t>
  </si>
  <si>
    <t xml:space="preserve">101 read_latency 16417ns </t>
  </si>
  <si>
    <t xml:space="preserve">101 read_latency 8749ns </t>
  </si>
  <si>
    <t xml:space="preserve">100 read_latency 15935ns </t>
  </si>
  <si>
    <t xml:space="preserve">100 read_latency 7701ns </t>
  </si>
  <si>
    <t xml:space="preserve">101 write_latency 3451ns </t>
  </si>
  <si>
    <t xml:space="preserve">101 read_latency 12333ns </t>
  </si>
  <si>
    <t xml:space="preserve">102 read_latency 11764ns </t>
  </si>
  <si>
    <t xml:space="preserve">102 read_latency 8335ns </t>
  </si>
  <si>
    <t xml:space="preserve">101 write 10816ns </t>
  </si>
  <si>
    <t xml:space="preserve">101 read_latency 35003ns </t>
  </si>
  <si>
    <t xml:space="preserve">102 read_latency 6776ns </t>
  </si>
  <si>
    <t xml:space="preserve">102 read_latency 13689ns </t>
  </si>
  <si>
    <t xml:space="preserve">103 read_latency 9601ns </t>
  </si>
  <si>
    <t xml:space="preserve">103 write_latency 9807ns </t>
  </si>
  <si>
    <t xml:space="preserve">102 read_latency 30453ns </t>
  </si>
  <si>
    <t xml:space="preserve">102 read_latency 6873ns </t>
  </si>
  <si>
    <t xml:space="preserve">103 read_latency 7557ns </t>
  </si>
  <si>
    <t xml:space="preserve">103 read_latency 10846ns </t>
  </si>
  <si>
    <t xml:space="preserve">104 read_latency 17250ns </t>
  </si>
  <si>
    <t xml:space="preserve">104 read_latency 10716ns </t>
  </si>
  <si>
    <t xml:space="preserve">103 read_latency 7101ns </t>
  </si>
  <si>
    <t xml:space="preserve">103 read_latency 6742ns </t>
  </si>
  <si>
    <t xml:space="preserve">104 read_latency 6378ns </t>
  </si>
  <si>
    <t xml:space="preserve">104 write_latency 3909ns </t>
  </si>
  <si>
    <t xml:space="preserve">105 read_latency 11636ns </t>
  </si>
  <si>
    <t xml:space="preserve">105 write_latency 32220ns </t>
  </si>
  <si>
    <t xml:space="preserve">104 read_latency 8550ns </t>
  </si>
  <si>
    <t xml:space="preserve">104 write 43168ns </t>
  </si>
  <si>
    <t xml:space="preserve">105 read_latency 8336ns </t>
  </si>
  <si>
    <t xml:space="preserve">105 read_latency 9038ns </t>
  </si>
  <si>
    <t xml:space="preserve">106 read_latency 6979ns </t>
  </si>
  <si>
    <t xml:space="preserve">106 read_latency 15800ns </t>
  </si>
  <si>
    <t xml:space="preserve">105 read_latency 13918ns </t>
  </si>
  <si>
    <t xml:space="preserve">105 read_latency 9281ns </t>
  </si>
  <si>
    <t xml:space="preserve">106 read_latency 11777ns </t>
  </si>
  <si>
    <t xml:space="preserve">106 read_latency 8301ns </t>
  </si>
  <si>
    <t xml:space="preserve">107 read_latency 12127ns </t>
  </si>
  <si>
    <t xml:space="preserve">107 read_latency 9901ns </t>
  </si>
  <si>
    <t xml:space="preserve">106 read_latency 7759ns </t>
  </si>
  <si>
    <t xml:space="preserve">106 read_latency 7551ns </t>
  </si>
  <si>
    <t xml:space="preserve">107 read_latency 11015ns </t>
  </si>
  <si>
    <t xml:space="preserve">107 write_latency 3773ns </t>
  </si>
  <si>
    <t xml:space="preserve">108 read_latency 7005ns </t>
  </si>
  <si>
    <t xml:space="preserve">108 read_latency 10821ns </t>
  </si>
  <si>
    <t xml:space="preserve">107 read_latency 9116ns </t>
  </si>
  <si>
    <t xml:space="preserve">107 write 49295ns </t>
  </si>
  <si>
    <t xml:space="preserve">108 read_latency 7968ns </t>
  </si>
  <si>
    <t xml:space="preserve">108 read_latency 8456ns </t>
  </si>
  <si>
    <t xml:space="preserve">109 read_latency 13645ns </t>
  </si>
  <si>
    <t xml:space="preserve">109 write_latency 9280ns </t>
  </si>
  <si>
    <t xml:space="preserve">108 read_latency 7931ns </t>
  </si>
  <si>
    <t xml:space="preserve">108 read_latency 7074ns </t>
  </si>
  <si>
    <t xml:space="preserve">109 read_latency 10266ns </t>
  </si>
  <si>
    <t xml:space="preserve">109 read_latency 10328ns </t>
  </si>
  <si>
    <t xml:space="preserve">110 read_latency 11583ns </t>
  </si>
  <si>
    <t xml:space="preserve">110 write_latency 7555ns </t>
  </si>
  <si>
    <t xml:space="preserve">109 read_latency 8454ns </t>
  </si>
  <si>
    <t xml:space="preserve">109 read_latency 23303ns </t>
  </si>
  <si>
    <t xml:space="preserve">110 read_latency 18577ns </t>
  </si>
  <si>
    <t xml:space="preserve">110 write_latency 4614ns </t>
  </si>
  <si>
    <t xml:space="preserve">111 write_latency 9844ns </t>
  </si>
  <si>
    <t xml:space="preserve">111 read_latency 12901ns </t>
  </si>
  <si>
    <t xml:space="preserve">110 read_latency 7501ns </t>
  </si>
  <si>
    <t xml:space="preserve">110 write 10903ns </t>
  </si>
  <si>
    <t xml:space="preserve">111 write_latency 3559ns </t>
  </si>
  <si>
    <t xml:space="preserve">111 write_latency 4034ns </t>
  </si>
  <si>
    <t xml:space="preserve">112 read_latency 13379ns </t>
  </si>
  <si>
    <t xml:space="preserve">112 write_latency 10756ns </t>
  </si>
  <si>
    <t xml:space="preserve">111 write 13131ns </t>
  </si>
  <si>
    <t xml:space="preserve">111 write 37729ns </t>
  </si>
  <si>
    <t xml:space="preserve">112 read_latency 9003ns </t>
  </si>
  <si>
    <t xml:space="preserve">112 write_latency 3097ns </t>
  </si>
  <si>
    <t xml:space="preserve">113 read_latency 7528ns </t>
  </si>
  <si>
    <t xml:space="preserve">113 write_latency 7490ns </t>
  </si>
  <si>
    <t xml:space="preserve">112 read_latency 7470ns </t>
  </si>
  <si>
    <t xml:space="preserve">112 write 35142ns </t>
  </si>
  <si>
    <t xml:space="preserve">113 read_latency 10943ns </t>
  </si>
  <si>
    <t xml:space="preserve">113 read_latency 7478ns </t>
  </si>
  <si>
    <t xml:space="preserve">114 read_latency 18157ns </t>
  </si>
  <si>
    <t xml:space="preserve">114 read_latency 12846ns </t>
  </si>
  <si>
    <t xml:space="preserve">113 read_latency 7083ns </t>
  </si>
  <si>
    <t xml:space="preserve">113 read_latency 8386ns </t>
  </si>
  <si>
    <t xml:space="preserve">114 read_latency 17585ns </t>
  </si>
  <si>
    <t xml:space="preserve">114 read_latency 17956ns </t>
  </si>
  <si>
    <t xml:space="preserve">115 read_latency 12986ns </t>
  </si>
  <si>
    <t xml:space="preserve">115 read_latency 13683ns </t>
  </si>
  <si>
    <t xml:space="preserve">114 read_latency 10949ns </t>
  </si>
  <si>
    <t xml:space="preserve">114 read_latency 20313ns </t>
  </si>
  <si>
    <t xml:space="preserve">115 read_latency 10974ns </t>
  </si>
  <si>
    <t xml:space="preserve">115 read_latency 6499ns </t>
  </si>
  <si>
    <t xml:space="preserve">116 read_latency 16114ns </t>
  </si>
  <si>
    <t xml:space="preserve">116 read_latency 13214ns </t>
  </si>
  <si>
    <t xml:space="preserve">115 read_latency 7969ns </t>
  </si>
  <si>
    <t xml:space="preserve">115 read_latency 33348ns </t>
  </si>
  <si>
    <t xml:space="preserve">116 read_latency 6471ns </t>
  </si>
  <si>
    <t xml:space="preserve">116 write_latency 2883ns </t>
  </si>
  <si>
    <t xml:space="preserve">117 write_latency 7507ns </t>
  </si>
  <si>
    <t xml:space="preserve">117 write_latency 8343ns </t>
  </si>
  <si>
    <t xml:space="preserve">116 read_latency 7099ns </t>
  </si>
  <si>
    <t xml:space="preserve">116 write 57157ns </t>
  </si>
  <si>
    <t xml:space="preserve">117 read_latency 10159ns </t>
  </si>
  <si>
    <t xml:space="preserve">117 read_latency 31842ns </t>
  </si>
  <si>
    <t xml:space="preserve">118 read_latency 23433ns </t>
  </si>
  <si>
    <t xml:space="preserve">118 read_latency 11612ns </t>
  </si>
  <si>
    <t xml:space="preserve">117 read_latency 7714ns </t>
  </si>
  <si>
    <t xml:space="preserve">117 read_latency 8940ns </t>
  </si>
  <si>
    <t xml:space="preserve">118 read_latency 12603ns </t>
  </si>
  <si>
    <t xml:space="preserve">118 read_latency 6132ns </t>
  </si>
  <si>
    <t xml:space="preserve">119 read_latency 13582ns </t>
  </si>
  <si>
    <t xml:space="preserve">119 read_latency 11629ns </t>
  </si>
  <si>
    <t xml:space="preserve">118 read_latency 7008ns </t>
  </si>
  <si>
    <t xml:space="preserve">118 read_latency 6363ns </t>
  </si>
  <si>
    <t xml:space="preserve">119 read_latency 8424ns </t>
  </si>
  <si>
    <t xml:space="preserve">119 read_latency 6468ns </t>
  </si>
  <si>
    <t xml:space="preserve">120 read_latency 12435ns </t>
  </si>
  <si>
    <t xml:space="preserve">120 read_latency 10852ns </t>
  </si>
  <si>
    <t xml:space="preserve">119 read_latency 21189ns </t>
  </si>
  <si>
    <t xml:space="preserve">119 read_latency 9379ns </t>
  </si>
  <si>
    <t xml:space="preserve">120 read_latency 6524ns </t>
  </si>
  <si>
    <t xml:space="preserve">120 read_latency 8649ns </t>
  </si>
  <si>
    <t xml:space="preserve">121 read_latency 14174ns </t>
  </si>
  <si>
    <t xml:space="preserve">121 write_latency 8842ns </t>
  </si>
  <si>
    <t xml:space="preserve">120 read_latency 7102ns </t>
  </si>
  <si>
    <t xml:space="preserve">120 read_latency 6759ns </t>
  </si>
  <si>
    <t xml:space="preserve">121 read_latency 9213ns </t>
  </si>
  <si>
    <t xml:space="preserve">121 read_latency 9345ns </t>
  </si>
  <si>
    <t xml:space="preserve">122 write_latency 6599ns </t>
  </si>
  <si>
    <t xml:space="preserve">122 write_latency 9767ns </t>
  </si>
  <si>
    <t xml:space="preserve">121 read_latency 11207ns </t>
  </si>
  <si>
    <t xml:space="preserve">121 read_latency 6918ns </t>
  </si>
  <si>
    <t xml:space="preserve">122 read_latency 13665ns </t>
  </si>
  <si>
    <t xml:space="preserve">122 write_latency 2940ns </t>
  </si>
  <si>
    <t xml:space="preserve">123 read_latency 6974ns </t>
  </si>
  <si>
    <t xml:space="preserve">123 read_latency 16781ns </t>
  </si>
  <si>
    <t xml:space="preserve">122 read_latency 7670ns </t>
  </si>
  <si>
    <t xml:space="preserve">122 write 32159ns </t>
  </si>
  <si>
    <t xml:space="preserve">123 read_latency 10579ns </t>
  </si>
  <si>
    <t xml:space="preserve">123 read_latency 7420ns </t>
  </si>
  <si>
    <t xml:space="preserve">124 read_latency 15156ns </t>
  </si>
  <si>
    <t xml:space="preserve">124 read_latency 11349ns </t>
  </si>
  <si>
    <t xml:space="preserve">123 read_latency 7238ns </t>
  </si>
  <si>
    <t xml:space="preserve">123 read_latency 7871ns </t>
  </si>
  <si>
    <t xml:space="preserve">124 read_latency 6326ns </t>
  </si>
  <si>
    <t xml:space="preserve">124 read_latency 6681ns </t>
  </si>
  <si>
    <t xml:space="preserve">125 write_latency 7042ns </t>
  </si>
  <si>
    <t xml:space="preserve">125 write_latency 7848ns </t>
  </si>
  <si>
    <t xml:space="preserve">124 read_latency 7111ns </t>
  </si>
  <si>
    <t xml:space="preserve">124 read_latency 7187ns </t>
  </si>
  <si>
    <t xml:space="preserve">125 read_latency 8191ns </t>
  </si>
  <si>
    <t xml:space="preserve">125 read_latency 10257ns </t>
  </si>
  <si>
    <t xml:space="preserve">126 read_latency 14038ns </t>
  </si>
  <si>
    <t xml:space="preserve">126 read_latency 17770ns </t>
  </si>
  <si>
    <t xml:space="preserve">125 read_latency 13317ns </t>
  </si>
  <si>
    <t xml:space="preserve">125 read_latency 6455ns </t>
  </si>
  <si>
    <t xml:space="preserve">126 read_latency 6535ns </t>
  </si>
  <si>
    <t xml:space="preserve">126 read_latency 6997ns </t>
  </si>
  <si>
    <t xml:space="preserve">127 read_latency 16038ns </t>
  </si>
  <si>
    <t xml:space="preserve">127 read_latency 9834ns </t>
  </si>
  <si>
    <t xml:space="preserve">126 read_latency 10258ns </t>
  </si>
  <si>
    <t xml:space="preserve">126 read_latency 6867ns </t>
  </si>
  <si>
    <t xml:space="preserve">127 read_latency 7887ns </t>
  </si>
  <si>
    <t xml:space="preserve">127 read_latency 11999ns </t>
  </si>
  <si>
    <t xml:space="preserve">128 read_latency 13616ns </t>
  </si>
  <si>
    <t xml:space="preserve">128 write_latency 8715ns </t>
  </si>
  <si>
    <t xml:space="preserve">127 read_latency 6276ns </t>
  </si>
  <si>
    <t xml:space="preserve">127 read_latency 8883ns </t>
  </si>
  <si>
    <t xml:space="preserve">128 read_latency 14145ns </t>
  </si>
  <si>
    <t xml:space="preserve">128 read_latency 12919ns </t>
  </si>
  <si>
    <t xml:space="preserve">129 read_latency 18862ns </t>
  </si>
  <si>
    <t xml:space="preserve">129 write_latency 7333ns </t>
  </si>
  <si>
    <t xml:space="preserve">128 read_latency 16340ns </t>
  </si>
  <si>
    <t xml:space="preserve">128 read_latency 11216ns </t>
  </si>
  <si>
    <t xml:space="preserve">129 read_latency 8314ns </t>
  </si>
  <si>
    <t xml:space="preserve">129 read_latency 6833ns </t>
  </si>
  <si>
    <t xml:space="preserve">130 read_latency 33101ns </t>
  </si>
  <si>
    <t xml:space="preserve">130 write_latency 8426ns </t>
  </si>
  <si>
    <t xml:space="preserve">129 read_latency 8030ns </t>
  </si>
  <si>
    <t xml:space="preserve">129 read_latency 7681ns </t>
  </si>
  <si>
    <t xml:space="preserve">130 read_latency 11200ns </t>
  </si>
  <si>
    <t xml:space="preserve">130 write_latency 3186ns </t>
  </si>
  <si>
    <t xml:space="preserve">131 read_latency 14076ns </t>
  </si>
  <si>
    <t xml:space="preserve">131 read_latency 10964ns </t>
  </si>
  <si>
    <t xml:space="preserve">130 read_latency 6666ns </t>
  </si>
  <si>
    <t xml:space="preserve">130 write 53438ns </t>
  </si>
  <si>
    <t xml:space="preserve">131 read_latency 6627ns </t>
  </si>
  <si>
    <t xml:space="preserve">131 write_latency 2923ns </t>
  </si>
  <si>
    <t xml:space="preserve">132 read_latency 6594ns </t>
  </si>
  <si>
    <t xml:space="preserve">132 write_latency 10668ns </t>
  </si>
  <si>
    <t xml:space="preserve">131 read_latency 10971ns </t>
  </si>
  <si>
    <t xml:space="preserve">131 write 33765ns </t>
  </si>
  <si>
    <t xml:space="preserve">132 read_latency 7217ns </t>
  </si>
  <si>
    <t xml:space="preserve">132 read_latency 8351ns </t>
  </si>
  <si>
    <t xml:space="preserve">133 read_latency 20328ns </t>
  </si>
  <si>
    <t xml:space="preserve">133 write_latency 5573ns </t>
  </si>
  <si>
    <t xml:space="preserve">132 read_latency 13510ns </t>
  </si>
  <si>
    <t xml:space="preserve">132 read_latency 6797ns </t>
  </si>
  <si>
    <t xml:space="preserve">133 read_latency 6422ns </t>
  </si>
  <si>
    <t xml:space="preserve">133 write_latency 3384ns </t>
  </si>
  <si>
    <t xml:space="preserve">134 read_latency 18309ns </t>
  </si>
  <si>
    <t xml:space="preserve">134 write_latency 9015ns </t>
  </si>
  <si>
    <t xml:space="preserve">133 read_latency 7193ns </t>
  </si>
  <si>
    <t xml:space="preserve">133 write 63216ns </t>
  </si>
  <si>
    <t xml:space="preserve">134 read_latency 7934ns </t>
  </si>
  <si>
    <t xml:space="preserve">134 write_latency 3238ns </t>
  </si>
  <si>
    <t xml:space="preserve">135 read_latency 12045ns </t>
  </si>
  <si>
    <t xml:space="preserve">135 read_latency 12626ns </t>
  </si>
  <si>
    <t xml:space="preserve">134 read_latency 6456ns </t>
  </si>
  <si>
    <t xml:space="preserve">134 write 48859ns </t>
  </si>
  <si>
    <t xml:space="preserve">135 read_latency 14432ns </t>
  </si>
  <si>
    <t xml:space="preserve">135 write_latency 2808ns </t>
  </si>
  <si>
    <t xml:space="preserve">136 read_latency 10852ns </t>
  </si>
  <si>
    <t xml:space="preserve">136 write_latency 12973ns </t>
  </si>
  <si>
    <t xml:space="preserve">135 read_latency 6309ns </t>
  </si>
  <si>
    <t xml:space="preserve">135 write 50958ns </t>
  </si>
  <si>
    <t xml:space="preserve">136 read_latency 7834ns </t>
  </si>
  <si>
    <t xml:space="preserve">136 write_latency 2892ns </t>
  </si>
  <si>
    <t xml:space="preserve">137 read_latency 13652ns </t>
  </si>
  <si>
    <t xml:space="preserve">137 write_latency 8123ns </t>
  </si>
  <si>
    <t xml:space="preserve">136 read_latency 12253ns </t>
  </si>
  <si>
    <t xml:space="preserve">136 write 7956ns </t>
  </si>
  <si>
    <t xml:space="preserve">137 read_latency 19521ns </t>
  </si>
  <si>
    <t xml:space="preserve">137 write_latency 3120ns </t>
  </si>
  <si>
    <t xml:space="preserve">138 read_latency 18017ns </t>
  </si>
  <si>
    <t xml:space="preserve">138 read_latency 28801ns </t>
  </si>
  <si>
    <t xml:space="preserve">137 read_latency 21547ns </t>
  </si>
  <si>
    <t xml:space="preserve">137 write 7935ns </t>
  </si>
  <si>
    <t xml:space="preserve">138 write_latency 3637ns </t>
  </si>
  <si>
    <t xml:space="preserve">138 write_latency 3066ns </t>
  </si>
  <si>
    <t xml:space="preserve">139 read_latency 7008ns </t>
  </si>
  <si>
    <t xml:space="preserve">139 write_latency 7711ns </t>
  </si>
  <si>
    <t xml:space="preserve">138 write 13434ns </t>
  </si>
  <si>
    <t xml:space="preserve">138 write 45542ns </t>
  </si>
  <si>
    <t xml:space="preserve">139 read_latency 14909ns </t>
  </si>
  <si>
    <t xml:space="preserve">139 write_latency 3295ns </t>
  </si>
  <si>
    <t xml:space="preserve">140 read_latency 27689ns </t>
  </si>
  <si>
    <t xml:space="preserve">140 write_latency 9187ns </t>
  </si>
  <si>
    <t xml:space="preserve">139 read_latency 7135ns </t>
  </si>
  <si>
    <t xml:space="preserve">139 write 10318ns </t>
  </si>
  <si>
    <t xml:space="preserve">140 read_latency 15358ns </t>
  </si>
  <si>
    <t xml:space="preserve">140 read_latency 7428ns </t>
  </si>
  <si>
    <t xml:space="preserve">141 read_latency 6592ns </t>
  </si>
  <si>
    <t xml:space="preserve">141 read_latency 6834ns </t>
  </si>
  <si>
    <t xml:space="preserve">140 read_latency 7792ns </t>
  </si>
  <si>
    <t xml:space="preserve">140 read_latency 8424ns </t>
  </si>
  <si>
    <t xml:space="preserve">141 read_latency 7119ns </t>
  </si>
  <si>
    <t xml:space="preserve">141 read_latency 31430ns </t>
  </si>
  <si>
    <t xml:space="preserve">142 read_latency 15286ns </t>
  </si>
  <si>
    <t xml:space="preserve">142 read_latency 11140ns </t>
  </si>
  <si>
    <t xml:space="preserve">141 read_latency 14817ns </t>
  </si>
  <si>
    <t xml:space="preserve">141 read_latency 8043ns </t>
  </si>
  <si>
    <t xml:space="preserve">142 read_latency 15055ns </t>
  </si>
  <si>
    <t xml:space="preserve">142 write_latency 2884ns </t>
  </si>
  <si>
    <t xml:space="preserve">143 read_latency 13623ns </t>
  </si>
  <si>
    <t xml:space="preserve">143 write_latency 7065ns </t>
  </si>
  <si>
    <t xml:space="preserve">142 read_latency 18318ns </t>
  </si>
  <si>
    <t xml:space="preserve">142 write 14637ns </t>
  </si>
  <si>
    <t xml:space="preserve">143 read_latency 6787ns </t>
  </si>
  <si>
    <t xml:space="preserve">143 write_latency 3147ns </t>
  </si>
  <si>
    <t xml:space="preserve">144 write_latency 7409ns </t>
  </si>
  <si>
    <t xml:space="preserve">144 write_latency 9370ns </t>
  </si>
  <si>
    <t xml:space="preserve">143 read_latency 6413ns </t>
  </si>
  <si>
    <t xml:space="preserve">143 write 47192ns </t>
  </si>
  <si>
    <t xml:space="preserve">144 read_latency 6950ns </t>
  </si>
  <si>
    <t xml:space="preserve">144 write_latency 2904ns </t>
  </si>
  <si>
    <t xml:space="preserve">145 read_latency 15851ns </t>
  </si>
  <si>
    <t xml:space="preserve">145 read_latency 9783ns </t>
  </si>
  <si>
    <t xml:space="preserve">144 read_latency 18834ns </t>
  </si>
  <si>
    <t xml:space="preserve">144 write 55249ns </t>
  </si>
  <si>
    <t xml:space="preserve">145 read_latency 6944ns </t>
  </si>
  <si>
    <t xml:space="preserve">145 read_latency 8049ns </t>
  </si>
  <si>
    <t xml:space="preserve">146 read_latency 12957ns </t>
  </si>
  <si>
    <t xml:space="preserve">146 read_latency 18392ns </t>
  </si>
  <si>
    <t xml:space="preserve">145 read_latency 19958ns </t>
  </si>
  <si>
    <t xml:space="preserve">145 read_latency 6707ns </t>
  </si>
  <si>
    <t xml:space="preserve">146 read_latency 12308ns </t>
  </si>
  <si>
    <t xml:space="preserve">146 write_latency 2998ns </t>
  </si>
  <si>
    <t xml:space="preserve">147 read_latency 12476ns </t>
  </si>
  <si>
    <t xml:space="preserve">147 read_latency 14123ns </t>
  </si>
  <si>
    <t xml:space="preserve">146 read_latency 7692ns </t>
  </si>
  <si>
    <t xml:space="preserve">146 write 8384ns </t>
  </si>
  <si>
    <t xml:space="preserve">147 read_latency 9619ns </t>
  </si>
  <si>
    <t xml:space="preserve">147 write_latency 3318ns </t>
  </si>
  <si>
    <t xml:space="preserve">148 read_latency 7133ns </t>
  </si>
  <si>
    <t xml:space="preserve">148 write_latency 7567ns </t>
  </si>
  <si>
    <t xml:space="preserve">147 read_latency 12208ns </t>
  </si>
  <si>
    <t xml:space="preserve">147 write 50420ns </t>
  </si>
  <si>
    <t xml:space="preserve">148 read_latency 6637ns </t>
  </si>
  <si>
    <t xml:space="preserve">148 read_latency 10678ns </t>
  </si>
  <si>
    <t xml:space="preserve">149 read_latency 14198ns </t>
  </si>
  <si>
    <t xml:space="preserve">149 read_latency 9548ns </t>
  </si>
  <si>
    <t xml:space="preserve">148 read_latency 9882ns </t>
  </si>
  <si>
    <t xml:space="preserve">148 read_latency 7186ns </t>
  </si>
  <si>
    <t xml:space="preserve">149 read_latency 6936ns </t>
  </si>
  <si>
    <t xml:space="preserve">149 write_latency 3027ns </t>
  </si>
  <si>
    <t xml:space="preserve">150 read_latency 14142ns </t>
  </si>
  <si>
    <t xml:space="preserve">150 write_latency 6031ns </t>
  </si>
  <si>
    <t xml:space="preserve">149 read_latency 11529ns </t>
  </si>
  <si>
    <t xml:space="preserve">149 write 53542ns </t>
  </si>
  <si>
    <t xml:space="preserve">150 read_latency 12018ns </t>
  </si>
  <si>
    <t xml:space="preserve">150 read_latency 8717ns </t>
  </si>
  <si>
    <t xml:space="preserve">151 read_latency 14110ns </t>
  </si>
  <si>
    <t xml:space="preserve">151 read_latency 10339ns </t>
  </si>
  <si>
    <t xml:space="preserve">150 read_latency 7510ns </t>
  </si>
  <si>
    <t xml:space="preserve">150 read_latency 8435ns </t>
  </si>
  <si>
    <t xml:space="preserve">151 read_latency 9463ns </t>
  </si>
  <si>
    <t xml:space="preserve">151 write_latency 2866ns </t>
  </si>
  <si>
    <t xml:space="preserve">152 read_latency 12611ns </t>
  </si>
  <si>
    <t xml:space="preserve">152 read_latency 14260ns </t>
  </si>
  <si>
    <t xml:space="preserve">151 read_latency 9822ns </t>
  </si>
  <si>
    <t xml:space="preserve">151 write 10524ns </t>
  </si>
  <si>
    <t xml:space="preserve">152 read_latency 7320ns </t>
  </si>
  <si>
    <t xml:space="preserve">152 write_latency 3120ns </t>
  </si>
  <si>
    <t xml:space="preserve">153 read_latency 14385ns </t>
  </si>
  <si>
    <t xml:space="preserve">153 read_latency 11454ns </t>
  </si>
  <si>
    <t xml:space="preserve">152 read_latency 12412ns </t>
  </si>
  <si>
    <t xml:space="preserve">152 write 51720ns </t>
  </si>
  <si>
    <t xml:space="preserve">153 read_latency 9024ns </t>
  </si>
  <si>
    <t xml:space="preserve">153 read_latency 20753ns </t>
  </si>
  <si>
    <t xml:space="preserve">154 write_latency 7151ns </t>
  </si>
  <si>
    <t xml:space="preserve">154 write_latency 6084ns </t>
  </si>
  <si>
    <t xml:space="preserve">153 read_latency 6704ns </t>
  </si>
  <si>
    <t xml:space="preserve">153 read_latency 7499ns </t>
  </si>
  <si>
    <t xml:space="preserve">154 read_latency 7138ns </t>
  </si>
  <si>
    <t xml:space="preserve">154 read_latency 27781ns </t>
  </si>
  <si>
    <t xml:space="preserve">155 read_latency 12189ns </t>
  </si>
  <si>
    <t xml:space="preserve">155 write_latency 10400ns </t>
  </si>
  <si>
    <t xml:space="preserve">154 read_latency 17433ns </t>
  </si>
  <si>
    <t xml:space="preserve">154 read_latency 6187ns </t>
  </si>
  <si>
    <t xml:space="preserve">155 read_latency 7260ns </t>
  </si>
  <si>
    <t xml:space="preserve">155 read_latency 15246ns </t>
  </si>
  <si>
    <t xml:space="preserve">156 read_latency 27677ns </t>
  </si>
  <si>
    <t xml:space="preserve">156 read_latency 9741ns </t>
  </si>
  <si>
    <t xml:space="preserve">155 read_latency 6977ns </t>
  </si>
  <si>
    <t xml:space="preserve">155 read_latency 60270ns </t>
  </si>
  <si>
    <t xml:space="preserve">156 write_latency 3545ns </t>
  </si>
  <si>
    <t xml:space="preserve">156 write_latency 3142ns </t>
  </si>
  <si>
    <t xml:space="preserve">157 read_latency 11414ns </t>
  </si>
  <si>
    <t xml:space="preserve">157 read_latency 10415ns </t>
  </si>
  <si>
    <t xml:space="preserve">156 write 8531ns </t>
  </si>
  <si>
    <t xml:space="preserve">156 write 35583ns </t>
  </si>
  <si>
    <t xml:space="preserve">157 read_latency 6411ns </t>
  </si>
  <si>
    <t xml:space="preserve">157 read_latency 7610ns </t>
  </si>
  <si>
    <t xml:space="preserve">158 read_latency 13690ns </t>
  </si>
  <si>
    <t xml:space="preserve">158 write_latency 5983ns </t>
  </si>
  <si>
    <t xml:space="preserve">157 read_latency 8095ns </t>
  </si>
  <si>
    <t xml:space="preserve">157 read_latency 7000ns </t>
  </si>
  <si>
    <t xml:space="preserve">158 read_latency 7102ns </t>
  </si>
  <si>
    <t xml:space="preserve">158 read_latency 7624ns </t>
  </si>
  <si>
    <t xml:space="preserve">159 read_latency 14192ns </t>
  </si>
  <si>
    <t xml:space="preserve">159 write_latency 9125ns </t>
  </si>
  <si>
    <t xml:space="preserve">158 read_latency 6550ns </t>
  </si>
  <si>
    <t xml:space="preserve">158 read_latency 7289ns </t>
  </si>
  <si>
    <t xml:space="preserve">159 read_latency 9941ns </t>
  </si>
  <si>
    <t xml:space="preserve">159 read_latency 6823ns </t>
  </si>
  <si>
    <t xml:space="preserve">160 read_latency 5935ns </t>
  </si>
  <si>
    <t xml:space="preserve">160 write_latency 12100ns </t>
  </si>
  <si>
    <t xml:space="preserve">159 read_latency 6869ns </t>
  </si>
  <si>
    <t xml:space="preserve">159 read_latency 6975ns </t>
  </si>
  <si>
    <t xml:space="preserve">160 read_latency 18448ns </t>
  </si>
  <si>
    <t xml:space="preserve">160 write_latency 3078ns </t>
  </si>
  <si>
    <t xml:space="preserve">161 read_latency 27353ns </t>
  </si>
  <si>
    <t xml:space="preserve">161 write_latency 9138ns </t>
  </si>
  <si>
    <t xml:space="preserve">160 read_latency 6763ns </t>
  </si>
  <si>
    <t xml:space="preserve">160 write 37881ns </t>
  </si>
  <si>
    <t xml:space="preserve">161 read_latency 6898ns </t>
  </si>
  <si>
    <t xml:space="preserve">161 write_latency 3128ns </t>
  </si>
  <si>
    <t xml:space="preserve">162 read_latency 9277ns </t>
  </si>
  <si>
    <t xml:space="preserve">162 read_latency 15549ns </t>
  </si>
  <si>
    <t xml:space="preserve">161 read_latency 6676ns </t>
  </si>
  <si>
    <t xml:space="preserve">161 write 10298ns </t>
  </si>
  <si>
    <t xml:space="preserve">162 read_latency 8546ns </t>
  </si>
  <si>
    <t xml:space="preserve">162 read_latency 16871ns </t>
  </si>
  <si>
    <t xml:space="preserve">163 read_latency 13538ns </t>
  </si>
  <si>
    <t xml:space="preserve">163 read_latency 12463ns </t>
  </si>
  <si>
    <t xml:space="preserve">162 read_latency 13901ns </t>
  </si>
  <si>
    <t xml:space="preserve">162 read_latency 6582ns </t>
  </si>
  <si>
    <t xml:space="preserve">163 read_latency 12801ns </t>
  </si>
  <si>
    <t xml:space="preserve">163 read_latency 8032ns </t>
  </si>
  <si>
    <t xml:space="preserve">164 write_latency 6486ns </t>
  </si>
  <si>
    <t xml:space="preserve">164 write_latency 7465ns </t>
  </si>
  <si>
    <t xml:space="preserve">163 read_latency 10528ns </t>
  </si>
  <si>
    <t xml:space="preserve">163 read_latency 7288ns </t>
  </si>
  <si>
    <t xml:space="preserve">164 read_latency 7478ns </t>
  </si>
  <si>
    <t xml:space="preserve">164 write_latency 3252ns </t>
  </si>
  <si>
    <t xml:space="preserve">165 read_latency 6603ns </t>
  </si>
  <si>
    <t xml:space="preserve">165 read_latency 11807ns </t>
  </si>
  <si>
    <t xml:space="preserve">164 read_latency 7634ns </t>
  </si>
  <si>
    <t xml:space="preserve">164 write 10409ns </t>
  </si>
  <si>
    <t xml:space="preserve">165 read_latency 6816ns </t>
  </si>
  <si>
    <t xml:space="preserve">165 write_latency 3207ns </t>
  </si>
  <si>
    <t xml:space="preserve">166 read_latency 15024ns </t>
  </si>
  <si>
    <t xml:space="preserve">166 read_latency 8167ns </t>
  </si>
  <si>
    <t xml:space="preserve">165 read_latency 8384ns </t>
  </si>
  <si>
    <t xml:space="preserve">165 write 8057ns </t>
  </si>
  <si>
    <t xml:space="preserve">166 read_latency 7668ns </t>
  </si>
  <si>
    <t xml:space="preserve">166 write_latency 3162ns </t>
  </si>
  <si>
    <t xml:space="preserve">167 read_latency 8383ns </t>
  </si>
  <si>
    <t xml:space="preserve">167 read_latency 11822ns </t>
  </si>
  <si>
    <t xml:space="preserve">166 read_latency 14367ns </t>
  </si>
  <si>
    <t xml:space="preserve">166 write 49153ns </t>
  </si>
  <si>
    <t xml:space="preserve">167 read_latency 14350ns </t>
  </si>
  <si>
    <t xml:space="preserve">167 read_latency 6186ns </t>
  </si>
  <si>
    <t xml:space="preserve">168 read_latency 15759ns </t>
  </si>
  <si>
    <t xml:space="preserve">168 write_latency 7535ns </t>
  </si>
  <si>
    <t xml:space="preserve">167 read_latency 6846ns </t>
  </si>
  <si>
    <t xml:space="preserve">167 read_latency 6752ns </t>
  </si>
  <si>
    <t xml:space="preserve">168 read_latency 24291ns </t>
  </si>
  <si>
    <t xml:space="preserve">168 read_latency 6081ns </t>
  </si>
  <si>
    <t xml:space="preserve">169 read_latency 25389ns </t>
  </si>
  <si>
    <t xml:space="preserve">169 write_latency 6043ns </t>
  </si>
  <si>
    <t xml:space="preserve">168 read_latency 6808ns </t>
  </si>
  <si>
    <t xml:space="preserve">168 read_latency 6281ns </t>
  </si>
  <si>
    <t xml:space="preserve">169 read_latency 7591ns </t>
  </si>
  <si>
    <t xml:space="preserve">169 write_latency 3221ns </t>
  </si>
  <si>
    <t xml:space="preserve">170 read_latency 23395ns </t>
  </si>
  <si>
    <t xml:space="preserve">170 write_latency 18135ns </t>
  </si>
  <si>
    <t xml:space="preserve">169 read_latency 6655ns </t>
  </si>
  <si>
    <t xml:space="preserve">169 write 56863ns </t>
  </si>
  <si>
    <t xml:space="preserve">170 read_latency 7357ns </t>
  </si>
  <si>
    <t xml:space="preserve">170 read_latency 6750ns </t>
  </si>
  <si>
    <t xml:space="preserve">171 read_latency 11060ns </t>
  </si>
  <si>
    <t xml:space="preserve">171 read_latency 11132ns </t>
  </si>
  <si>
    <t xml:space="preserve">170 read_latency 31184ns </t>
  </si>
  <si>
    <t xml:space="preserve">170 read_latency 8187ns </t>
  </si>
  <si>
    <t xml:space="preserve">171 read_latency 7465ns </t>
  </si>
  <si>
    <t xml:space="preserve">171 read_latency 7153ns </t>
  </si>
  <si>
    <t xml:space="preserve">172 read_latency 14666ns </t>
  </si>
  <si>
    <t xml:space="preserve">172 read_latency 10751ns </t>
  </si>
  <si>
    <t xml:space="preserve">171 read_latency 12454ns </t>
  </si>
  <si>
    <t xml:space="preserve">171 read_latency 7084ns </t>
  </si>
  <si>
    <t xml:space="preserve">172 read_latency 11792ns </t>
  </si>
  <si>
    <t xml:space="preserve">172 write_latency 2893ns </t>
  </si>
  <si>
    <t xml:space="preserve">173 read_latency 14042ns </t>
  </si>
  <si>
    <t xml:space="preserve">173 write_latency 24248ns </t>
  </si>
  <si>
    <t xml:space="preserve">172 read_latency 6868ns </t>
  </si>
  <si>
    <t xml:space="preserve">172 write 48091ns </t>
  </si>
  <si>
    <t xml:space="preserve">173 write_latency 3419ns </t>
  </si>
  <si>
    <t xml:space="preserve">173 read_latency 6095ns </t>
  </si>
  <si>
    <t xml:space="preserve">174 read_latency 10820ns </t>
  </si>
  <si>
    <t xml:space="preserve">174 read_latency 16274ns </t>
  </si>
  <si>
    <t xml:space="preserve">173 write 8940ns </t>
  </si>
  <si>
    <t xml:space="preserve">173 read_latency 8101ns </t>
  </si>
  <si>
    <t xml:space="preserve">174 read_latency 9493ns </t>
  </si>
  <si>
    <t xml:space="preserve">174 write_latency 3135ns </t>
  </si>
  <si>
    <t xml:space="preserve">175 read_latency 6393ns </t>
  </si>
  <si>
    <t xml:space="preserve">175 read_latency 16159ns </t>
  </si>
  <si>
    <t xml:space="preserve">174 read_latency 7383ns </t>
  </si>
  <si>
    <t xml:space="preserve">174 write 54218ns </t>
  </si>
  <si>
    <t xml:space="preserve">175 read_latency 12807ns </t>
  </si>
  <si>
    <t xml:space="preserve">175 write_latency 3023ns </t>
  </si>
  <si>
    <t xml:space="preserve">176 read_latency 13396ns </t>
  </si>
  <si>
    <t xml:space="preserve">176 read_latency 27624ns </t>
  </si>
  <si>
    <t xml:space="preserve">175 read_latency 18104ns </t>
  </si>
  <si>
    <t xml:space="preserve">175 write 25535ns </t>
  </si>
  <si>
    <t xml:space="preserve">176 read_latency 7718ns </t>
  </si>
  <si>
    <t xml:space="preserve">176 write_latency 2865ns </t>
  </si>
  <si>
    <t xml:space="preserve">177 read_latency 10760ns </t>
  </si>
  <si>
    <t xml:space="preserve">177 read_latency 11084ns </t>
  </si>
  <si>
    <t xml:space="preserve">176 read_latency 7698ns </t>
  </si>
  <si>
    <t xml:space="preserve">176 write 10469ns </t>
  </si>
  <si>
    <t xml:space="preserve">177 write_latency 3347ns </t>
  </si>
  <si>
    <t xml:space="preserve">177 write_latency 3018ns </t>
  </si>
  <si>
    <t xml:space="preserve">178 read_latency 31743ns </t>
  </si>
  <si>
    <t xml:space="preserve">178 write_latency 7145ns </t>
  </si>
  <si>
    <t xml:space="preserve">177 write 8580ns </t>
  </si>
  <si>
    <t xml:space="preserve">177 write 9662ns </t>
  </si>
  <si>
    <t xml:space="preserve">178 write_latency 3461ns </t>
  </si>
  <si>
    <t xml:space="preserve">178 read_latency 8190ns </t>
  </si>
  <si>
    <t xml:space="preserve">179 read_latency 29949ns </t>
  </si>
  <si>
    <t xml:space="preserve">179 read_latency 18043ns </t>
  </si>
  <si>
    <t xml:space="preserve">178 write 8776ns </t>
  </si>
  <si>
    <t xml:space="preserve">178 read_latency 34617ns </t>
  </si>
  <si>
    <t xml:space="preserve">179 read_latency 11562ns </t>
  </si>
  <si>
    <t xml:space="preserve">179 write_latency 3210ns </t>
  </si>
  <si>
    <t xml:space="preserve">180 read_latency 23985ns </t>
  </si>
  <si>
    <t xml:space="preserve">180 read_latency 7630ns </t>
  </si>
  <si>
    <t xml:space="preserve">179 read_latency 11738ns </t>
  </si>
  <si>
    <t xml:space="preserve">179 write 9446ns </t>
  </si>
  <si>
    <t xml:space="preserve">180 read_latency 6610ns </t>
  </si>
  <si>
    <t xml:space="preserve">180 write_latency 3157ns </t>
  </si>
  <si>
    <t xml:space="preserve">181 read_latency 13866ns </t>
  </si>
  <si>
    <t xml:space="preserve">181 write_latency 9044ns </t>
  </si>
  <si>
    <t xml:space="preserve">180 read_latency 7028ns </t>
  </si>
  <si>
    <t xml:space="preserve">180 write 8346ns </t>
  </si>
  <si>
    <t xml:space="preserve">181 read_latency 11286ns </t>
  </si>
  <si>
    <t xml:space="preserve">181 read_latency 6835ns </t>
  </si>
  <si>
    <t xml:space="preserve">182 read_latency 12398ns </t>
  </si>
  <si>
    <t xml:space="preserve">182 write_latency 7515ns </t>
  </si>
  <si>
    <t xml:space="preserve">181 read_latency 11209ns </t>
  </si>
  <si>
    <t xml:space="preserve">181 read_latency 6295ns </t>
  </si>
  <si>
    <t xml:space="preserve">182 read_latency 7876ns </t>
  </si>
  <si>
    <t xml:space="preserve">182 write_latency 3265ns </t>
  </si>
  <si>
    <t xml:space="preserve">183 read_latency 25434ns </t>
  </si>
  <si>
    <t xml:space="preserve">183 read_latency 22868ns </t>
  </si>
  <si>
    <t xml:space="preserve">182 read_latency 20583ns </t>
  </si>
  <si>
    <t xml:space="preserve">182 write 28513ns </t>
  </si>
  <si>
    <t xml:space="preserve">183 read_latency 19002ns </t>
  </si>
  <si>
    <t xml:space="preserve">183 read_latency 38700ns </t>
  </si>
  <si>
    <t xml:space="preserve">184 read_latency 9138ns </t>
  </si>
  <si>
    <t xml:space="preserve">184 write_latency 5833ns </t>
  </si>
  <si>
    <t xml:space="preserve">183 read_latency 17274ns </t>
  </si>
  <si>
    <t xml:space="preserve">183 read_latency 8620ns </t>
  </si>
  <si>
    <t xml:space="preserve">184 write_latency 3462ns </t>
  </si>
  <si>
    <t xml:space="preserve">184 read_latency 6587ns </t>
  </si>
  <si>
    <t xml:space="preserve">185 read_latency 13471ns </t>
  </si>
  <si>
    <t xml:space="preserve">185 write_latency 13139ns </t>
  </si>
  <si>
    <t xml:space="preserve">184 write 8847ns </t>
  </si>
  <si>
    <t xml:space="preserve">184 read_latency 8044ns </t>
  </si>
  <si>
    <t xml:space="preserve">185 read_latency 8211ns </t>
  </si>
  <si>
    <t xml:space="preserve">185 read_latency 6632ns </t>
  </si>
  <si>
    <t xml:space="preserve">186 read_latency 27480ns </t>
  </si>
  <si>
    <t xml:space="preserve">186 read_latency 10922ns </t>
  </si>
  <si>
    <t xml:space="preserve">185 read_latency 6371ns </t>
  </si>
  <si>
    <t xml:space="preserve">185 read_latency 9744ns </t>
  </si>
  <si>
    <t xml:space="preserve">186 read_latency 11790ns </t>
  </si>
  <si>
    <t xml:space="preserve">186 write_latency 3088ns </t>
  </si>
  <si>
    <t xml:space="preserve">187 read_latency 17466ns </t>
  </si>
  <si>
    <t xml:space="preserve">187 read_latency 10941ns </t>
  </si>
  <si>
    <t xml:space="preserve">186 read_latency 6428ns </t>
  </si>
  <si>
    <t xml:space="preserve">186 write 37719ns </t>
  </si>
  <si>
    <t xml:space="preserve">187 read_latency 6474ns </t>
  </si>
  <si>
    <t xml:space="preserve">187 read_latency 6043ns </t>
  </si>
  <si>
    <t xml:space="preserve">188 read_latency 14073ns </t>
  </si>
  <si>
    <t xml:space="preserve">188 write_latency 8416ns </t>
  </si>
  <si>
    <t xml:space="preserve">187 read_latency 12122ns </t>
  </si>
  <si>
    <t xml:space="preserve">187 read_latency 6163ns </t>
  </si>
  <si>
    <t xml:space="preserve">188 read_latency 7024ns </t>
  </si>
  <si>
    <t xml:space="preserve">188 read_latency 8420ns </t>
  </si>
  <si>
    <t xml:space="preserve">189 write_latency 5940ns </t>
  </si>
  <si>
    <t xml:space="preserve">189 read_latency 10388ns </t>
  </si>
  <si>
    <t xml:space="preserve">188 read_latency 12723ns </t>
  </si>
  <si>
    <t xml:space="preserve">188 read_latency 10030ns </t>
  </si>
  <si>
    <t xml:space="preserve">189 read_latency 6941ns </t>
  </si>
  <si>
    <t xml:space="preserve">189 read_latency 8048ns </t>
  </si>
  <si>
    <t xml:space="preserve">190 read_latency 26434ns </t>
  </si>
  <si>
    <t xml:space="preserve">190 write_latency 6588ns </t>
  </si>
  <si>
    <t xml:space="preserve">189 read_latency 6603ns </t>
  </si>
  <si>
    <t xml:space="preserve">189 read_latency 36571ns </t>
  </si>
  <si>
    <t xml:space="preserve">190 read_latency 7794ns </t>
  </si>
  <si>
    <t xml:space="preserve">190 read_latency 6566ns </t>
  </si>
  <si>
    <t xml:space="preserve">191 read_latency 21275ns </t>
  </si>
  <si>
    <t xml:space="preserve">191 write_latency 5741ns </t>
  </si>
  <si>
    <t xml:space="preserve">190 read_latency 8065ns </t>
  </si>
  <si>
    <t xml:space="preserve">190 read_latency 6985ns </t>
  </si>
  <si>
    <t xml:space="preserve">191 read_latency 6975ns </t>
  </si>
  <si>
    <t xml:space="preserve">191 write_latency 3133ns </t>
  </si>
  <si>
    <t xml:space="preserve">192 read_latency 13034ns </t>
  </si>
  <si>
    <t xml:space="preserve">192 read_latency 10827ns </t>
  </si>
  <si>
    <t xml:space="preserve">191 read_latency 10847ns </t>
  </si>
  <si>
    <t xml:space="preserve">191 write 8151ns </t>
  </si>
  <si>
    <t xml:space="preserve">192 write_latency 3519ns </t>
  </si>
  <si>
    <t xml:space="preserve">192 write_latency 3343ns </t>
  </si>
  <si>
    <t xml:space="preserve">193 read_latency 18492ns </t>
  </si>
  <si>
    <t xml:space="preserve">193 read_latency 23424ns </t>
  </si>
  <si>
    <t xml:space="preserve">192 write 8198ns </t>
  </si>
  <si>
    <t xml:space="preserve">192 write 9419ns </t>
  </si>
  <si>
    <t xml:space="preserve">193 read_latency 11434ns </t>
  </si>
  <si>
    <t xml:space="preserve">193 write_latency 3517ns </t>
  </si>
  <si>
    <t xml:space="preserve">194 read_latency 13067ns </t>
  </si>
  <si>
    <t xml:space="preserve">194 write_latency 6424ns </t>
  </si>
  <si>
    <t xml:space="preserve">193 read_latency 12832ns </t>
  </si>
  <si>
    <t xml:space="preserve">193 write 43842ns </t>
  </si>
  <si>
    <t xml:space="preserve">194 read_latency 10532ns </t>
  </si>
  <si>
    <t xml:space="preserve">194 read_latency 6851ns </t>
  </si>
  <si>
    <t xml:space="preserve">195 read_latency 12629ns </t>
  </si>
  <si>
    <t xml:space="preserve">195 read_latency 11628ns </t>
  </si>
  <si>
    <t xml:space="preserve">194 read_latency 6154ns </t>
  </si>
  <si>
    <t xml:space="preserve">194 read_latency 6721ns </t>
  </si>
  <si>
    <t xml:space="preserve">195 read_latency 9599ns </t>
  </si>
  <si>
    <t xml:space="preserve">195 write_latency 3020ns </t>
  </si>
  <si>
    <t xml:space="preserve">196 read_latency 14099ns </t>
  </si>
  <si>
    <t xml:space="preserve">196 read_latency 14346ns </t>
  </si>
  <si>
    <t xml:space="preserve">195 read_latency 9835ns </t>
  </si>
  <si>
    <t xml:space="preserve">195 write 7946ns </t>
  </si>
  <si>
    <t xml:space="preserve">196 read_latency 18209ns </t>
  </si>
  <si>
    <t xml:space="preserve">196 write_latency 3170ns </t>
  </si>
  <si>
    <t xml:space="preserve">197 write_latency 14183ns </t>
  </si>
  <si>
    <t xml:space="preserve">197 read_latency 7443ns </t>
  </si>
  <si>
    <t xml:space="preserve">196 read_latency 7056ns </t>
  </si>
  <si>
    <t xml:space="preserve">196 write 8088ns </t>
  </si>
  <si>
    <t xml:space="preserve">197 read_latency 7177ns </t>
  </si>
  <si>
    <t xml:space="preserve">197 read_latency 7091ns </t>
  </si>
  <si>
    <t xml:space="preserve">198 read_latency 9499ns </t>
  </si>
  <si>
    <t xml:space="preserve">198 read_latency 9071ns </t>
  </si>
  <si>
    <t xml:space="preserve">197 read_latency 7671ns </t>
  </si>
  <si>
    <t xml:space="preserve">197 read_latency 6259ns </t>
  </si>
  <si>
    <t xml:space="preserve">198 read_latency 6602ns </t>
  </si>
  <si>
    <t xml:space="preserve">198 write_latency 3003ns </t>
  </si>
  <si>
    <t xml:space="preserve">199 read_latency 6087ns </t>
  </si>
  <si>
    <t xml:space="preserve">199 read_latency 28679ns </t>
  </si>
  <si>
    <t xml:space="preserve">198 read_latency 7829ns </t>
  </si>
  <si>
    <t xml:space="preserve">198 write 7854ns </t>
  </si>
  <si>
    <t xml:space="preserve">199 read_latency 6896ns </t>
  </si>
  <si>
    <t xml:space="preserve">199 read_latency 6356ns </t>
  </si>
  <si>
    <t xml:space="preserve">200 read_latency 14285ns </t>
  </si>
  <si>
    <t xml:space="preserve">200 write_latency 7613ns </t>
  </si>
  <si>
    <t xml:space="preserve">199 read_latency 6408ns </t>
  </si>
  <si>
    <t xml:space="preserve">199 read_latency 7987ns </t>
  </si>
  <si>
    <t xml:space="preserve">200 read_latency 10538ns </t>
  </si>
  <si>
    <t xml:space="preserve">200 read_latency 7049ns </t>
  </si>
  <si>
    <t xml:space="preserve">201 read_latency 10051ns </t>
  </si>
  <si>
    <t xml:space="preserve">201 write_latency 12557ns </t>
  </si>
  <si>
    <t xml:space="preserve">200 read_latency 7604ns </t>
  </si>
  <si>
    <t xml:space="preserve">200 read_latency 10353ns </t>
  </si>
  <si>
    <t xml:space="preserve">201 read_latency 6460ns </t>
  </si>
  <si>
    <t xml:space="preserve">201 write_latency 3074ns </t>
  </si>
  <si>
    <t xml:space="preserve">202 write_latency 7535ns </t>
  </si>
  <si>
    <t xml:space="preserve">202 write_latency 7681ns </t>
  </si>
  <si>
    <t xml:space="preserve">201 read_latency 16365ns </t>
  </si>
  <si>
    <t xml:space="preserve">201 write 56423ns </t>
  </si>
  <si>
    <t xml:space="preserve">202 read_latency 11863ns </t>
  </si>
  <si>
    <t xml:space="preserve">202 read_latency 15033ns </t>
  </si>
  <si>
    <t xml:space="preserve">203 read_latency 9616ns </t>
  </si>
  <si>
    <t xml:space="preserve">203 write_latency 7160ns </t>
  </si>
  <si>
    <t xml:space="preserve">202 read_latency 6801ns </t>
  </si>
  <si>
    <t xml:space="preserve">202 read_latency 7448ns </t>
  </si>
  <si>
    <t xml:space="preserve">203 read_latency 6718ns </t>
  </si>
  <si>
    <t xml:space="preserve">203 read_latency 11962ns </t>
  </si>
  <si>
    <t xml:space="preserve">204 read_latency 15814ns </t>
  </si>
  <si>
    <t xml:space="preserve">204 write_latency 8513ns </t>
  </si>
  <si>
    <t xml:space="preserve">203 read_latency 6247ns </t>
  </si>
  <si>
    <t xml:space="preserve">203 read_latency 8875ns </t>
  </si>
  <si>
    <t xml:space="preserve">204 read_latency 7118ns </t>
  </si>
  <si>
    <t xml:space="preserve">204 read_latency 21115ns </t>
  </si>
  <si>
    <t xml:space="preserve">205 read_latency 9365ns </t>
  </si>
  <si>
    <t xml:space="preserve">205 write_latency 7867ns </t>
  </si>
  <si>
    <t xml:space="preserve">204 read_latency 6946ns </t>
  </si>
  <si>
    <t xml:space="preserve">204 read_latency 7526ns </t>
  </si>
  <si>
    <t xml:space="preserve">205 read_latency 11747ns </t>
  </si>
  <si>
    <t xml:space="preserve">205 write_latency 2936ns </t>
  </si>
  <si>
    <t xml:space="preserve">206 read_latency 13004ns </t>
  </si>
  <si>
    <t xml:space="preserve">206 read_latency 7869ns </t>
  </si>
  <si>
    <t xml:space="preserve">205 read_latency 19751ns </t>
  </si>
  <si>
    <t xml:space="preserve">205 write 11471ns </t>
  </si>
  <si>
    <t xml:space="preserve">206 read_latency 14228ns </t>
  </si>
  <si>
    <t xml:space="preserve">206 read_latency 23941ns </t>
  </si>
  <si>
    <t xml:space="preserve">207 read_latency 10997ns </t>
  </si>
  <si>
    <t xml:space="preserve">207 read_latency 43436ns </t>
  </si>
  <si>
    <t xml:space="preserve">206 read_latency 7865ns </t>
  </si>
  <si>
    <t xml:space="preserve">206 read_latency 7670ns </t>
  </si>
  <si>
    <t xml:space="preserve">207 read_latency 6697ns </t>
  </si>
  <si>
    <t xml:space="preserve">207 read_latency 7361ns </t>
  </si>
  <si>
    <t xml:space="preserve">208 write_latency 8281ns </t>
  </si>
  <si>
    <t xml:space="preserve">208 write_latency 7620ns </t>
  </si>
  <si>
    <t xml:space="preserve">207 read_latency 6922ns </t>
  </si>
  <si>
    <t xml:space="preserve">207 read_latency 6504ns </t>
  </si>
  <si>
    <t xml:space="preserve">208 read_latency 14236ns </t>
  </si>
  <si>
    <t xml:space="preserve">208 write_latency 3120ns </t>
  </si>
  <si>
    <t xml:space="preserve">209 read_latency 26124ns </t>
  </si>
  <si>
    <t xml:space="preserve">209 read_latency 12672ns </t>
  </si>
  <si>
    <t xml:space="preserve">208 read_latency 13574ns </t>
  </si>
  <si>
    <t xml:space="preserve">208 write 47284ns </t>
  </si>
  <si>
    <t xml:space="preserve">209 read_latency 7163ns </t>
  </si>
  <si>
    <t xml:space="preserve">209 read_latency 7786ns </t>
  </si>
  <si>
    <t xml:space="preserve">210 write_latency 5991ns </t>
  </si>
  <si>
    <t xml:space="preserve">210 read_latency 8603ns </t>
  </si>
  <si>
    <t xml:space="preserve">209 read_latency 12125ns </t>
  </si>
  <si>
    <t xml:space="preserve">209 read_latency 6910ns </t>
  </si>
  <si>
    <t xml:space="preserve">210 read_latency 7807ns </t>
  </si>
  <si>
    <t xml:space="preserve">210 read_latency 8279ns </t>
  </si>
  <si>
    <t xml:space="preserve">211 read_latency 14709ns </t>
  </si>
  <si>
    <t xml:space="preserve">211 write_latency 8211ns </t>
  </si>
  <si>
    <t xml:space="preserve">210 read_latency 9498ns </t>
  </si>
  <si>
    <t xml:space="preserve">210 read_latency 6587ns </t>
  </si>
  <si>
    <t xml:space="preserve">211 read_latency 6862ns </t>
  </si>
  <si>
    <t xml:space="preserve">211 write_latency 3061ns </t>
  </si>
  <si>
    <t xml:space="preserve">212 read_latency 19003ns </t>
  </si>
  <si>
    <t xml:space="preserve">212 write_latency 20804ns </t>
  </si>
  <si>
    <t xml:space="preserve">211 read_latency 6738ns </t>
  </si>
  <si>
    <t xml:space="preserve">211 write 9159ns </t>
  </si>
  <si>
    <t xml:space="preserve">212 read_latency 8041ns </t>
  </si>
  <si>
    <t xml:space="preserve">212 read_latency 18260ns </t>
  </si>
  <si>
    <t xml:space="preserve">213 read_latency 13531ns </t>
  </si>
  <si>
    <t xml:space="preserve">213 read_latency 11108ns </t>
  </si>
  <si>
    <t xml:space="preserve">212 read_latency 7249ns </t>
  </si>
  <si>
    <t xml:space="preserve">212 read_latency 7133ns </t>
  </si>
  <si>
    <t xml:space="preserve">213 read_latency 10061ns </t>
  </si>
  <si>
    <t xml:space="preserve">213 write_latency 3107ns </t>
  </si>
  <si>
    <t xml:space="preserve">214 read_latency 15147ns </t>
  </si>
  <si>
    <t xml:space="preserve">214 read_latency 14474ns </t>
  </si>
  <si>
    <t xml:space="preserve">213 read_latency 9999ns </t>
  </si>
  <si>
    <t xml:space="preserve">213 write 8120ns </t>
  </si>
  <si>
    <t xml:space="preserve">214 read_latency 6957ns </t>
  </si>
  <si>
    <t xml:space="preserve">214 write_latency 2946ns </t>
  </si>
  <si>
    <t xml:space="preserve">215 read_latency 18620ns </t>
  </si>
  <si>
    <t xml:space="preserve">215 write_latency 10008ns </t>
  </si>
  <si>
    <t xml:space="preserve">214 read_latency 9859ns </t>
  </si>
  <si>
    <t xml:space="preserve">214 write 8583ns </t>
  </si>
  <si>
    <t xml:space="preserve">215 read_latency 7679ns </t>
  </si>
  <si>
    <t xml:space="preserve">215 read_latency 8019ns </t>
  </si>
  <si>
    <t xml:space="preserve">216 read_latency 15317ns </t>
  </si>
  <si>
    <t xml:space="preserve">216 read_latency 11835ns </t>
  </si>
  <si>
    <t xml:space="preserve">215 read_latency 21670ns </t>
  </si>
  <si>
    <t xml:space="preserve">215 read_latency 6785ns </t>
  </si>
  <si>
    <t xml:space="preserve">216 read_latency 7693ns </t>
  </si>
  <si>
    <t xml:space="preserve">216 write_latency 2926ns </t>
  </si>
  <si>
    <t xml:space="preserve">217 read_latency 7866ns </t>
  </si>
  <si>
    <t xml:space="preserve">217 write_latency 8788ns </t>
  </si>
  <si>
    <t xml:space="preserve">216 read_latency 11171ns </t>
  </si>
  <si>
    <t xml:space="preserve">216 write 8069ns </t>
  </si>
  <si>
    <t xml:space="preserve">217 read_latency 21225ns </t>
  </si>
  <si>
    <t xml:space="preserve">217 write_latency 3021ns </t>
  </si>
  <si>
    <t xml:space="preserve">218 read_latency 13793ns </t>
  </si>
  <si>
    <t xml:space="preserve">218 write_latency 7572ns </t>
  </si>
  <si>
    <t xml:space="preserve">217 read_latency 6120ns </t>
  </si>
  <si>
    <t xml:space="preserve">217 write 10300ns </t>
  </si>
  <si>
    <t xml:space="preserve">218 read_latency 6473ns </t>
  </si>
  <si>
    <t xml:space="preserve">218 write_latency 3385ns </t>
  </si>
  <si>
    <t xml:space="preserve">219 read_latency 9511ns </t>
  </si>
  <si>
    <t xml:space="preserve">219 read_latency 8245ns </t>
  </si>
  <si>
    <t xml:space="preserve">218 read_latency 6202ns </t>
  </si>
  <si>
    <t xml:space="preserve">218 write 9722ns </t>
  </si>
  <si>
    <t xml:space="preserve">219 read_latency 8826ns </t>
  </si>
  <si>
    <t xml:space="preserve">219 read_latency 7302ns </t>
  </si>
  <si>
    <t xml:space="preserve">220 read_latency 20565ns </t>
  </si>
  <si>
    <t xml:space="preserve">220 read_latency 12568ns </t>
  </si>
  <si>
    <t xml:space="preserve">219 read_latency 6869ns </t>
  </si>
  <si>
    <t xml:space="preserve">219 read_latency 22110ns </t>
  </si>
  <si>
    <t xml:space="preserve">220 read_latency 7697ns </t>
  </si>
  <si>
    <t xml:space="preserve">220 read_latency 6072ns </t>
  </si>
  <si>
    <t xml:space="preserve">221 read_latency 13650ns </t>
  </si>
  <si>
    <t xml:space="preserve">221 read_latency 10431ns </t>
  </si>
  <si>
    <t xml:space="preserve">220 read_latency 7593ns </t>
  </si>
  <si>
    <t xml:space="preserve">220 read_latency 10733ns </t>
  </si>
  <si>
    <t xml:space="preserve">221 read_latency 8637ns </t>
  </si>
  <si>
    <t xml:space="preserve">221 read_latency 14713ns </t>
  </si>
  <si>
    <t xml:space="preserve">222 read_latency 7348ns </t>
  </si>
  <si>
    <t xml:space="preserve">222 write_latency 27593ns </t>
  </si>
  <si>
    <t xml:space="preserve">221 read_latency 16367ns </t>
  </si>
  <si>
    <t xml:space="preserve">221 read_latency 14109ns </t>
  </si>
  <si>
    <t xml:space="preserve">222 read_latency 6380ns </t>
  </si>
  <si>
    <t xml:space="preserve">222 read_latency 7220ns </t>
  </si>
  <si>
    <t xml:space="preserve">223 read_latency 19443ns </t>
  </si>
  <si>
    <t xml:space="preserve">223 read_latency 11112ns </t>
  </si>
  <si>
    <t xml:space="preserve">222 read_latency 8238ns </t>
  </si>
  <si>
    <t xml:space="preserve">222 read_latency 6779ns </t>
  </si>
  <si>
    <t xml:space="preserve">223 read_latency 7987ns </t>
  </si>
  <si>
    <t xml:space="preserve">223 write_latency 3874ns </t>
  </si>
  <si>
    <t xml:space="preserve">224 write_latency 12308ns </t>
  </si>
  <si>
    <t xml:space="preserve">224 write_latency 8369ns </t>
  </si>
  <si>
    <t xml:space="preserve">223 read_latency 7354ns </t>
  </si>
  <si>
    <t xml:space="preserve">223 write 10304ns </t>
  </si>
  <si>
    <t xml:space="preserve">224 write_latency 3516ns </t>
  </si>
  <si>
    <t xml:space="preserve">224 read_latency 6434ns </t>
  </si>
  <si>
    <t xml:space="preserve">225 read_latency 13337ns </t>
  </si>
  <si>
    <t xml:space="preserve">225 write_latency 19162ns </t>
  </si>
  <si>
    <t xml:space="preserve">224 write 8357ns </t>
  </si>
  <si>
    <t xml:space="preserve">224 read_latency 8755ns </t>
  </si>
  <si>
    <t xml:space="preserve">225 read_latency 7149ns </t>
  </si>
  <si>
    <t xml:space="preserve">225 write_latency 2916ns </t>
  </si>
  <si>
    <t xml:space="preserve">226 read_latency 12848ns </t>
  </si>
  <si>
    <t xml:space="preserve">226 write_latency 12841ns </t>
  </si>
  <si>
    <t xml:space="preserve">225 read_latency 8617ns </t>
  </si>
  <si>
    <t xml:space="preserve">225 write 53873ns </t>
  </si>
  <si>
    <t xml:space="preserve">226 read_latency 7028ns </t>
  </si>
  <si>
    <t xml:space="preserve">226 read_latency 22576ns </t>
  </si>
  <si>
    <t xml:space="preserve">227 read_latency 13236ns </t>
  </si>
  <si>
    <t xml:space="preserve">227 read_latency 8567ns </t>
  </si>
  <si>
    <t xml:space="preserve">226 read_latency 8689ns </t>
  </si>
  <si>
    <t xml:space="preserve">226 read_latency 10170ns </t>
  </si>
  <si>
    <t xml:space="preserve">227 read_latency 6545ns </t>
  </si>
  <si>
    <t xml:space="preserve">227 write_latency 3110ns </t>
  </si>
  <si>
    <t xml:space="preserve">228 read_latency 13009ns </t>
  </si>
  <si>
    <t xml:space="preserve">228 write_latency 9331ns </t>
  </si>
  <si>
    <t xml:space="preserve">227 read_latency 7280ns </t>
  </si>
  <si>
    <t xml:space="preserve">227 write 29096ns </t>
  </si>
  <si>
    <t xml:space="preserve">228 read_latency 7086ns </t>
  </si>
  <si>
    <t xml:space="preserve">228 write_latency 3249ns </t>
  </si>
  <si>
    <t xml:space="preserve">229 read_latency 15281ns </t>
  </si>
  <si>
    <t xml:space="preserve">229 write_latency 17886ns </t>
  </si>
  <si>
    <t xml:space="preserve">228 read_latency 16527ns </t>
  </si>
  <si>
    <t xml:space="preserve">228 write 58440ns </t>
  </si>
  <si>
    <t xml:space="preserve">229 read_latency 13572ns </t>
  </si>
  <si>
    <t xml:space="preserve">229 read_latency 11092ns </t>
  </si>
  <si>
    <t xml:space="preserve">230 read_latency 13440ns </t>
  </si>
  <si>
    <t xml:space="preserve">230 read_latency 8817ns </t>
  </si>
  <si>
    <t xml:space="preserve">229 read_latency 6823ns </t>
  </si>
  <si>
    <t xml:space="preserve">229 read_latency 6705ns </t>
  </si>
  <si>
    <t xml:space="preserve">230 read_latency 7427ns </t>
  </si>
  <si>
    <t xml:space="preserve">230 read_latency 6458ns </t>
  </si>
  <si>
    <t xml:space="preserve">231 read_latency 12907ns </t>
  </si>
  <si>
    <t xml:space="preserve">231 read_latency 7119ns </t>
  </si>
  <si>
    <t xml:space="preserve">230 read_latency 6610ns </t>
  </si>
  <si>
    <t xml:space="preserve">230 read_latency 8016ns </t>
  </si>
  <si>
    <t xml:space="preserve">231 write_latency 3427ns </t>
  </si>
  <si>
    <t xml:space="preserve">231 read_latency 6149ns </t>
  </si>
  <si>
    <t xml:space="preserve">232 read_latency 12967ns </t>
  </si>
  <si>
    <t xml:space="preserve">232 read_latency 11792ns </t>
  </si>
  <si>
    <t xml:space="preserve">231 write 8421ns </t>
  </si>
  <si>
    <t xml:space="preserve">231 read_latency 7711ns </t>
  </si>
  <si>
    <t xml:space="preserve">232 read_latency 6622ns </t>
  </si>
  <si>
    <t xml:space="preserve">232 write_latency 2908ns </t>
  </si>
  <si>
    <t xml:space="preserve">233 read_latency 12586ns </t>
  </si>
  <si>
    <t xml:space="preserve">233 read_latency 9346ns </t>
  </si>
  <si>
    <t xml:space="preserve">232 read_latency 6671ns </t>
  </si>
  <si>
    <t xml:space="preserve">232 write 9746ns </t>
  </si>
  <si>
    <t xml:space="preserve">233 read_latency 13428ns </t>
  </si>
  <si>
    <t xml:space="preserve">233 read_latency 6956ns </t>
  </si>
  <si>
    <t xml:space="preserve">234 read_latency 34717ns </t>
  </si>
  <si>
    <t xml:space="preserve">234 read_latency 8029ns </t>
  </si>
  <si>
    <t xml:space="preserve">233 read_latency 8488ns </t>
  </si>
  <si>
    <t xml:space="preserve">233 read_latency 7763ns </t>
  </si>
  <si>
    <t xml:space="preserve">234 read_latency 6263ns </t>
  </si>
  <si>
    <t xml:space="preserve">234 write_latency 3053ns </t>
  </si>
  <si>
    <t xml:space="preserve">235 read_latency 12935ns </t>
  </si>
  <si>
    <t xml:space="preserve">235 read_latency 11642ns </t>
  </si>
  <si>
    <t xml:space="preserve">234 read_latency 6232ns </t>
  </si>
  <si>
    <t xml:space="preserve">234 write 27557ns </t>
  </si>
  <si>
    <t xml:space="preserve">235 read_latency 6332ns </t>
  </si>
  <si>
    <t xml:space="preserve">235 write_latency 3028ns </t>
  </si>
  <si>
    <t xml:space="preserve">236 read_latency 6751ns </t>
  </si>
  <si>
    <t xml:space="preserve">236 read_latency 19159ns </t>
  </si>
  <si>
    <t xml:space="preserve">235 read_latency 14094ns </t>
  </si>
  <si>
    <t xml:space="preserve">235 write 8941ns </t>
  </si>
  <si>
    <t xml:space="preserve">236 read_latency 7110ns </t>
  </si>
  <si>
    <t xml:space="preserve">236 write_latency 3192ns </t>
  </si>
  <si>
    <t xml:space="preserve">237 read_latency 28364ns </t>
  </si>
  <si>
    <t xml:space="preserve">237 write_latency 6836ns </t>
  </si>
  <si>
    <t xml:space="preserve">236 read_latency 7746ns </t>
  </si>
  <si>
    <t xml:space="preserve">236 write 48225ns </t>
  </si>
  <si>
    <t xml:space="preserve">237 read_latency 6585ns </t>
  </si>
  <si>
    <t xml:space="preserve">237 read_latency 7321ns </t>
  </si>
  <si>
    <t xml:space="preserve">238 read_latency 11270ns </t>
  </si>
  <si>
    <t xml:space="preserve">238 read_latency 9304ns </t>
  </si>
  <si>
    <t xml:space="preserve">237 read_latency 6123ns </t>
  </si>
  <si>
    <t xml:space="preserve">237 read_latency 7044ns </t>
  </si>
  <si>
    <t xml:space="preserve">238 read_latency 13349ns </t>
  </si>
  <si>
    <t xml:space="preserve">238 read_latency 28968ns </t>
  </si>
  <si>
    <t xml:space="preserve">239 read_latency 14799ns </t>
  </si>
  <si>
    <t xml:space="preserve">239 write_latency 7170ns </t>
  </si>
  <si>
    <t xml:space="preserve">238 read_latency 17624ns </t>
  </si>
  <si>
    <t xml:space="preserve">238 read_latency 10741ns </t>
  </si>
  <si>
    <t xml:space="preserve">239 read_latency 6530ns </t>
  </si>
  <si>
    <t xml:space="preserve">239 write_latency 3152ns </t>
  </si>
  <si>
    <t xml:space="preserve">240 read_latency 21435ns </t>
  </si>
  <si>
    <t xml:space="preserve">240 write_latency 6890ns </t>
  </si>
  <si>
    <t xml:space="preserve">239 read_latency 6927ns </t>
  </si>
  <si>
    <t xml:space="preserve">239 write 7670ns </t>
  </si>
  <si>
    <t xml:space="preserve">240 read_latency 6644ns </t>
  </si>
  <si>
    <t xml:space="preserve">240 write_latency 3074ns </t>
  </si>
  <si>
    <t xml:space="preserve">241 read_latency 12333ns </t>
  </si>
  <si>
    <t xml:space="preserve">241 read_latency 10859ns </t>
  </si>
  <si>
    <t xml:space="preserve">240 read_latency 6768ns </t>
  </si>
  <si>
    <t xml:space="preserve">240 write 11195ns </t>
  </si>
  <si>
    <t xml:space="preserve">241 read_latency 15999ns </t>
  </si>
  <si>
    <t xml:space="preserve">241 write_latency 3172ns </t>
  </si>
  <si>
    <t xml:space="preserve">242 read_latency 13016ns </t>
  </si>
  <si>
    <t xml:space="preserve">242 read_latency 13299ns </t>
  </si>
  <si>
    <t xml:space="preserve">241 read_latency 6328ns </t>
  </si>
  <si>
    <t xml:space="preserve">241 write 46219ns </t>
  </si>
  <si>
    <t xml:space="preserve">242 read_latency 7675ns </t>
  </si>
  <si>
    <t xml:space="preserve">242 write_latency 3183ns </t>
  </si>
  <si>
    <t xml:space="preserve">243 read_latency 12825ns </t>
  </si>
  <si>
    <t xml:space="preserve">243 write_latency 7092ns </t>
  </si>
  <si>
    <t xml:space="preserve">242 read_latency 6450ns </t>
  </si>
  <si>
    <t xml:space="preserve">242 write 10658ns </t>
  </si>
  <si>
    <t xml:space="preserve">243 read_latency 7081ns </t>
  </si>
  <si>
    <t xml:space="preserve">243 read_latency 11650ns </t>
  </si>
  <si>
    <t xml:space="preserve">244 read_latency 12340ns </t>
  </si>
  <si>
    <t xml:space="preserve">244 write_latency 20978ns </t>
  </si>
  <si>
    <t xml:space="preserve">243 read_latency 8538ns </t>
  </si>
  <si>
    <t xml:space="preserve">243 read_latency 6794ns </t>
  </si>
  <si>
    <t xml:space="preserve">244 read_latency 7129ns </t>
  </si>
  <si>
    <t xml:space="preserve">244 write_latency 2796ns </t>
  </si>
  <si>
    <t xml:space="preserve">245 read_latency 21211ns </t>
  </si>
  <si>
    <t xml:space="preserve">245 write_latency 11747ns </t>
  </si>
  <si>
    <t xml:space="preserve">244 read_latency 6908ns </t>
  </si>
  <si>
    <t xml:space="preserve">244 write 56277ns </t>
  </si>
  <si>
    <t xml:space="preserve">245 read_latency 13768ns </t>
  </si>
  <si>
    <t xml:space="preserve">245 write_latency 3388ns </t>
  </si>
  <si>
    <t xml:space="preserve">246 read_latency 12879ns </t>
  </si>
  <si>
    <t xml:space="preserve">246 write_latency 7092ns </t>
  </si>
  <si>
    <t xml:space="preserve">245 read_latency 12616ns </t>
  </si>
  <si>
    <t xml:space="preserve">245 write 38389ns </t>
  </si>
  <si>
    <t xml:space="preserve">246 read_latency 11760ns </t>
  </si>
  <si>
    <t xml:space="preserve">246 read_latency 9488ns </t>
  </si>
  <si>
    <t xml:space="preserve">247 read_latency 12454ns </t>
  </si>
  <si>
    <t xml:space="preserve">247 write_latency 7595ns </t>
  </si>
  <si>
    <t xml:space="preserve">246 read_latency 7434ns </t>
  </si>
  <si>
    <t xml:space="preserve">246 read_latency 9110ns </t>
  </si>
  <si>
    <t xml:space="preserve">247 read_latency 7741ns </t>
  </si>
  <si>
    <t xml:space="preserve">247 read_latency 25820ns </t>
  </si>
  <si>
    <t xml:space="preserve">248 read_latency 9061ns </t>
  </si>
  <si>
    <t xml:space="preserve">248 write_latency 5828ns </t>
  </si>
  <si>
    <t xml:space="preserve">247 read_latency 15000ns </t>
  </si>
  <si>
    <t xml:space="preserve">247 read_latency 7016ns </t>
  </si>
  <si>
    <t xml:space="preserve">248 read_latency 13633ns </t>
  </si>
  <si>
    <t xml:space="preserve">248 read_latency 6468ns </t>
  </si>
  <si>
    <t xml:space="preserve">249 read_latency 18683ns </t>
  </si>
  <si>
    <t xml:space="preserve">249 read_latency 12565ns </t>
  </si>
  <si>
    <t xml:space="preserve">248 read_latency 6345ns </t>
  </si>
  <si>
    <t xml:space="preserve">248 read_latency 16267ns </t>
  </si>
  <si>
    <t xml:space="preserve">249 read_latency 7866ns </t>
  </si>
  <si>
    <t xml:space="preserve">249 write_latency 3083ns </t>
  </si>
  <si>
    <t xml:space="preserve">250 read_latency 13956ns </t>
  </si>
  <si>
    <t xml:space="preserve">250 write_latency 8017ns </t>
  </si>
  <si>
    <t xml:space="preserve">249 read_latency 11399ns </t>
  </si>
  <si>
    <t xml:space="preserve">249 write 55843ns </t>
  </si>
  <si>
    <t xml:space="preserve">250 read_latency 13486ns </t>
  </si>
  <si>
    <t xml:space="preserve">250 write_latency 2834ns </t>
  </si>
  <si>
    <t xml:space="preserve">251 read_latency 6400ns </t>
  </si>
  <si>
    <t xml:space="preserve">251 read_latency 6565ns </t>
  </si>
  <si>
    <t xml:space="preserve">250 read_latency 6575ns </t>
  </si>
  <si>
    <t xml:space="preserve">250 write 54344ns </t>
  </si>
  <si>
    <t xml:space="preserve">251 read_latency 21120ns </t>
  </si>
  <si>
    <t xml:space="preserve">251 read_latency 8250ns </t>
  </si>
  <si>
    <t xml:space="preserve">252 read_latency 14723ns </t>
  </si>
  <si>
    <t xml:space="preserve">252 read_latency 31699ns </t>
  </si>
  <si>
    <t xml:space="preserve">251 read_latency 8067ns </t>
  </si>
  <si>
    <t xml:space="preserve">251 read_latency 7218ns </t>
  </si>
  <si>
    <t xml:space="preserve">252 read_latency 8231ns </t>
  </si>
  <si>
    <t xml:space="preserve">252 write_latency 3179ns </t>
  </si>
  <si>
    <t xml:space="preserve">253 read_latency 6990ns </t>
  </si>
  <si>
    <t xml:space="preserve">253 read_latency 12751ns </t>
  </si>
  <si>
    <t xml:space="preserve">252 read_latency 13227ns </t>
  </si>
  <si>
    <t xml:space="preserve">252 write 8059ns </t>
  </si>
  <si>
    <t xml:space="preserve">253 read_latency 7053ns </t>
  </si>
  <si>
    <t xml:space="preserve">253 read_latency 6566ns </t>
  </si>
  <si>
    <t xml:space="preserve">254 read_latency 13757ns </t>
  </si>
  <si>
    <t xml:space="preserve">254 read_latency 9396ns </t>
  </si>
  <si>
    <t xml:space="preserve">253 read_latency 22989ns </t>
  </si>
  <si>
    <t xml:space="preserve">253 read_latency 7865ns </t>
  </si>
  <si>
    <t xml:space="preserve">254 read_latency 8889ns </t>
  </si>
  <si>
    <t xml:space="preserve">254 read_latency 13989ns </t>
  </si>
  <si>
    <t xml:space="preserve">255 read_latency 25190ns </t>
  </si>
  <si>
    <t xml:space="preserve">255 write_latency 7638ns </t>
  </si>
  <si>
    <t xml:space="preserve">254 read_latency 15015ns </t>
  </si>
  <si>
    <t xml:space="preserve">254 read_latency 19796ns </t>
  </si>
  <si>
    <t xml:space="preserve">255 read_latency 6403ns </t>
  </si>
  <si>
    <t xml:space="preserve">255 read_latency 6670ns </t>
  </si>
  <si>
    <t xml:space="preserve">256 read_latency 14794ns </t>
  </si>
  <si>
    <t xml:space="preserve">256 read_latency 13747ns </t>
  </si>
  <si>
    <t xml:space="preserve">255 read_latency 7122ns </t>
  </si>
  <si>
    <t xml:space="preserve">255 read_latency 7936ns </t>
  </si>
  <si>
    <t xml:space="preserve">256 read_latency 6771ns </t>
  </si>
  <si>
    <t xml:space="preserve">256 read_latency 7180ns </t>
  </si>
  <si>
    <t xml:space="preserve">257 read_latency 13587ns </t>
  </si>
  <si>
    <t xml:space="preserve">257 read_latency 13185ns </t>
  </si>
  <si>
    <t xml:space="preserve">256 read_latency 12037ns </t>
  </si>
  <si>
    <t xml:space="preserve">256 read_latency 8941ns </t>
  </si>
  <si>
    <t xml:space="preserve">257 read_latency 9046ns </t>
  </si>
  <si>
    <t xml:space="preserve">257 write_latency 2986ns </t>
  </si>
  <si>
    <t xml:space="preserve">258 read_latency 15202ns </t>
  </si>
  <si>
    <t xml:space="preserve">258 read_latency 10882ns </t>
  </si>
  <si>
    <t xml:space="preserve">257 read_latency 15325ns </t>
  </si>
  <si>
    <t xml:space="preserve">257 write 36600ns </t>
  </si>
  <si>
    <t xml:space="preserve">258 read_latency 12431ns </t>
  </si>
  <si>
    <t xml:space="preserve">258 read_latency 6388ns </t>
  </si>
  <si>
    <t xml:space="preserve">259 write_latency 6774ns </t>
  </si>
  <si>
    <t xml:space="preserve">259 read_latency 11180ns </t>
  </si>
  <si>
    <t xml:space="preserve">258 read_latency 6907ns </t>
  </si>
  <si>
    <t xml:space="preserve">258 read_latency 53088ns </t>
  </si>
  <si>
    <t xml:space="preserve">259 read_latency 14720ns </t>
  </si>
  <si>
    <t xml:space="preserve">259 read_latency 8842ns </t>
  </si>
  <si>
    <t xml:space="preserve">260 read_latency 26711ns </t>
  </si>
  <si>
    <t xml:space="preserve">260 read_latency 23670ns </t>
  </si>
  <si>
    <t xml:space="preserve">259 read_latency 14102ns </t>
  </si>
  <si>
    <t xml:space="preserve">259 read_latency 10260ns </t>
  </si>
  <si>
    <t xml:space="preserve">260 read_latency 9718ns </t>
  </si>
  <si>
    <t xml:space="preserve">260 read_latency 7438ns </t>
  </si>
  <si>
    <t xml:space="preserve">261 read_latency 13527ns </t>
  </si>
  <si>
    <t xml:space="preserve">261 write_latency 16028ns </t>
  </si>
  <si>
    <t xml:space="preserve">260 read_latency 10464ns </t>
  </si>
  <si>
    <t xml:space="preserve">260 read_latency 8879ns </t>
  </si>
  <si>
    <t xml:space="preserve">261 read_latency 7157ns </t>
  </si>
  <si>
    <t xml:space="preserve">261 write_latency 3142ns </t>
  </si>
  <si>
    <t xml:space="preserve">262 read_latency 11709ns </t>
  </si>
  <si>
    <t xml:space="preserve">262 write_latency 7748ns </t>
  </si>
  <si>
    <t xml:space="preserve">261 read_latency 6667ns </t>
  </si>
  <si>
    <t xml:space="preserve">261 write 7613ns </t>
  </si>
  <si>
    <t xml:space="preserve">262 read_latency 8548ns </t>
  </si>
  <si>
    <t xml:space="preserve">262 write_latency 2934ns </t>
  </si>
  <si>
    <t xml:space="preserve">263 read_latency 12994ns </t>
  </si>
  <si>
    <t xml:space="preserve">263 read_latency 11853ns </t>
  </si>
  <si>
    <t xml:space="preserve">262 read_latency 7377ns </t>
  </si>
  <si>
    <t xml:space="preserve">262 write 21077ns </t>
  </si>
  <si>
    <t xml:space="preserve">263 read_latency 11103ns </t>
  </si>
  <si>
    <t xml:space="preserve">263 read_latency 9094ns </t>
  </si>
  <si>
    <t xml:space="preserve">264 read_latency 13837ns </t>
  </si>
  <si>
    <t xml:space="preserve">264 read_latency 9637ns </t>
  </si>
  <si>
    <t xml:space="preserve">263 read_latency 7273ns </t>
  </si>
  <si>
    <t xml:space="preserve">263 read_latency 10704ns </t>
  </si>
  <si>
    <t xml:space="preserve">264 read_latency 13093ns </t>
  </si>
  <si>
    <t xml:space="preserve">264 read_latency 6870ns </t>
  </si>
  <si>
    <t xml:space="preserve">265 read_latency 6815ns </t>
  </si>
  <si>
    <t xml:space="preserve">265 write_latency 10205ns </t>
  </si>
  <si>
    <t xml:space="preserve">264 read_latency 6617ns </t>
  </si>
  <si>
    <t xml:space="preserve">264 read_latency 6701ns </t>
  </si>
  <si>
    <t xml:space="preserve">265 read_latency 12753ns </t>
  </si>
  <si>
    <t xml:space="preserve">265 write_latency 2987ns </t>
  </si>
  <si>
    <t xml:space="preserve">266 read_latency 14261ns </t>
  </si>
  <si>
    <t xml:space="preserve">266 read_latency 10440ns </t>
  </si>
  <si>
    <t xml:space="preserve">265 read_latency 7633ns </t>
  </si>
  <si>
    <t xml:space="preserve">265 write 57539ns </t>
  </si>
  <si>
    <t xml:space="preserve">266 read_latency 10174ns </t>
  </si>
  <si>
    <t xml:space="preserve">266 read_latency 6030ns </t>
  </si>
  <si>
    <t xml:space="preserve">267 read_latency 13072ns </t>
  </si>
  <si>
    <t xml:space="preserve">267 write_latency 7985ns </t>
  </si>
  <si>
    <t xml:space="preserve">266 read_latency 6674ns </t>
  </si>
  <si>
    <t xml:space="preserve">266 read_latency 26789ns </t>
  </si>
  <si>
    <t xml:space="preserve">267 read_latency 7390ns </t>
  </si>
  <si>
    <t xml:space="preserve">267 write_latency 3202ns </t>
  </si>
  <si>
    <t xml:space="preserve">268 read_latency 49083ns </t>
  </si>
  <si>
    <t xml:space="preserve">268 read_latency 6619ns </t>
  </si>
  <si>
    <t xml:space="preserve">267 read_latency 7283ns </t>
  </si>
  <si>
    <t xml:space="preserve">267 write 10842ns </t>
  </si>
  <si>
    <t xml:space="preserve">268 read_latency 11078ns </t>
  </si>
  <si>
    <t xml:space="preserve">268 read_latency 10489ns </t>
  </si>
  <si>
    <t xml:space="preserve">269 read_latency 13388ns </t>
  </si>
  <si>
    <t xml:space="preserve">269 read_latency 17658ns </t>
  </si>
  <si>
    <t xml:space="preserve">268 read_latency 13565ns </t>
  </si>
  <si>
    <t xml:space="preserve">268 read_latency 7308ns </t>
  </si>
  <si>
    <t xml:space="preserve">269 read_latency 15181ns </t>
  </si>
  <si>
    <t xml:space="preserve">269 read_latency 5972ns </t>
  </si>
  <si>
    <t xml:space="preserve">270 read_latency 27480ns </t>
  </si>
  <si>
    <t xml:space="preserve">270 read_latency 12897ns </t>
  </si>
  <si>
    <t xml:space="preserve">269 read_latency 7475ns </t>
  </si>
  <si>
    <t xml:space="preserve">269 read_latency 28383ns </t>
  </si>
  <si>
    <t xml:space="preserve">270 read_latency 8365ns </t>
  </si>
  <si>
    <t xml:space="preserve">270 write_latency 3042ns </t>
  </si>
  <si>
    <t xml:space="preserve">271 read_latency 14574ns </t>
  </si>
  <si>
    <t xml:space="preserve">271 read_latency 7787ns </t>
  </si>
  <si>
    <t xml:space="preserve">270 read_latency 6438ns </t>
  </si>
  <si>
    <t xml:space="preserve">270 write 16457ns </t>
  </si>
  <si>
    <t xml:space="preserve">271 read_latency 19172ns </t>
  </si>
  <si>
    <t xml:space="preserve">271 read_latency 6868ns </t>
  </si>
  <si>
    <t xml:space="preserve">272 read_latency 11660ns </t>
  </si>
  <si>
    <t xml:space="preserve">272 write_latency 13180ns </t>
  </si>
  <si>
    <t xml:space="preserve">271 read_latency 23332ns </t>
  </si>
  <si>
    <t xml:space="preserve">271 read_latency 6850ns </t>
  </si>
  <si>
    <t xml:space="preserve">272 read_latency 11519ns </t>
  </si>
  <si>
    <t xml:space="preserve">272 read_latency 9824ns </t>
  </si>
  <si>
    <t xml:space="preserve">273 read_latency 13921ns </t>
  </si>
  <si>
    <t xml:space="preserve">273 read_latency 10141ns </t>
  </si>
  <si>
    <t xml:space="preserve">272 read_latency 8849ns </t>
  </si>
  <si>
    <t xml:space="preserve">272 read_latency 7761ns </t>
  </si>
  <si>
    <t xml:space="preserve">273 read_latency 6559ns </t>
  </si>
  <si>
    <t xml:space="preserve">273 read_latency 6990ns </t>
  </si>
  <si>
    <t xml:space="preserve">274 read_latency 15342ns </t>
  </si>
  <si>
    <t xml:space="preserve">274 read_latency 7811ns </t>
  </si>
  <si>
    <t xml:space="preserve">273 read_latency 9659ns </t>
  </si>
  <si>
    <t xml:space="preserve">273 read_latency 7502ns </t>
  </si>
  <si>
    <t xml:space="preserve">274 read_latency 7184ns </t>
  </si>
  <si>
    <t xml:space="preserve">274 write_latency 2848ns </t>
  </si>
  <si>
    <t xml:space="preserve">275 read_latency 16014ns </t>
  </si>
  <si>
    <t xml:space="preserve">275 write_latency 8332ns </t>
  </si>
  <si>
    <t xml:space="preserve">274 read_latency 11384ns </t>
  </si>
  <si>
    <t xml:space="preserve">274 write 47939ns </t>
  </si>
  <si>
    <t xml:space="preserve">275 read_latency 6551ns </t>
  </si>
  <si>
    <t xml:space="preserve">275 write_latency 3028ns </t>
  </si>
  <si>
    <t xml:space="preserve">276 read_latency 13272ns </t>
  </si>
  <si>
    <t xml:space="preserve">276 write_latency 8083ns </t>
  </si>
  <si>
    <t xml:space="preserve">275 read_latency 13997ns </t>
  </si>
  <si>
    <t xml:space="preserve">275 write 51923ns </t>
  </si>
  <si>
    <t xml:space="preserve">276 read_latency 7106ns </t>
  </si>
  <si>
    <t xml:space="preserve">276 write_latency 2960ns </t>
  </si>
  <si>
    <t xml:space="preserve">277 read_latency 15113ns </t>
  </si>
  <si>
    <t xml:space="preserve">277 write_latency 6974ns </t>
  </si>
  <si>
    <t xml:space="preserve">276 read_latency 7186ns </t>
  </si>
  <si>
    <t xml:space="preserve">276 write 9836ns </t>
  </si>
  <si>
    <t xml:space="preserve">277 read_latency 6702ns </t>
  </si>
  <si>
    <t xml:space="preserve">277 write_latency 2961ns </t>
  </si>
  <si>
    <t xml:space="preserve">278 read_latency 17278ns </t>
  </si>
  <si>
    <t xml:space="preserve">278 read_latency 9428ns </t>
  </si>
  <si>
    <t xml:space="preserve">277 read_latency 6825ns </t>
  </si>
  <si>
    <t xml:space="preserve">277 write 50114ns </t>
  </si>
  <si>
    <t xml:space="preserve">278 read_latency 12507ns </t>
  </si>
  <si>
    <t xml:space="preserve">278 write_latency 3010ns </t>
  </si>
  <si>
    <t xml:space="preserve">279 read_latency 8147ns </t>
  </si>
  <si>
    <t xml:space="preserve">279 write_latency 7285ns </t>
  </si>
  <si>
    <t xml:space="preserve">278 read_latency 8781ns </t>
  </si>
  <si>
    <t xml:space="preserve">278 write 68906ns </t>
  </si>
  <si>
    <t xml:space="preserve">279 read_latency 6966ns </t>
  </si>
  <si>
    <t xml:space="preserve">279 read_latency 7134ns </t>
  </si>
  <si>
    <t xml:space="preserve">280 read_latency 14983ns </t>
  </si>
  <si>
    <t xml:space="preserve">280 read_latency 10482ns </t>
  </si>
  <si>
    <t xml:space="preserve">279 read_latency 19704ns </t>
  </si>
  <si>
    <t xml:space="preserve">279 read_latency 10451ns </t>
  </si>
  <si>
    <t xml:space="preserve">280 read_latency 7307ns </t>
  </si>
  <si>
    <t xml:space="preserve">280 write_latency 3010ns </t>
  </si>
  <si>
    <t xml:space="preserve">281 read_latency 11629ns </t>
  </si>
  <si>
    <t xml:space="preserve">281 write_latency 11576ns </t>
  </si>
  <si>
    <t xml:space="preserve">280 read_latency 7797ns </t>
  </si>
  <si>
    <t xml:space="preserve">280 write 60114ns </t>
  </si>
  <si>
    <t xml:space="preserve">281 read_latency 12057ns </t>
  </si>
  <si>
    <t xml:space="preserve">281 write_latency 2917ns </t>
  </si>
  <si>
    <t xml:space="preserve">282 read_latency 12818ns </t>
  </si>
  <si>
    <t xml:space="preserve">282 write_latency 10185ns </t>
  </si>
  <si>
    <t xml:space="preserve">281 read_latency 6802ns </t>
  </si>
  <si>
    <t xml:space="preserve">281 write 49213ns </t>
  </si>
  <si>
    <t xml:space="preserve">282 read_latency 6945ns </t>
  </si>
  <si>
    <t xml:space="preserve">282 read_latency 9514ns </t>
  </si>
  <si>
    <t xml:space="preserve">283 read_latency 14489ns </t>
  </si>
  <si>
    <t xml:space="preserve">283 write_latency 8437ns </t>
  </si>
  <si>
    <t xml:space="preserve">282 read_latency 6750ns </t>
  </si>
  <si>
    <t xml:space="preserve">282 read_latency 11244ns </t>
  </si>
  <si>
    <t xml:space="preserve">283 read_latency 13185ns </t>
  </si>
  <si>
    <t xml:space="preserve">283 read_latency 7169ns </t>
  </si>
  <si>
    <t xml:space="preserve">284 read_latency 11748ns </t>
  </si>
  <si>
    <t xml:space="preserve">284 read_latency 10950ns </t>
  </si>
  <si>
    <t xml:space="preserve">283 read_latency 13540ns </t>
  </si>
  <si>
    <t xml:space="preserve">283 read_latency 7133ns </t>
  </si>
  <si>
    <t xml:space="preserve">284 read_latency 6515ns </t>
  </si>
  <si>
    <t xml:space="preserve">284 write_latency 2911ns </t>
  </si>
  <si>
    <t xml:space="preserve">285 read_latency 13327ns </t>
  </si>
  <si>
    <t xml:space="preserve">285 write_latency 7990ns </t>
  </si>
  <si>
    <t xml:space="preserve">284 read_latency 10228ns </t>
  </si>
  <si>
    <t xml:space="preserve">284 write 8259ns </t>
  </si>
  <si>
    <t xml:space="preserve">285 read_latency 7413ns </t>
  </si>
  <si>
    <t xml:space="preserve">285 write_latency 2974ns </t>
  </si>
  <si>
    <t xml:space="preserve">286 read_latency 26151ns </t>
  </si>
  <si>
    <t xml:space="preserve">286 read_latency 7395ns </t>
  </si>
  <si>
    <t xml:space="preserve">285 read_latency 11435ns </t>
  </si>
  <si>
    <t xml:space="preserve">285 write 60451ns </t>
  </si>
  <si>
    <t xml:space="preserve">286 read_latency 6503ns </t>
  </si>
  <si>
    <t xml:space="preserve">286 write_latency 3034ns </t>
  </si>
  <si>
    <t xml:space="preserve">287 read_latency 16414ns </t>
  </si>
  <si>
    <t xml:space="preserve">287 write_latency 11259ns </t>
  </si>
  <si>
    <t xml:space="preserve">286 read_latency 6568ns </t>
  </si>
  <si>
    <t xml:space="preserve">286 write 52526ns </t>
  </si>
  <si>
    <t xml:space="preserve">287 write_latency 3375ns </t>
  </si>
  <si>
    <t xml:space="preserve">287 write_latency 3214ns </t>
  </si>
  <si>
    <t xml:space="preserve">288 read_latency 19532ns </t>
  </si>
  <si>
    <t xml:space="preserve">288 write_latency 9173ns </t>
  </si>
  <si>
    <t xml:space="preserve">287 write 12407ns </t>
  </si>
  <si>
    <t xml:space="preserve">287 write 59540ns </t>
  </si>
  <si>
    <t xml:space="preserve">288 read_latency 8630ns </t>
  </si>
  <si>
    <t xml:space="preserve">288 write_latency 3005ns </t>
  </si>
  <si>
    <t xml:space="preserve">289 read_latency 7202ns </t>
  </si>
  <si>
    <t xml:space="preserve">289 write_latency 9548ns </t>
  </si>
  <si>
    <t xml:space="preserve">288 read_latency 14429ns </t>
  </si>
  <si>
    <t xml:space="preserve">288 write 7699ns </t>
  </si>
  <si>
    <t xml:space="preserve">289 read_latency 7825ns </t>
  </si>
  <si>
    <t xml:space="preserve">289 read_latency 7416ns </t>
  </si>
  <si>
    <t xml:space="preserve">290 read_latency 14479ns </t>
  </si>
  <si>
    <t xml:space="preserve">290 read_latency 16447ns </t>
  </si>
  <si>
    <t xml:space="preserve">289 read_latency 6807ns </t>
  </si>
  <si>
    <t xml:space="preserve">289 read_latency 18690ns </t>
  </si>
  <si>
    <t xml:space="preserve">290 read_latency 10101ns </t>
  </si>
  <si>
    <t xml:space="preserve">290 read_latency 17065ns </t>
  </si>
  <si>
    <t xml:space="preserve">291 read_latency 16306ns </t>
  </si>
  <si>
    <t xml:space="preserve">291 read_latency 22063ns </t>
  </si>
  <si>
    <t xml:space="preserve">290 read_latency 16240ns </t>
  </si>
  <si>
    <t xml:space="preserve">290 read_latency 7472ns </t>
  </si>
  <si>
    <t xml:space="preserve">291 read_latency 6928ns </t>
  </si>
  <si>
    <t xml:space="preserve">291 read_latency 8596ns </t>
  </si>
  <si>
    <t xml:space="preserve">292 read_latency 15366ns </t>
  </si>
  <si>
    <t xml:space="preserve">292 read_latency 12351ns </t>
  </si>
  <si>
    <t xml:space="preserve">291 read_latency 14641ns </t>
  </si>
  <si>
    <t xml:space="preserve">291 read_latency 6348ns </t>
  </si>
  <si>
    <t xml:space="preserve">292 read_latency 7732ns </t>
  </si>
  <si>
    <t xml:space="preserve">292 write_latency 2978ns </t>
  </si>
  <si>
    <t xml:space="preserve">293 read_latency 36257ns </t>
  </si>
  <si>
    <t xml:space="preserve">293 read_latency 12454ns </t>
  </si>
  <si>
    <t xml:space="preserve">292 read_latency 6298ns </t>
  </si>
  <si>
    <t xml:space="preserve">292 write 48919ns </t>
  </si>
  <si>
    <t xml:space="preserve">293 read_latency 7338ns </t>
  </si>
  <si>
    <t xml:space="preserve">293 read_latency 6638ns </t>
  </si>
  <si>
    <t xml:space="preserve">294 read_latency 6102ns </t>
  </si>
  <si>
    <t xml:space="preserve">294 write_latency 7829ns </t>
  </si>
  <si>
    <t xml:space="preserve">293 read_latency 10677ns </t>
  </si>
  <si>
    <t xml:space="preserve">293 read_latency 13057ns </t>
  </si>
  <si>
    <t xml:space="preserve">294 read_latency 16923ns </t>
  </si>
  <si>
    <t xml:space="preserve">294 read_latency 7854ns </t>
  </si>
  <si>
    <t xml:space="preserve">295 read_latency 15810ns </t>
  </si>
  <si>
    <t xml:space="preserve">295 read_latency 12810ns </t>
  </si>
  <si>
    <t xml:space="preserve">294 read_latency 10037ns </t>
  </si>
  <si>
    <t xml:space="preserve">294 read_latency 6832ns </t>
  </si>
  <si>
    <t xml:space="preserve">295 read_latency 7943ns </t>
  </si>
  <si>
    <t xml:space="preserve">295 read_latency 10564ns </t>
  </si>
  <si>
    <t xml:space="preserve">296 read_latency 11021ns </t>
  </si>
  <si>
    <t xml:space="preserve">296 write_latency 17513ns </t>
  </si>
  <si>
    <t xml:space="preserve">295 read_latency 8894ns </t>
  </si>
  <si>
    <t xml:space="preserve">295 read_latency 7352ns </t>
  </si>
  <si>
    <t xml:space="preserve">296 read_latency 7336ns </t>
  </si>
  <si>
    <t xml:space="preserve">296 write_latency 2721ns </t>
  </si>
  <si>
    <t xml:space="preserve">297 read_latency 11153ns </t>
  </si>
  <si>
    <t xml:space="preserve">297 read_latency 7174ns </t>
  </si>
  <si>
    <t xml:space="preserve">296 read_latency 19985ns </t>
  </si>
  <si>
    <t xml:space="preserve">296 write 11716ns </t>
  </si>
  <si>
    <t xml:space="preserve">297 read_latency 7801ns </t>
  </si>
  <si>
    <t xml:space="preserve">297 write_latency 3038ns </t>
  </si>
  <si>
    <t xml:space="preserve">298 read_latency 19871ns </t>
  </si>
  <si>
    <t xml:space="preserve">298 read_latency 8458ns </t>
  </si>
  <si>
    <t xml:space="preserve">297 read_latency 12682ns </t>
  </si>
  <si>
    <t xml:space="preserve">297 write 58520ns </t>
  </si>
  <si>
    <t xml:space="preserve">298 read_latency 6366ns </t>
  </si>
  <si>
    <t xml:space="preserve">298 write_latency 2773ns </t>
  </si>
  <si>
    <t xml:space="preserve">299 read_latency 9225ns </t>
  </si>
  <si>
    <t xml:space="preserve">299 read_latency 12037ns </t>
  </si>
  <si>
    <t xml:space="preserve">298 read_latency 7326ns </t>
  </si>
  <si>
    <t xml:space="preserve">298 write 9817ns </t>
  </si>
  <si>
    <t xml:space="preserve">299 read_latency 7090ns </t>
  </si>
  <si>
    <t xml:space="preserve">299 read_latency 23789ns </t>
  </si>
  <si>
    <t xml:space="preserve">300 read_latency 12978ns </t>
  </si>
  <si>
    <t xml:space="preserve">300 write_latency 5953ns </t>
  </si>
  <si>
    <t xml:space="preserve">299 read_latency 6502ns </t>
  </si>
  <si>
    <t xml:space="preserve">299 read_latency 6976ns </t>
  </si>
  <si>
    <t xml:space="preserve">300 read_latency 15012ns </t>
  </si>
  <si>
    <t xml:space="preserve">300 read_latency 15838ns </t>
  </si>
  <si>
    <t xml:space="preserve">301 read_latency 11190ns </t>
  </si>
  <si>
    <t xml:space="preserve">301 write_latency 35605ns </t>
  </si>
  <si>
    <t xml:space="preserve">300 read_latency 6493ns </t>
  </si>
  <si>
    <t xml:space="preserve">300 read_latency 7674ns </t>
  </si>
  <si>
    <t xml:space="preserve">301 read_latency 6320ns </t>
  </si>
  <si>
    <t xml:space="preserve">301 write_latency 2879ns </t>
  </si>
  <si>
    <t xml:space="preserve">302 read_latency 17780ns </t>
  </si>
  <si>
    <t xml:space="preserve">302 write_latency 7116ns </t>
  </si>
  <si>
    <t xml:space="preserve">301 read_latency 18669ns </t>
  </si>
  <si>
    <t xml:space="preserve">301 write 8896ns </t>
  </si>
  <si>
    <t xml:space="preserve">302 read_latency 6397ns </t>
  </si>
  <si>
    <t xml:space="preserve">302 read_latency 6007ns </t>
  </si>
  <si>
    <t xml:space="preserve">303 read_latency 12823ns </t>
  </si>
  <si>
    <t xml:space="preserve">303 read_latency 11616ns </t>
  </si>
  <si>
    <t xml:space="preserve">302 read_latency 6598ns </t>
  </si>
  <si>
    <t xml:space="preserve">302 read_latency 7346ns </t>
  </si>
  <si>
    <t xml:space="preserve">303 write_latency 3449ns </t>
  </si>
  <si>
    <t xml:space="preserve">303 write_latency 3055ns </t>
  </si>
  <si>
    <t xml:space="preserve">304 read_latency 8824ns </t>
  </si>
  <si>
    <t xml:space="preserve">304 write_latency 7052ns </t>
  </si>
  <si>
    <t xml:space="preserve">303 write 8010ns </t>
  </si>
  <si>
    <t xml:space="preserve">303 write 8685ns </t>
  </si>
  <si>
    <t xml:space="preserve">304 read_latency 13433ns </t>
  </si>
  <si>
    <t xml:space="preserve">304 write_latency 3264ns </t>
  </si>
  <si>
    <t xml:space="preserve">305 read_latency 11856ns </t>
  </si>
  <si>
    <t xml:space="preserve">305 write_latency 23205ns </t>
  </si>
  <si>
    <t xml:space="preserve">304 read_latency 7887ns </t>
  </si>
  <si>
    <t xml:space="preserve">304 write 39138ns </t>
  </si>
  <si>
    <t xml:space="preserve">305 read_latency 13221ns </t>
  </si>
  <si>
    <t xml:space="preserve">305 read_latency 7212ns </t>
  </si>
  <si>
    <t xml:space="preserve">306 write_latency 6013ns </t>
  </si>
  <si>
    <t xml:space="preserve">306 write_latency 8326ns </t>
  </si>
  <si>
    <t xml:space="preserve">305 read_latency 7386ns </t>
  </si>
  <si>
    <t xml:space="preserve">305 read_latency 6346ns </t>
  </si>
  <si>
    <t xml:space="preserve">306 write_latency 3794ns </t>
  </si>
  <si>
    <t xml:space="preserve">306 read_latency 18752ns </t>
  </si>
  <si>
    <t xml:space="preserve">307 read_latency 28537ns </t>
  </si>
  <si>
    <t xml:space="preserve">307 read_latency 10859ns </t>
  </si>
  <si>
    <t xml:space="preserve">306 write 8476ns </t>
  </si>
  <si>
    <t xml:space="preserve">306 read_latency 25842ns </t>
  </si>
  <si>
    <t xml:space="preserve">307 write_latency 3506ns </t>
  </si>
  <si>
    <t xml:space="preserve">307 read_latency 6023ns </t>
  </si>
  <si>
    <t xml:space="preserve">308 read_latency 26308ns </t>
  </si>
  <si>
    <t xml:space="preserve">308 read_latency 13224ns </t>
  </si>
  <si>
    <t xml:space="preserve">307 write 9046ns </t>
  </si>
  <si>
    <t xml:space="preserve">307 read_latency 6966ns </t>
  </si>
  <si>
    <t xml:space="preserve">308 read_latency 7003ns </t>
  </si>
  <si>
    <t xml:space="preserve">308 write_latency 2791ns </t>
  </si>
  <si>
    <t xml:space="preserve">309 read_latency 8211ns </t>
  </si>
  <si>
    <t xml:space="preserve">309 write_latency 9368ns </t>
  </si>
  <si>
    <t xml:space="preserve">308 read_latency 6714ns </t>
  </si>
  <si>
    <t xml:space="preserve">308 write 49570ns </t>
  </si>
  <si>
    <t xml:space="preserve">309 read_latency 9744ns </t>
  </si>
  <si>
    <t xml:space="preserve">309 write_latency 2912ns </t>
  </si>
  <si>
    <t xml:space="preserve">310 read_latency 12757ns </t>
  </si>
  <si>
    <t xml:space="preserve">310 write_latency 15003ns </t>
  </si>
  <si>
    <t xml:space="preserve">309 read_latency 8627ns </t>
  </si>
  <si>
    <t xml:space="preserve">309 write 7992ns </t>
  </si>
  <si>
    <t xml:space="preserve">310 read_latency 10399ns </t>
  </si>
  <si>
    <t xml:space="preserve">310 read_latency 7448ns </t>
  </si>
  <si>
    <t xml:space="preserve">311 read_latency 12461ns </t>
  </si>
  <si>
    <t xml:space="preserve">311 write_latency 7170ns </t>
  </si>
  <si>
    <t xml:space="preserve">310 read_latency 9952ns </t>
  </si>
  <si>
    <t xml:space="preserve">310 read_latency 7058ns </t>
  </si>
  <si>
    <t xml:space="preserve">311 read_latency 6963ns </t>
  </si>
  <si>
    <t xml:space="preserve">311 read_latency 6622ns </t>
  </si>
  <si>
    <t xml:space="preserve">312 read_latency 15758ns </t>
  </si>
  <si>
    <t xml:space="preserve">312 write_latency 10445ns </t>
  </si>
  <si>
    <t xml:space="preserve">311 read_latency 7780ns </t>
  </si>
  <si>
    <t xml:space="preserve">311 read_latency 30586ns </t>
  </si>
  <si>
    <t xml:space="preserve">312 read_latency 7233ns </t>
  </si>
  <si>
    <t xml:space="preserve">312 read_latency 14136ns </t>
  </si>
  <si>
    <t xml:space="preserve">313 read_latency 12784ns </t>
  </si>
  <si>
    <t xml:space="preserve">313 read_latency 16073ns </t>
  </si>
  <si>
    <t xml:space="preserve">312 read_latency 12214ns </t>
  </si>
  <si>
    <t xml:space="preserve">312 read_latency 6631ns </t>
  </si>
  <si>
    <t xml:space="preserve">313 read_latency 6872ns </t>
  </si>
  <si>
    <t xml:space="preserve">313 write_latency 3988ns </t>
  </si>
  <si>
    <t xml:space="preserve">314 read_latency 20053ns </t>
  </si>
  <si>
    <t xml:space="preserve">314 write_latency 7471ns </t>
  </si>
  <si>
    <t xml:space="preserve">313 read_latency 6803ns </t>
  </si>
  <si>
    <t xml:space="preserve">313 write 52897ns </t>
  </si>
  <si>
    <t xml:space="preserve">314 read_latency 8370ns </t>
  </si>
  <si>
    <t xml:space="preserve">314 read_latency 7320ns </t>
  </si>
  <si>
    <t xml:space="preserve">315 read_latency 12166ns </t>
  </si>
  <si>
    <t xml:space="preserve">315 write_latency 5962ns </t>
  </si>
  <si>
    <t xml:space="preserve">314 read_latency 6211ns </t>
  </si>
  <si>
    <t xml:space="preserve">314 read_latency 7089ns </t>
  </si>
  <si>
    <t xml:space="preserve">315 read_latency 6562ns </t>
  </si>
  <si>
    <t xml:space="preserve">315 write_latency 3056ns </t>
  </si>
  <si>
    <t xml:space="preserve">316 read_latency 7347ns </t>
  </si>
  <si>
    <t xml:space="preserve">316 read_latency 6749ns </t>
  </si>
  <si>
    <t xml:space="preserve">315 read_latency 9559ns </t>
  </si>
  <si>
    <t xml:space="preserve">315 write 59343ns </t>
  </si>
  <si>
    <t xml:space="preserve">316 read_latency 6951ns </t>
  </si>
  <si>
    <t xml:space="preserve">316 read_latency 10894ns </t>
  </si>
  <si>
    <t xml:space="preserve">317 read_latency 12063ns </t>
  </si>
  <si>
    <t xml:space="preserve">317 write_latency 9029ns </t>
  </si>
  <si>
    <t xml:space="preserve">316 read_latency 8457ns </t>
  </si>
  <si>
    <t xml:space="preserve">316 read_latency 7917ns </t>
  </si>
  <si>
    <t xml:space="preserve">317 read_latency 6935ns </t>
  </si>
  <si>
    <t xml:space="preserve">317 write_latency 2987ns </t>
  </si>
  <si>
    <t xml:space="preserve">318 read_latency 13496ns </t>
  </si>
  <si>
    <t xml:space="preserve">318 read_latency 13707ns </t>
  </si>
  <si>
    <t xml:space="preserve">317 read_latency 8470ns </t>
  </si>
  <si>
    <t xml:space="preserve">317 write 7509ns </t>
  </si>
  <si>
    <t xml:space="preserve">318 read_latency 9122ns </t>
  </si>
  <si>
    <t xml:space="preserve">318 write_latency 3148ns </t>
  </si>
  <si>
    <t xml:space="preserve">319 read_latency 13525ns </t>
  </si>
  <si>
    <t xml:space="preserve">319 read_latency 11643ns </t>
  </si>
  <si>
    <t xml:space="preserve">318 read_latency 6110ns </t>
  </si>
  <si>
    <t xml:space="preserve">318 write 9319ns </t>
  </si>
  <si>
    <t xml:space="preserve">319 read_latency 8932ns </t>
  </si>
  <si>
    <t xml:space="preserve">319 write_latency 2828ns </t>
  </si>
  <si>
    <t xml:space="preserve">320 read_latency 12807ns </t>
  </si>
  <si>
    <t xml:space="preserve">320 read_latency 10247ns </t>
  </si>
  <si>
    <t xml:space="preserve">319 read_latency 10641ns </t>
  </si>
  <si>
    <t xml:space="preserve">319 write 44804ns </t>
  </si>
  <si>
    <t xml:space="preserve">320 read_latency 7215ns </t>
  </si>
  <si>
    <t xml:space="preserve">320 write_latency 2894ns </t>
  </si>
  <si>
    <t xml:space="preserve">321 read_latency 13218ns </t>
  </si>
  <si>
    <t xml:space="preserve">321 read_latency 11351ns </t>
  </si>
  <si>
    <t xml:space="preserve">320 read_latency 8863ns </t>
  </si>
  <si>
    <t xml:space="preserve">320 write 7642ns </t>
  </si>
  <si>
    <t xml:space="preserve">321 read_latency 21166ns </t>
  </si>
  <si>
    <t xml:space="preserve">321 write_latency 3222ns </t>
  </si>
  <si>
    <t xml:space="preserve">322 read_latency 14390ns </t>
  </si>
  <si>
    <t xml:space="preserve">322 write_latency 8396ns </t>
  </si>
  <si>
    <t xml:space="preserve">321 read_latency 9173ns </t>
  </si>
  <si>
    <t xml:space="preserve">321 write 45563ns </t>
  </si>
  <si>
    <t xml:space="preserve">322 read_latency 6549ns </t>
  </si>
  <si>
    <t xml:space="preserve">322 read_latency 6171ns </t>
  </si>
  <si>
    <t xml:space="preserve">323 read_latency 7113ns </t>
  </si>
  <si>
    <t xml:space="preserve">323 read_latency 6316ns </t>
  </si>
  <si>
    <t xml:space="preserve">322 read_latency 6951ns </t>
  </si>
  <si>
    <t xml:space="preserve">322 read_latency 6811ns </t>
  </si>
  <si>
    <t xml:space="preserve">323 read_latency 7563ns </t>
  </si>
  <si>
    <t xml:space="preserve">323 write_latency 2991ns </t>
  </si>
  <si>
    <t xml:space="preserve">324 write_latency 7268ns </t>
  </si>
  <si>
    <t xml:space="preserve">324 write_latency 8336ns </t>
  </si>
  <si>
    <t xml:space="preserve">323 read_latency 13328ns </t>
  </si>
  <si>
    <t xml:space="preserve">323 write 30688ns </t>
  </si>
  <si>
    <t xml:space="preserve">324 read_latency 16872ns </t>
  </si>
  <si>
    <t xml:space="preserve">324 read_latency 6865ns </t>
  </si>
  <si>
    <t xml:space="preserve">325 read_latency 6374ns </t>
  </si>
  <si>
    <t xml:space="preserve">325 write_latency 7525ns </t>
  </si>
  <si>
    <t xml:space="preserve">324 read_latency 8402ns </t>
  </si>
  <si>
    <t xml:space="preserve">324 read_latency 6328ns </t>
  </si>
  <si>
    <t xml:space="preserve">325 read_latency 7151ns </t>
  </si>
  <si>
    <t xml:space="preserve">325 read_latency 8844ns </t>
  </si>
  <si>
    <t xml:space="preserve">326 read_latency 12913ns </t>
  </si>
  <si>
    <t xml:space="preserve">326 write_latency 8458ns </t>
  </si>
  <si>
    <t xml:space="preserve">325 read_latency 12087ns </t>
  </si>
  <si>
    <t xml:space="preserve">325 read_latency 12581ns </t>
  </si>
  <si>
    <t xml:space="preserve">326 read_latency 9104ns </t>
  </si>
  <si>
    <t xml:space="preserve">326 write_latency 2959ns </t>
  </si>
  <si>
    <t xml:space="preserve">327 read_latency 8595ns </t>
  </si>
  <si>
    <t xml:space="preserve">327 write_latency 20987ns </t>
  </si>
  <si>
    <t xml:space="preserve">326 read_latency 17422ns </t>
  </si>
  <si>
    <t xml:space="preserve">326 write 60564ns </t>
  </si>
  <si>
    <t xml:space="preserve">327 read_latency 13366ns </t>
  </si>
  <si>
    <t xml:space="preserve">327 read_latency 21052ns </t>
  </si>
  <si>
    <t xml:space="preserve">328 read_latency 17336ns </t>
  </si>
  <si>
    <t xml:space="preserve">328 read_latency 9269ns </t>
  </si>
  <si>
    <t xml:space="preserve">327 read_latency 12325ns </t>
  </si>
  <si>
    <t xml:space="preserve">327 read_latency 11928ns </t>
  </si>
  <si>
    <t xml:space="preserve">328 read_latency 8973ns </t>
  </si>
  <si>
    <t xml:space="preserve">328 write_latency 2809ns </t>
  </si>
  <si>
    <t xml:space="preserve">329 read_latency 12350ns </t>
  </si>
  <si>
    <t xml:space="preserve">329 write_latency 8890ns </t>
  </si>
  <si>
    <t xml:space="preserve">328 read_latency 7042ns </t>
  </si>
  <si>
    <t xml:space="preserve">328 write 61640ns </t>
  </si>
  <si>
    <t xml:space="preserve">329 read_latency 7474ns </t>
  </si>
  <si>
    <t xml:space="preserve">329 write_latency 3042ns </t>
  </si>
  <si>
    <t xml:space="preserve">330 read_latency 6967ns </t>
  </si>
  <si>
    <t xml:space="preserve">330 read_latency 9031ns </t>
  </si>
  <si>
    <t xml:space="preserve">329 read_latency 7325ns </t>
  </si>
  <si>
    <t xml:space="preserve">329 write 23015ns </t>
  </si>
  <si>
    <t xml:space="preserve">330 read_latency 17938ns </t>
  </si>
  <si>
    <t xml:space="preserve">330 read_latency 6911ns </t>
  </si>
  <si>
    <t xml:space="preserve">331 read_latency 11990ns </t>
  </si>
  <si>
    <t xml:space="preserve">331 read_latency 28796ns </t>
  </si>
  <si>
    <t xml:space="preserve">330 read_latency 7660ns </t>
  </si>
  <si>
    <t xml:space="preserve">330 read_latency 12542ns </t>
  </si>
  <si>
    <t xml:space="preserve">331 read_latency 7452ns </t>
  </si>
  <si>
    <t xml:space="preserve">331 write_latency 3011ns </t>
  </si>
  <si>
    <t xml:space="preserve">332 read_latency 10910ns </t>
  </si>
  <si>
    <t xml:space="preserve">332 write_latency 8330ns </t>
  </si>
  <si>
    <t xml:space="preserve">331 read_latency 9493ns </t>
  </si>
  <si>
    <t xml:space="preserve">331 write 23250ns </t>
  </si>
  <si>
    <t xml:space="preserve">332 read_latency 7458ns </t>
  </si>
  <si>
    <t xml:space="preserve">332 write_latency 2848ns </t>
  </si>
  <si>
    <t xml:space="preserve">333 read_latency 13695ns </t>
  </si>
  <si>
    <t xml:space="preserve">333 write_latency 14847ns </t>
  </si>
  <si>
    <t xml:space="preserve">332 read_latency 13364ns </t>
  </si>
  <si>
    <t xml:space="preserve">332 write 10206ns </t>
  </si>
  <si>
    <t xml:space="preserve">333 read_latency 7568ns </t>
  </si>
  <si>
    <t xml:space="preserve">333 read_latency 6985ns </t>
  </si>
  <si>
    <t xml:space="preserve">334 read_latency 10992ns </t>
  </si>
  <si>
    <t xml:space="preserve">334 write_latency 14492ns </t>
  </si>
  <si>
    <t xml:space="preserve">333 read_latency 8311ns </t>
  </si>
  <si>
    <t xml:space="preserve">333 read_latency 7268ns </t>
  </si>
  <si>
    <t xml:space="preserve">334 read_latency 7912ns </t>
  </si>
  <si>
    <t xml:space="preserve">334 write_latency 2707ns </t>
  </si>
  <si>
    <t xml:space="preserve">335 read_latency 13205ns </t>
  </si>
  <si>
    <t xml:space="preserve">335 write_latency 14335ns </t>
  </si>
  <si>
    <t xml:space="preserve">334 read_latency 15603ns </t>
  </si>
  <si>
    <t xml:space="preserve">334 write 10112ns </t>
  </si>
  <si>
    <t xml:space="preserve">335 read_latency 8544ns </t>
  </si>
  <si>
    <t xml:space="preserve">335 write_latency 2994ns </t>
  </si>
  <si>
    <t xml:space="preserve">336 read_latency 13193ns </t>
  </si>
  <si>
    <t xml:space="preserve">336 write_latency 8060ns </t>
  </si>
  <si>
    <t xml:space="preserve">335 read_latency 12373ns </t>
  </si>
  <si>
    <t xml:space="preserve">335 write 9042ns </t>
  </si>
  <si>
    <t xml:space="preserve">336 read_latency 16330ns </t>
  </si>
  <si>
    <t xml:space="preserve">336 write_latency 2753ns </t>
  </si>
  <si>
    <t xml:space="preserve">337 read_latency 7329ns </t>
  </si>
  <si>
    <t xml:space="preserve">337 read_latency 8106ns </t>
  </si>
  <si>
    <t xml:space="preserve">336 read_latency 7290ns </t>
  </si>
  <si>
    <t xml:space="preserve">336 write 85758ns </t>
  </si>
  <si>
    <t xml:space="preserve">337 read_latency 8066ns </t>
  </si>
  <si>
    <t xml:space="preserve">337 write_latency 2997ns </t>
  </si>
  <si>
    <t xml:space="preserve">338 read_latency 26779ns </t>
  </si>
  <si>
    <t xml:space="preserve">338 write_latency 8760ns </t>
  </si>
  <si>
    <t xml:space="preserve">337 read_latency 13116ns </t>
  </si>
  <si>
    <t xml:space="preserve">337 write 63917ns </t>
  </si>
  <si>
    <t xml:space="preserve">338 read_latency 7246ns </t>
  </si>
  <si>
    <t xml:space="preserve">338 read_latency 7175ns </t>
  </si>
  <si>
    <t xml:space="preserve">339 read_latency 12971ns </t>
  </si>
  <si>
    <t xml:space="preserve">339 read_latency 9518ns </t>
  </si>
  <si>
    <t xml:space="preserve">338 read_latency 22371ns </t>
  </si>
  <si>
    <t xml:space="preserve">338 read_latency 23495ns </t>
  </si>
  <si>
    <t xml:space="preserve">339 read_latency 6490ns </t>
  </si>
  <si>
    <t xml:space="preserve">339 write_latency 2988ns </t>
  </si>
  <si>
    <t xml:space="preserve">340 write_latency 7618ns </t>
  </si>
  <si>
    <t xml:space="preserve">340 read_latency 10086ns </t>
  </si>
  <si>
    <t xml:space="preserve">339 read_latency 8979ns </t>
  </si>
  <si>
    <t xml:space="preserve">339 write 20797ns </t>
  </si>
  <si>
    <t xml:space="preserve">340 read_latency 9753ns </t>
  </si>
  <si>
    <t xml:space="preserve">340 write_latency 3014ns </t>
  </si>
  <si>
    <t xml:space="preserve">341 read_latency 12339ns </t>
  </si>
  <si>
    <t xml:space="preserve">341 write_latency 9504ns </t>
  </si>
  <si>
    <t xml:space="preserve">340 read_latency 7480ns </t>
  </si>
  <si>
    <t xml:space="preserve">340 write 10146ns </t>
  </si>
  <si>
    <t xml:space="preserve">341 read_latency 8961ns </t>
  </si>
  <si>
    <t xml:space="preserve">341 read_latency 6887ns </t>
  </si>
  <si>
    <t xml:space="preserve">342 read_latency 15089ns </t>
  </si>
  <si>
    <t xml:space="preserve">342 read_latency 35031ns </t>
  </si>
  <si>
    <t xml:space="preserve">341 read_latency 7917ns </t>
  </si>
  <si>
    <t xml:space="preserve">341 read_latency 7912ns </t>
  </si>
  <si>
    <t xml:space="preserve">342 read_latency 6660ns </t>
  </si>
  <si>
    <t xml:space="preserve">342 write_latency 2916ns </t>
  </si>
  <si>
    <t xml:space="preserve">343 read_latency 18804ns </t>
  </si>
  <si>
    <t xml:space="preserve">343 write_latency 8016ns </t>
  </si>
  <si>
    <t xml:space="preserve">342 read_latency 13140ns </t>
  </si>
  <si>
    <t xml:space="preserve">342 write 53137ns </t>
  </si>
  <si>
    <t xml:space="preserve">343 read_latency 9288ns </t>
  </si>
  <si>
    <t xml:space="preserve">343 write_latency 3121ns </t>
  </si>
  <si>
    <t xml:space="preserve">344 read_latency 25805ns </t>
  </si>
  <si>
    <t xml:space="preserve">344 write_latency 7006ns </t>
  </si>
  <si>
    <t xml:space="preserve">343 read_latency 8089ns </t>
  </si>
  <si>
    <t xml:space="preserve">343 write 36437ns </t>
  </si>
  <si>
    <t xml:space="preserve">344 read_latency 7270ns </t>
  </si>
  <si>
    <t xml:space="preserve">344 write_latency 2929ns </t>
  </si>
  <si>
    <t xml:space="preserve">345 read_latency 27488ns </t>
  </si>
  <si>
    <t xml:space="preserve">345 read_latency 26894ns </t>
  </si>
  <si>
    <t xml:space="preserve">344 read_latency 8062ns </t>
  </si>
  <si>
    <t xml:space="preserve">344 write 67290ns </t>
  </si>
  <si>
    <t xml:space="preserve">345 read_latency 22045ns </t>
  </si>
  <si>
    <t xml:space="preserve">345 write_latency 3074ns </t>
  </si>
  <si>
    <t xml:space="preserve">346 read_latency 11501ns </t>
  </si>
  <si>
    <t xml:space="preserve">346 read_latency 10051ns </t>
  </si>
  <si>
    <t xml:space="preserve">345 read_latency 7106ns </t>
  </si>
  <si>
    <t xml:space="preserve">345 write 52259ns </t>
  </si>
  <si>
    <t xml:space="preserve">346 read_latency 6903ns </t>
  </si>
  <si>
    <t xml:space="preserve">346 write_latency 3671ns </t>
  </si>
  <si>
    <t xml:space="preserve">347 read_latency 14180ns </t>
  </si>
  <si>
    <t xml:space="preserve">347 read_latency 14527ns </t>
  </si>
  <si>
    <t xml:space="preserve">346 read_latency 13900ns </t>
  </si>
  <si>
    <t xml:space="preserve">346 write 57052ns </t>
  </si>
  <si>
    <t xml:space="preserve">347 read_latency 7386ns </t>
  </si>
  <si>
    <t xml:space="preserve">347 write_latency 3071ns </t>
  </si>
  <si>
    <t xml:space="preserve">348 write_latency 6329ns </t>
  </si>
  <si>
    <t xml:space="preserve">348 write_latency 9590ns </t>
  </si>
  <si>
    <t xml:space="preserve">347 read_latency 11915ns </t>
  </si>
  <si>
    <t xml:space="preserve">347 write 8990ns </t>
  </si>
  <si>
    <t xml:space="preserve">348 read_latency 9071ns </t>
  </si>
  <si>
    <t xml:space="preserve">348 write_latency 2816ns </t>
  </si>
  <si>
    <t xml:space="preserve">349 read_latency 11895ns </t>
  </si>
  <si>
    <t xml:space="preserve">349 write_latency 8104ns </t>
  </si>
  <si>
    <t xml:space="preserve">348 read_latency 11511ns </t>
  </si>
  <si>
    <t xml:space="preserve">348 write 37990ns </t>
  </si>
  <si>
    <t xml:space="preserve">349 read_latency 12070ns </t>
  </si>
  <si>
    <t xml:space="preserve">349 read_latency 7850ns </t>
  </si>
  <si>
    <t xml:space="preserve">350 read_latency 11304ns </t>
  </si>
  <si>
    <t xml:space="preserve">350 write_latency 8393ns </t>
  </si>
  <si>
    <t xml:space="preserve">349 read_latency 13094ns </t>
  </si>
  <si>
    <t xml:space="preserve">349 read_latency 6690ns </t>
  </si>
  <si>
    <t xml:space="preserve">350 read_latency 6847ns </t>
  </si>
  <si>
    <t xml:space="preserve">350 read_latency 18729ns </t>
  </si>
  <si>
    <t xml:space="preserve">351 read_latency 14915ns </t>
  </si>
  <si>
    <t xml:space="preserve">351 read_latency 11456ns </t>
  </si>
  <si>
    <t xml:space="preserve">350 read_latency 16347ns </t>
  </si>
  <si>
    <t xml:space="preserve">350 read_latency 14253ns </t>
  </si>
  <si>
    <t xml:space="preserve">351 read_latency 7058ns </t>
  </si>
  <si>
    <t xml:space="preserve">351 read_latency 10691ns </t>
  </si>
  <si>
    <t xml:space="preserve">352 read_latency 9780ns </t>
  </si>
  <si>
    <t xml:space="preserve">352 read_latency 10522ns </t>
  </si>
  <si>
    <t xml:space="preserve">351 read_latency 9417ns </t>
  </si>
  <si>
    <t xml:space="preserve">351 read_latency 7250ns </t>
  </si>
  <si>
    <t xml:space="preserve">352 read_latency 6376ns </t>
  </si>
  <si>
    <t xml:space="preserve">352 write_latency 3214ns </t>
  </si>
  <si>
    <t xml:space="preserve">353 read_latency 6805ns </t>
  </si>
  <si>
    <t xml:space="preserve">353 write_latency 7109ns </t>
  </si>
  <si>
    <t xml:space="preserve">352 read_latency 10597ns </t>
  </si>
  <si>
    <t xml:space="preserve">352 write 11866ns </t>
  </si>
  <si>
    <t xml:space="preserve">353 read_latency 7023ns </t>
  </si>
  <si>
    <t xml:space="preserve">353 read_latency 6532ns </t>
  </si>
  <si>
    <t xml:space="preserve">354 read_latency 12604ns </t>
  </si>
  <si>
    <t xml:space="preserve">354 write_latency 10229ns </t>
  </si>
  <si>
    <t xml:space="preserve">353 read_latency 11997ns </t>
  </si>
  <si>
    <t xml:space="preserve">353 read_latency 29360ns </t>
  </si>
  <si>
    <t xml:space="preserve">354 read_latency 15616ns </t>
  </si>
  <si>
    <t xml:space="preserve">354 read_latency 16555ns </t>
  </si>
  <si>
    <t xml:space="preserve">355 read_latency 13078ns </t>
  </si>
  <si>
    <t xml:space="preserve">355 write_latency 8301ns </t>
  </si>
  <si>
    <t xml:space="preserve">354 read_latency 6670ns </t>
  </si>
  <si>
    <t xml:space="preserve">354 read_latency 6790ns </t>
  </si>
  <si>
    <t xml:space="preserve">355 read_latency 6453ns </t>
  </si>
  <si>
    <t xml:space="preserve">355 write_latency 3059ns </t>
  </si>
  <si>
    <t xml:space="preserve">356 read_latency 13740ns </t>
  </si>
  <si>
    <t xml:space="preserve">356 write_latency 5723ns </t>
  </si>
  <si>
    <t xml:space="preserve">355 read_latency 7112ns </t>
  </si>
  <si>
    <t xml:space="preserve">355 write 52732ns </t>
  </si>
  <si>
    <t xml:space="preserve">356 read_latency 6759ns </t>
  </si>
  <si>
    <t xml:space="preserve">356 read_latency 13583ns </t>
  </si>
  <si>
    <t xml:space="preserve">357 read_latency 15311ns </t>
  </si>
  <si>
    <t xml:space="preserve">357 read_latency 13798ns </t>
  </si>
  <si>
    <t xml:space="preserve">356 read_latency 6465ns </t>
  </si>
  <si>
    <t xml:space="preserve">356 read_latency 10883ns </t>
  </si>
  <si>
    <t xml:space="preserve">357 read_latency 11927ns </t>
  </si>
  <si>
    <t xml:space="preserve">357 write_latency 3027ns </t>
  </si>
  <si>
    <t xml:space="preserve">358 read_latency 10099ns </t>
  </si>
  <si>
    <t xml:space="preserve">358 write_latency 7472ns </t>
  </si>
  <si>
    <t xml:space="preserve">357 read_latency 8705ns </t>
  </si>
  <si>
    <t xml:space="preserve">357 write 33243ns </t>
  </si>
  <si>
    <t xml:space="preserve">358 read_latency 6588ns </t>
  </si>
  <si>
    <t xml:space="preserve">358 write_latency 2766ns </t>
  </si>
  <si>
    <t xml:space="preserve">359 read_latency 23090ns </t>
  </si>
  <si>
    <t xml:space="preserve">359 read_latency 14131ns </t>
  </si>
  <si>
    <t xml:space="preserve">358 read_latency 23480ns </t>
  </si>
  <si>
    <t xml:space="preserve">358 write 8752ns </t>
  </si>
  <si>
    <t xml:space="preserve">359 read_latency 7602ns </t>
  </si>
  <si>
    <t xml:space="preserve">359 write_latency 2981ns </t>
  </si>
  <si>
    <t xml:space="preserve">360 read_latency 11253ns </t>
  </si>
  <si>
    <t xml:space="preserve">360 read_latency 7547ns </t>
  </si>
  <si>
    <t xml:space="preserve">359 read_latency 6702ns </t>
  </si>
  <si>
    <t xml:space="preserve">359 write 30617ns </t>
  </si>
  <si>
    <t xml:space="preserve">360 read_latency 17558ns </t>
  </si>
  <si>
    <t xml:space="preserve">360 read_latency 16051ns </t>
  </si>
  <si>
    <t xml:space="preserve">361 read_latency 19329ns </t>
  </si>
  <si>
    <t xml:space="preserve">361 write_latency 10362ns </t>
  </si>
  <si>
    <t xml:space="preserve">360 read_latency 7515ns </t>
  </si>
  <si>
    <t xml:space="preserve">360 read_latency 26661ns </t>
  </si>
  <si>
    <t xml:space="preserve">361 read_latency 24192ns </t>
  </si>
  <si>
    <t xml:space="preserve">361 read_latency 13842ns </t>
  </si>
  <si>
    <t xml:space="preserve">362 read_latency 18674ns </t>
  </si>
  <si>
    <t xml:space="preserve">362 read_latency 7098ns </t>
  </si>
  <si>
    <t xml:space="preserve">361 read_latency 8178ns </t>
  </si>
  <si>
    <t xml:space="preserve">361 read_latency 28229ns </t>
  </si>
  <si>
    <t xml:space="preserve">362 read_latency 10288ns </t>
  </si>
  <si>
    <t xml:space="preserve">362 write_latency 2721ns </t>
  </si>
  <si>
    <t xml:space="preserve">363 read_latency 14482ns </t>
  </si>
  <si>
    <t xml:space="preserve">363 read_latency 7412ns </t>
  </si>
  <si>
    <t xml:space="preserve">362 read_latency 6388ns </t>
  </si>
  <si>
    <t xml:space="preserve">362 write 21952ns </t>
  </si>
  <si>
    <t xml:space="preserve">363 read_latency 7962ns </t>
  </si>
  <si>
    <t xml:space="preserve">363 write_latency 3194ns </t>
  </si>
  <si>
    <t xml:space="preserve">364 read_latency 10973ns </t>
  </si>
  <si>
    <t xml:space="preserve">364 read_latency 17782ns </t>
  </si>
  <si>
    <t xml:space="preserve">363 read_latency 6055ns </t>
  </si>
  <si>
    <t xml:space="preserve">363 write 40848ns </t>
  </si>
  <si>
    <t xml:space="preserve">364 read_latency 7134ns </t>
  </si>
  <si>
    <t xml:space="preserve">364 write_latency 2965ns </t>
  </si>
  <si>
    <t xml:space="preserve">365 read_latency 15087ns </t>
  </si>
  <si>
    <t xml:space="preserve">365 write_latency 6592ns </t>
  </si>
  <si>
    <t xml:space="preserve">364 read_latency 12367ns </t>
  </si>
  <si>
    <t xml:space="preserve">364 write 47857ns </t>
  </si>
  <si>
    <t xml:space="preserve">365 read_latency 6804ns </t>
  </si>
  <si>
    <t xml:space="preserve">365 write_latency 3040ns </t>
  </si>
  <si>
    <t xml:space="preserve">366 read_latency 10808ns </t>
  </si>
  <si>
    <t xml:space="preserve">366 read_latency 8883ns </t>
  </si>
  <si>
    <t xml:space="preserve">365 read_latency 7762ns </t>
  </si>
  <si>
    <t xml:space="preserve">365 write 59239ns </t>
  </si>
  <si>
    <t xml:space="preserve">366 read_latency 13226ns </t>
  </si>
  <si>
    <t xml:space="preserve">366 write_latency 2760ns </t>
  </si>
  <si>
    <t xml:space="preserve">367 read_latency 14192ns </t>
  </si>
  <si>
    <t xml:space="preserve">367 write_latency 9652ns </t>
  </si>
  <si>
    <t xml:space="preserve">366 read_latency 6837ns </t>
  </si>
  <si>
    <t xml:space="preserve">366 write 13920ns </t>
  </si>
  <si>
    <t xml:space="preserve">367 read_latency 7753ns </t>
  </si>
  <si>
    <t xml:space="preserve">367 write_latency 3052ns </t>
  </si>
  <si>
    <t xml:space="preserve">368 read_latency 13009ns </t>
  </si>
  <si>
    <t xml:space="preserve">368 write_latency 7916ns </t>
  </si>
  <si>
    <t xml:space="preserve">367 read_latency 19830ns </t>
  </si>
  <si>
    <t xml:space="preserve">367 write 9655ns </t>
  </si>
  <si>
    <t xml:space="preserve">368 read_latency 12204ns </t>
  </si>
  <si>
    <t xml:space="preserve">368 read_latency 6690ns </t>
  </si>
  <si>
    <t xml:space="preserve">369 read_latency 11709ns </t>
  </si>
  <si>
    <t xml:space="preserve">369 read_latency 19008ns </t>
  </si>
  <si>
    <t xml:space="preserve">368 read_latency 6847ns </t>
  </si>
  <si>
    <t xml:space="preserve">368 read_latency 34396ns </t>
  </si>
  <si>
    <t xml:space="preserve">369 read_latency 7530ns </t>
  </si>
  <si>
    <t xml:space="preserve">369 read_latency 7011ns </t>
  </si>
  <si>
    <t xml:space="preserve">370 read_latency 6670ns </t>
  </si>
  <si>
    <t xml:space="preserve">370 read_latency 13432ns </t>
  </si>
  <si>
    <t xml:space="preserve">369 read_latency 6302ns </t>
  </si>
  <si>
    <t xml:space="preserve">369 read_latency 7308ns </t>
  </si>
  <si>
    <t xml:space="preserve">370 read_latency 8103ns </t>
  </si>
  <si>
    <t xml:space="preserve">370 write_latency 2890ns </t>
  </si>
  <si>
    <t xml:space="preserve">371 read_latency 19712ns </t>
  </si>
  <si>
    <t xml:space="preserve">371 read_latency 9542ns </t>
  </si>
  <si>
    <t xml:space="preserve">370 read_latency 11743ns </t>
  </si>
  <si>
    <t xml:space="preserve">370 write 8406ns </t>
  </si>
  <si>
    <t xml:space="preserve">371 read_latency 7027ns </t>
  </si>
  <si>
    <t xml:space="preserve">371 read_latency 8297ns </t>
  </si>
  <si>
    <t xml:space="preserve">372 read_latency 26570ns </t>
  </si>
  <si>
    <t xml:space="preserve">372 write_latency 7641ns </t>
  </si>
  <si>
    <t xml:space="preserve">371 read_latency 7218ns </t>
  </si>
  <si>
    <t xml:space="preserve">371 read_latency 30271ns </t>
  </si>
  <si>
    <t xml:space="preserve">372 read_latency 15146ns </t>
  </si>
  <si>
    <t xml:space="preserve">372 write_latency 2937ns </t>
  </si>
  <si>
    <t xml:space="preserve">373 read_latency 29271ns </t>
  </si>
  <si>
    <t xml:space="preserve">373 write_latency 7940ns </t>
  </si>
  <si>
    <t xml:space="preserve">372 read_latency 8995ns </t>
  </si>
  <si>
    <t xml:space="preserve">372 write 11270ns </t>
  </si>
  <si>
    <t xml:space="preserve">373 read_latency 8159ns </t>
  </si>
  <si>
    <t xml:space="preserve">373 read_latency 6644ns </t>
  </si>
  <si>
    <t xml:space="preserve">374 read_latency 10442ns </t>
  </si>
  <si>
    <t xml:space="preserve">374 read_latency 16241ns </t>
  </si>
  <si>
    <t xml:space="preserve">373 read_latency 12866ns </t>
  </si>
  <si>
    <t xml:space="preserve">373 read_latency 15905ns </t>
  </si>
  <si>
    <t xml:space="preserve">374 read_latency 6527ns </t>
  </si>
  <si>
    <t xml:space="preserve">374 write_latency 2856ns </t>
  </si>
  <si>
    <t xml:space="preserve">375 read_latency 25690ns </t>
  </si>
  <si>
    <t xml:space="preserve">375 read_latency 11034ns </t>
  </si>
  <si>
    <t xml:space="preserve">374 read_latency 6550ns </t>
  </si>
  <si>
    <t xml:space="preserve">374 write 36324ns </t>
  </si>
  <si>
    <t xml:space="preserve">375 read_latency 16748ns </t>
  </si>
  <si>
    <t xml:space="preserve">375 read_latency 9548ns </t>
  </si>
  <si>
    <t xml:space="preserve">376 read_latency 12667ns </t>
  </si>
  <si>
    <t xml:space="preserve">376 read_latency 13063ns </t>
  </si>
  <si>
    <t xml:space="preserve">375 read_latency 13034ns </t>
  </si>
  <si>
    <t xml:space="preserve">375 read_latency 7225ns </t>
  </si>
  <si>
    <t xml:space="preserve">376 read_latency 18800ns </t>
  </si>
  <si>
    <t xml:space="preserve">376 read_latency 7319ns </t>
  </si>
  <si>
    <t xml:space="preserve">377 read_latency 14288ns </t>
  </si>
  <si>
    <t xml:space="preserve">377 read_latency 26719ns </t>
  </si>
  <si>
    <t xml:space="preserve">376 read_latency 6128ns </t>
  </si>
  <si>
    <t xml:space="preserve">376 read_latency 9694ns </t>
  </si>
  <si>
    <t xml:space="preserve">377 read_latency 12155ns </t>
  </si>
  <si>
    <t xml:space="preserve">377 read_latency 25880ns </t>
  </si>
  <si>
    <t xml:space="preserve">378 read_latency 6524ns </t>
  </si>
  <si>
    <t xml:space="preserve">378 read_latency 9683ns </t>
  </si>
  <si>
    <t xml:space="preserve">377 read_latency 28044ns </t>
  </si>
  <si>
    <t xml:space="preserve">377 read_latency 6744ns </t>
  </si>
  <si>
    <t xml:space="preserve">378 read_latency 10388ns </t>
  </si>
  <si>
    <t xml:space="preserve">378 read_latency 11811ns </t>
  </si>
  <si>
    <t xml:space="preserve">379 read_latency 12614ns </t>
  </si>
  <si>
    <t xml:space="preserve">379 read_latency 9777ns </t>
  </si>
  <si>
    <t xml:space="preserve">378 read_latency 18886ns </t>
  </si>
  <si>
    <t xml:space="preserve">378 read_latency 26291ns </t>
  </si>
  <si>
    <t xml:space="preserve">379 read_latency 6442ns </t>
  </si>
  <si>
    <t xml:space="preserve">379 read_latency 7600ns </t>
  </si>
  <si>
    <t xml:space="preserve">380 read_latency 9716ns </t>
  </si>
  <si>
    <t xml:space="preserve">380 write_latency 7342ns </t>
  </si>
  <si>
    <t xml:space="preserve">379 read_latency 6482ns </t>
  </si>
  <si>
    <t xml:space="preserve">379 read_latency 8575ns </t>
  </si>
  <si>
    <t xml:space="preserve">380 read_latency 9008ns </t>
  </si>
  <si>
    <t xml:space="preserve">380 read_latency 15458ns </t>
  </si>
  <si>
    <t xml:space="preserve">381 read_latency 15928ns </t>
  </si>
  <si>
    <t xml:space="preserve">381 read_latency 6913ns </t>
  </si>
  <si>
    <t xml:space="preserve">380 read_latency 10991ns </t>
  </si>
  <si>
    <t xml:space="preserve">380 read_latency 7352ns </t>
  </si>
  <si>
    <t xml:space="preserve">381 read_latency 7020ns </t>
  </si>
  <si>
    <t xml:space="preserve">381 read_latency 7581ns </t>
  </si>
  <si>
    <t xml:space="preserve">382 read_latency 29584ns </t>
  </si>
  <si>
    <t xml:space="preserve">382 read_latency 9440ns </t>
  </si>
  <si>
    <t xml:space="preserve">381 read_latency 6696ns </t>
  </si>
  <si>
    <t xml:space="preserve">381 read_latency 48911ns </t>
  </si>
  <si>
    <t xml:space="preserve">382 read_latency 11268ns </t>
  </si>
  <si>
    <t xml:space="preserve">382 read_latency 10473ns </t>
  </si>
  <si>
    <t xml:space="preserve">383 read_latency 13827ns </t>
  </si>
  <si>
    <t xml:space="preserve">383 read_latency 35494ns </t>
  </si>
  <si>
    <t xml:space="preserve">382 read_latency 16542ns </t>
  </si>
  <si>
    <t xml:space="preserve">382 read_latency 10239ns </t>
  </si>
  <si>
    <t xml:space="preserve">383 read_latency 11279ns </t>
  </si>
  <si>
    <t xml:space="preserve">383 write_latency 2962ns </t>
  </si>
  <si>
    <t xml:space="preserve">384 read_latency 11896ns </t>
  </si>
  <si>
    <t xml:space="preserve">384 write_latency 10080ns </t>
  </si>
  <si>
    <t xml:space="preserve">383 read_latency 6791ns </t>
  </si>
  <si>
    <t xml:space="preserve">383 write 8719ns </t>
  </si>
  <si>
    <t xml:space="preserve">384 read_latency 7942ns </t>
  </si>
  <si>
    <t xml:space="preserve">384 read_latency 7600ns </t>
  </si>
  <si>
    <t xml:space="preserve">385 read_latency 29585ns </t>
  </si>
  <si>
    <t xml:space="preserve">385 write_latency 8283ns </t>
  </si>
  <si>
    <t xml:space="preserve">384 read_latency 8352ns </t>
  </si>
  <si>
    <t xml:space="preserve">384 read_latency 7825ns </t>
  </si>
  <si>
    <t xml:space="preserve">385 read_latency 7753ns </t>
  </si>
  <si>
    <t xml:space="preserve">385 read_latency 7706ns </t>
  </si>
  <si>
    <t xml:space="preserve">386 read_latency 12550ns </t>
  </si>
  <si>
    <t xml:space="preserve">386 write_latency 8144ns </t>
  </si>
  <si>
    <t xml:space="preserve">385 read_latency 6651ns </t>
  </si>
  <si>
    <t xml:space="preserve">385 read_latency 7910ns </t>
  </si>
  <si>
    <t xml:space="preserve">386 read_latency 15143ns </t>
  </si>
  <si>
    <t xml:space="preserve">386 read_latency 12191ns </t>
  </si>
  <si>
    <t xml:space="preserve">387 read_latency 9988ns </t>
  </si>
  <si>
    <t xml:space="preserve">387 write_latency 6746ns </t>
  </si>
  <si>
    <t xml:space="preserve">386 read_latency 11842ns </t>
  </si>
  <si>
    <t xml:space="preserve">386 read_latency 6875ns </t>
  </si>
  <si>
    <t xml:space="preserve">387 read_latency 7308ns </t>
  </si>
  <si>
    <t xml:space="preserve">387 read_latency 11804ns </t>
  </si>
  <si>
    <t xml:space="preserve">388 read_latency 21989ns </t>
  </si>
  <si>
    <t xml:space="preserve">388 read_latency 16849ns </t>
  </si>
  <si>
    <t xml:space="preserve">387 read_latency 14116ns </t>
  </si>
  <si>
    <t xml:space="preserve">387 read_latency 9227ns </t>
  </si>
  <si>
    <t xml:space="preserve">388 read_latency 10990ns </t>
  </si>
  <si>
    <t xml:space="preserve">388 write_latency 2790ns </t>
  </si>
  <si>
    <t xml:space="preserve">389 read_latency 12027ns </t>
  </si>
  <si>
    <t xml:space="preserve">389 write_latency 8495ns </t>
  </si>
  <si>
    <t xml:space="preserve">388 read_latency 12749ns </t>
  </si>
  <si>
    <t xml:space="preserve">388 write 8074ns </t>
  </si>
  <si>
    <t xml:space="preserve">389 read_latency 7873ns </t>
  </si>
  <si>
    <t xml:space="preserve">389 read_latency 9545ns </t>
  </si>
  <si>
    <t xml:space="preserve">390 read_latency 7065ns </t>
  </si>
  <si>
    <t xml:space="preserve">390 write_latency 8599ns </t>
  </si>
  <si>
    <t xml:space="preserve">389 read_latency 6774ns </t>
  </si>
  <si>
    <t xml:space="preserve">389 read_latency 7280ns </t>
  </si>
  <si>
    <t xml:space="preserve">390 read_latency 6565ns </t>
  </si>
  <si>
    <t xml:space="preserve">390 read_latency 6436ns </t>
  </si>
  <si>
    <t xml:space="preserve">391 read_latency 21642ns </t>
  </si>
  <si>
    <t xml:space="preserve">391 read_latency 29327ns </t>
  </si>
  <si>
    <t xml:space="preserve">390 read_latency 6964ns </t>
  </si>
  <si>
    <t xml:space="preserve">390 read_latency 6914ns </t>
  </si>
  <si>
    <t xml:space="preserve">391 read_latency 19669ns </t>
  </si>
  <si>
    <t xml:space="preserve">391 read_latency 14584ns </t>
  </si>
  <si>
    <t xml:space="preserve">392 read_latency 12050ns </t>
  </si>
  <si>
    <t xml:space="preserve">392 read_latency 12453ns </t>
  </si>
  <si>
    <t xml:space="preserve">391 read_latency 6821ns </t>
  </si>
  <si>
    <t xml:space="preserve">391 read_latency 11131ns </t>
  </si>
  <si>
    <t xml:space="preserve">392 read_latency 11899ns </t>
  </si>
  <si>
    <t xml:space="preserve">392 read_latency 7674ns </t>
  </si>
  <si>
    <t xml:space="preserve">393 read_latency 14446ns </t>
  </si>
  <si>
    <t xml:space="preserve">393 write_latency 7188ns </t>
  </si>
  <si>
    <t xml:space="preserve">392 read_latency 17246ns </t>
  </si>
  <si>
    <t xml:space="preserve">392 read_latency 6651ns </t>
  </si>
  <si>
    <t xml:space="preserve">393 read_latency 13288ns </t>
  </si>
  <si>
    <t xml:space="preserve">393 read_latency 6110ns </t>
  </si>
  <si>
    <t xml:space="preserve">394 read_latency 11579ns </t>
  </si>
  <si>
    <t xml:space="preserve">394 write_latency 17199ns </t>
  </si>
  <si>
    <t xml:space="preserve">393 read_latency 7375ns </t>
  </si>
  <si>
    <t xml:space="preserve">393 read_latency 32100ns </t>
  </si>
  <si>
    <t xml:space="preserve">394 read_latency 8655ns </t>
  </si>
  <si>
    <t xml:space="preserve">394 read_latency 9891ns </t>
  </si>
  <si>
    <t xml:space="preserve">395 write_latency 13558ns </t>
  </si>
  <si>
    <t xml:space="preserve">395 write_latency 6961ns </t>
  </si>
  <si>
    <t xml:space="preserve">394 read_latency 15429ns </t>
  </si>
  <si>
    <t xml:space="preserve">394 read_latency 14411ns </t>
  </si>
  <si>
    <t xml:space="preserve">395 read_latency 7834ns </t>
  </si>
  <si>
    <t xml:space="preserve">395 write_latency 2998ns </t>
  </si>
  <si>
    <t xml:space="preserve">396 read_latency 21224ns </t>
  </si>
  <si>
    <t xml:space="preserve">396 read_latency 11116ns </t>
  </si>
  <si>
    <t xml:space="preserve">395 read_latency 6253ns </t>
  </si>
  <si>
    <t xml:space="preserve">395 write 56969ns </t>
  </si>
  <si>
    <t xml:space="preserve">396 read_latency 6700ns </t>
  </si>
  <si>
    <t xml:space="preserve">396 read_latency 6831ns </t>
  </si>
  <si>
    <t xml:space="preserve">397 read_latency 22362ns </t>
  </si>
  <si>
    <t xml:space="preserve">397 read_latency 7100ns </t>
  </si>
  <si>
    <t xml:space="preserve">396 read_latency 13201ns </t>
  </si>
  <si>
    <t xml:space="preserve">396 read_latency 7873ns </t>
  </si>
  <si>
    <t xml:space="preserve">397 read_latency 8000ns </t>
  </si>
  <si>
    <t xml:space="preserve">397 read_latency 14339ns </t>
  </si>
  <si>
    <t xml:space="preserve">398 read_latency 13190ns </t>
  </si>
  <si>
    <t xml:space="preserve">398 read_latency 8104ns </t>
  </si>
  <si>
    <t xml:space="preserve">397 read_latency 6080ns </t>
  </si>
  <si>
    <t xml:space="preserve">397 read_latency 8302ns </t>
  </si>
  <si>
    <t xml:space="preserve">398 read_latency 6953ns </t>
  </si>
  <si>
    <t xml:space="preserve">398 write_latency 3328ns </t>
  </si>
  <si>
    <t xml:space="preserve">399 read_latency 11419ns </t>
  </si>
  <si>
    <t xml:space="preserve">399 read_latency 7482ns </t>
  </si>
  <si>
    <t xml:space="preserve">398 read_latency 8113ns </t>
  </si>
  <si>
    <t xml:space="preserve">398 write 33159ns </t>
  </si>
  <si>
    <t xml:space="preserve">399 read_latency 8443ns </t>
  </si>
  <si>
    <t xml:space="preserve">399 write_latency 2953ns </t>
  </si>
  <si>
    <t xml:space="preserve">400 read_latency 20672ns </t>
  </si>
  <si>
    <t xml:space="preserve">400 write_latency 9498ns </t>
  </si>
  <si>
    <t xml:space="preserve">399 read_latency 6697ns </t>
  </si>
  <si>
    <t xml:space="preserve">399 write 8292ns </t>
  </si>
  <si>
    <t xml:space="preserve">400 read_latency 6678ns </t>
  </si>
  <si>
    <t xml:space="preserve">400 read_latency 7541ns </t>
  </si>
  <si>
    <t xml:space="preserve">401 read_latency 12122ns </t>
  </si>
  <si>
    <t xml:space="preserve">401 read_latency 10791ns </t>
  </si>
  <si>
    <t xml:space="preserve">400 read_latency 6456ns </t>
  </si>
  <si>
    <t xml:space="preserve">400 read_latency 11497ns </t>
  </si>
  <si>
    <t xml:space="preserve">401 read_latency 6802ns </t>
  </si>
  <si>
    <t xml:space="preserve">401 write_latency 3078ns </t>
  </si>
  <si>
    <t xml:space="preserve">402 read_latency 13941ns </t>
  </si>
  <si>
    <t xml:space="preserve">402 read_latency 24225ns </t>
  </si>
  <si>
    <t xml:space="preserve">401 read_latency 18339ns </t>
  </si>
  <si>
    <t xml:space="preserve">401 write 59933ns </t>
  </si>
  <si>
    <t xml:space="preserve">402 read_latency 6570ns </t>
  </si>
  <si>
    <t xml:space="preserve">402 write_latency 2754ns </t>
  </si>
  <si>
    <t xml:space="preserve">403 read_latency 14474ns </t>
  </si>
  <si>
    <t xml:space="preserve">403 write_latency 10252ns </t>
  </si>
  <si>
    <t xml:space="preserve">402 read_latency 17075ns </t>
  </si>
  <si>
    <t xml:space="preserve">402 write 9912ns </t>
  </si>
  <si>
    <t xml:space="preserve">403 read_latency 9201ns </t>
  </si>
  <si>
    <t xml:space="preserve">403 write_latency 2902ns </t>
  </si>
  <si>
    <t xml:space="preserve">404 read_latency 6470ns </t>
  </si>
  <si>
    <t xml:space="preserve">404 read_latency 11986ns </t>
  </si>
  <si>
    <t xml:space="preserve">403 read_latency 6599ns </t>
  </si>
  <si>
    <t xml:space="preserve">403 write 8028ns </t>
  </si>
  <si>
    <t xml:space="preserve">404 read_latency 22816ns </t>
  </si>
  <si>
    <t xml:space="preserve">404 write_latency 3127ns </t>
  </si>
  <si>
    <t xml:space="preserve">405 read_latency 12594ns </t>
  </si>
  <si>
    <t xml:space="preserve">405 write_latency 7317ns </t>
  </si>
  <si>
    <t xml:space="preserve">404 read_latency 23552ns </t>
  </si>
  <si>
    <t xml:space="preserve">404 write 45727ns </t>
  </si>
  <si>
    <t xml:space="preserve">405 read_latency 12656ns </t>
  </si>
  <si>
    <t xml:space="preserve">405 read_latency 10082ns </t>
  </si>
  <si>
    <t xml:space="preserve">406 read_latency 28696ns </t>
  </si>
  <si>
    <t xml:space="preserve">406 read_latency 6808ns </t>
  </si>
  <si>
    <t xml:space="preserve">405 read_latency 6745ns </t>
  </si>
  <si>
    <t xml:space="preserve">405 read_latency 15138ns </t>
  </si>
  <si>
    <t xml:space="preserve">406 read_latency 17102ns </t>
  </si>
  <si>
    <t xml:space="preserve">406 write_latency 3141ns </t>
  </si>
  <si>
    <t xml:space="preserve">407 read_latency 16196ns </t>
  </si>
  <si>
    <t xml:space="preserve">407 read_latency 16538ns </t>
  </si>
  <si>
    <t xml:space="preserve">406 read_latency 6670ns </t>
  </si>
  <si>
    <t xml:space="preserve">406 write 32230ns </t>
  </si>
  <si>
    <t xml:space="preserve">407 read_latency 16380ns </t>
  </si>
  <si>
    <t xml:space="preserve">407 read_latency 6718ns </t>
  </si>
  <si>
    <t xml:space="preserve">408 read_latency 26510ns </t>
  </si>
  <si>
    <t xml:space="preserve">408 write_latency 8243ns </t>
  </si>
  <si>
    <t xml:space="preserve">407 read_latency 6244ns </t>
  </si>
  <si>
    <t xml:space="preserve">407 read_latency 7000ns </t>
  </si>
  <si>
    <t xml:space="preserve">408 read_latency 8119ns </t>
  </si>
  <si>
    <t xml:space="preserve">408 write_latency 2827ns </t>
  </si>
  <si>
    <t xml:space="preserve">409 read_latency 13151ns </t>
  </si>
  <si>
    <t xml:space="preserve">409 write_latency 7815ns </t>
  </si>
  <si>
    <t xml:space="preserve">408 read_latency 17295ns </t>
  </si>
  <si>
    <t xml:space="preserve">408 write 47799ns </t>
  </si>
  <si>
    <t xml:space="preserve">409 read_latency 11393ns </t>
  </si>
  <si>
    <t xml:space="preserve">409 read_latency 5922ns </t>
  </si>
  <si>
    <t xml:space="preserve">410 read_latency 14485ns </t>
  </si>
  <si>
    <t xml:space="preserve">410 write_latency 7093ns </t>
  </si>
  <si>
    <t xml:space="preserve">409 read_latency 6854ns </t>
  </si>
  <si>
    <t xml:space="preserve">409 read_latency 15019ns </t>
  </si>
  <si>
    <t xml:space="preserve">410 read_latency 6795ns </t>
  </si>
  <si>
    <t xml:space="preserve">410 write_latency 2936ns </t>
  </si>
  <si>
    <t xml:space="preserve">411 read_latency 15994ns </t>
  </si>
  <si>
    <t xml:space="preserve">411 write_latency 6851ns </t>
  </si>
  <si>
    <t xml:space="preserve">410 read_latency 6627ns </t>
  </si>
  <si>
    <t xml:space="preserve">410 write 32939ns </t>
  </si>
  <si>
    <t xml:space="preserve">411 read_latency 9156ns </t>
  </si>
  <si>
    <t xml:space="preserve">411 write_latency 3541ns </t>
  </si>
  <si>
    <t xml:space="preserve">412 read_latency 12572ns </t>
  </si>
  <si>
    <t xml:space="preserve">412 read_latency 10020ns </t>
  </si>
  <si>
    <t xml:space="preserve">411 read_latency 6124ns </t>
  </si>
  <si>
    <t xml:space="preserve">411 write 49608ns </t>
  </si>
  <si>
    <t xml:space="preserve">412 read_latency 6847ns </t>
  </si>
  <si>
    <t xml:space="preserve">412 read_latency 7508ns </t>
  </si>
  <si>
    <t xml:space="preserve">413 read_latency 13869ns </t>
  </si>
  <si>
    <t xml:space="preserve">413 write_latency 8086ns </t>
  </si>
  <si>
    <t xml:space="preserve">412 read_latency 19340ns </t>
  </si>
  <si>
    <t xml:space="preserve">412 read_latency 14885ns </t>
  </si>
  <si>
    <t xml:space="preserve">413 read_latency 6485ns </t>
  </si>
  <si>
    <t xml:space="preserve">413 write_latency 3018ns </t>
  </si>
  <si>
    <t xml:space="preserve">414 read_latency 36364ns </t>
  </si>
  <si>
    <t xml:space="preserve">414 read_latency 8991ns </t>
  </si>
  <si>
    <t xml:space="preserve">413 read_latency 6858ns </t>
  </si>
  <si>
    <t xml:space="preserve">413 write 9675ns </t>
  </si>
  <si>
    <t xml:space="preserve">414 read_latency 6816ns </t>
  </si>
  <si>
    <t xml:space="preserve">414 write_latency 2788ns </t>
  </si>
  <si>
    <t xml:space="preserve">415 read_latency 13001ns </t>
  </si>
  <si>
    <t xml:space="preserve">415 read_latency 6361ns </t>
  </si>
  <si>
    <t xml:space="preserve">414 read_latency 8792ns </t>
  </si>
  <si>
    <t xml:space="preserve">414 write 7700ns </t>
  </si>
  <si>
    <t xml:space="preserve">415 read_latency 11282ns </t>
  </si>
  <si>
    <t xml:space="preserve">415 write_latency 2796ns </t>
  </si>
  <si>
    <t xml:space="preserve">416 read_latency 7449ns </t>
  </si>
  <si>
    <t xml:space="preserve">416 write_latency 7648ns </t>
  </si>
  <si>
    <t xml:space="preserve">415 read_latency 11018ns </t>
  </si>
  <si>
    <t xml:space="preserve">415 write 32436ns </t>
  </si>
  <si>
    <t xml:space="preserve">416 read_latency 6385ns </t>
  </si>
  <si>
    <t xml:space="preserve">416 write_latency 2817ns </t>
  </si>
  <si>
    <t xml:space="preserve">417 read_latency 12249ns </t>
  </si>
  <si>
    <t xml:space="preserve">417 read_latency 9945ns </t>
  </si>
  <si>
    <t xml:space="preserve">416 read_latency 10099ns </t>
  </si>
  <si>
    <t xml:space="preserve">416 write 12230ns </t>
  </si>
  <si>
    <t xml:space="preserve">417 read_latency 7254ns </t>
  </si>
  <si>
    <t xml:space="preserve">417 write_latency 3080ns </t>
  </si>
  <si>
    <t xml:space="preserve">418 read_latency 30847ns </t>
  </si>
  <si>
    <t xml:space="preserve">418 write_latency 7111ns </t>
  </si>
  <si>
    <t xml:space="preserve">417 read_latency 12012ns </t>
  </si>
  <si>
    <t xml:space="preserve">417 write 38319ns </t>
  </si>
  <si>
    <t xml:space="preserve">418 read_latency 6774ns </t>
  </si>
  <si>
    <t xml:space="preserve">418 read_latency 6262ns </t>
  </si>
  <si>
    <t xml:space="preserve">419 read_latency 14142ns </t>
  </si>
  <si>
    <t xml:space="preserve">419 read_latency 7859ns </t>
  </si>
  <si>
    <t xml:space="preserve">418 read_latency 8071ns </t>
  </si>
  <si>
    <t xml:space="preserve">418 read_latency 34422ns </t>
  </si>
  <si>
    <t xml:space="preserve">419 read_latency 11465ns </t>
  </si>
  <si>
    <t xml:space="preserve">419 write_latency 3097ns </t>
  </si>
  <si>
    <t xml:space="preserve">420 read_latency 14020ns </t>
  </si>
  <si>
    <t xml:space="preserve">420 write_latency 7817ns </t>
  </si>
  <si>
    <t xml:space="preserve">419 read_latency 19283ns </t>
  </si>
  <si>
    <t xml:space="preserve">419 write 55114ns </t>
  </si>
  <si>
    <t xml:space="preserve">420 read_latency 6747ns </t>
  </si>
  <si>
    <t xml:space="preserve">420 read_latency 5840ns </t>
  </si>
  <si>
    <t xml:space="preserve">421 read_latency 9162ns </t>
  </si>
  <si>
    <t xml:space="preserve">421 read_latency 8417ns </t>
  </si>
  <si>
    <t xml:space="preserve">420 read_latency 14276ns </t>
  </si>
  <si>
    <t xml:space="preserve">420 read_latency 23402ns </t>
  </si>
  <si>
    <t xml:space="preserve">421 write_latency 3508ns </t>
  </si>
  <si>
    <t xml:space="preserve">421 read_latency 9604ns </t>
  </si>
  <si>
    <t xml:space="preserve">422 read_latency 13098ns </t>
  </si>
  <si>
    <t xml:space="preserve">422 write_latency 7714ns </t>
  </si>
  <si>
    <t xml:space="preserve">421 write 8302ns </t>
  </si>
  <si>
    <t xml:space="preserve">421 read_latency 14419ns </t>
  </si>
  <si>
    <t xml:space="preserve">422 read_latency 6736ns </t>
  </si>
  <si>
    <t xml:space="preserve">422 write_latency 3337ns </t>
  </si>
  <si>
    <t xml:space="preserve">423 read_latency 12001ns </t>
  </si>
  <si>
    <t xml:space="preserve">423 write_latency 7609ns </t>
  </si>
  <si>
    <t xml:space="preserve">422 read_latency 6976ns </t>
  </si>
  <si>
    <t xml:space="preserve">422 write 50517ns </t>
  </si>
  <si>
    <t xml:space="preserve">423 read_latency 9404ns </t>
  </si>
  <si>
    <t xml:space="preserve">423 write_latency 3572ns </t>
  </si>
  <si>
    <t xml:space="preserve">424 read_latency 15439ns </t>
  </si>
  <si>
    <t xml:space="preserve">424 read_latency 27371ns </t>
  </si>
  <si>
    <t xml:space="preserve">423 read_latency 7528ns </t>
  </si>
  <si>
    <t xml:space="preserve">423 write 50345ns </t>
  </si>
  <si>
    <t xml:space="preserve">424 read_latency 10047ns </t>
  </si>
  <si>
    <t xml:space="preserve">424 write_latency 3305ns </t>
  </si>
  <si>
    <t xml:space="preserve">425 read_latency 30976ns </t>
  </si>
  <si>
    <t xml:space="preserve">425 read_latency 11831ns </t>
  </si>
  <si>
    <t xml:space="preserve">424 read_latency 7182ns </t>
  </si>
  <si>
    <t xml:space="preserve">424 write 52130ns </t>
  </si>
  <si>
    <t xml:space="preserve">425 read_latency 14079ns </t>
  </si>
  <si>
    <t xml:space="preserve">425 write_latency 2887ns </t>
  </si>
  <si>
    <t xml:space="preserve">426 read_latency 12961ns </t>
  </si>
  <si>
    <t xml:space="preserve">426 write_latency 8021ns </t>
  </si>
  <si>
    <t xml:space="preserve">425 read_latency 9161ns </t>
  </si>
  <si>
    <t xml:space="preserve">425 write 43206ns </t>
  </si>
  <si>
    <t xml:space="preserve">426 read_latency 19805ns </t>
  </si>
  <si>
    <t xml:space="preserve">426 write_latency 2916ns </t>
  </si>
  <si>
    <t xml:space="preserve">427 read_latency 16272ns </t>
  </si>
  <si>
    <t xml:space="preserve">427 read_latency 22615ns </t>
  </si>
  <si>
    <t xml:space="preserve">426 read_latency 7183ns </t>
  </si>
  <si>
    <t xml:space="preserve">426 write 7969ns </t>
  </si>
  <si>
    <t xml:space="preserve">427 read_latency 9353ns </t>
  </si>
  <si>
    <t xml:space="preserve">427 read_latency 8188ns </t>
  </si>
  <si>
    <t xml:space="preserve">428 read_latency 6556ns </t>
  </si>
  <si>
    <t xml:space="preserve">428 read_latency 14079ns </t>
  </si>
  <si>
    <t xml:space="preserve">427 read_latency 6909ns </t>
  </si>
  <si>
    <t xml:space="preserve">427 read_latency 8081ns </t>
  </si>
  <si>
    <t xml:space="preserve">428 read_latency 8087ns </t>
  </si>
  <si>
    <t xml:space="preserve">428 read_latency 16935ns </t>
  </si>
  <si>
    <t xml:space="preserve">429 read_latency 12128ns </t>
  </si>
  <si>
    <t xml:space="preserve">429 read_latency 11557ns </t>
  </si>
  <si>
    <t xml:space="preserve">428 read_latency 6998ns </t>
  </si>
  <si>
    <t xml:space="preserve">428 read_latency 49957ns </t>
  </si>
  <si>
    <t xml:space="preserve">429 read_latency 8008ns </t>
  </si>
  <si>
    <t xml:space="preserve">429 read_latency 7787ns </t>
  </si>
  <si>
    <t xml:space="preserve">430 read_latency 12885ns </t>
  </si>
  <si>
    <t xml:space="preserve">430 write_latency 8457ns </t>
  </si>
  <si>
    <t xml:space="preserve">429 read_latency 8370ns </t>
  </si>
  <si>
    <t xml:space="preserve">429 read_latency 25315ns </t>
  </si>
  <si>
    <t xml:space="preserve">430 read_latency 8358ns </t>
  </si>
  <si>
    <t xml:space="preserve">430 read_latency 15014ns </t>
  </si>
  <si>
    <t xml:space="preserve">431 read_latency 12423ns </t>
  </si>
  <si>
    <t xml:space="preserve">431 write_latency 8340ns </t>
  </si>
  <si>
    <t xml:space="preserve">430 read_latency 7197ns </t>
  </si>
  <si>
    <t xml:space="preserve">430 read_latency 6861ns </t>
  </si>
  <si>
    <t xml:space="preserve">431 read_latency 11760ns </t>
  </si>
  <si>
    <t xml:space="preserve">431 write_latency 3606ns </t>
  </si>
  <si>
    <t xml:space="preserve">432 read_latency 12959ns </t>
  </si>
  <si>
    <t xml:space="preserve">432 write_latency 6762ns </t>
  </si>
  <si>
    <t xml:space="preserve">431 read_latency 7576ns </t>
  </si>
  <si>
    <t xml:space="preserve">431 write 9265ns </t>
  </si>
  <si>
    <t xml:space="preserve">432 read_latency 7286ns </t>
  </si>
  <si>
    <t xml:space="preserve">432 read_latency 7814ns </t>
  </si>
  <si>
    <t xml:space="preserve">433 read_latency 15357ns </t>
  </si>
  <si>
    <t xml:space="preserve">433 read_latency 14643ns </t>
  </si>
  <si>
    <t xml:space="preserve">432 read_latency 6467ns </t>
  </si>
  <si>
    <t xml:space="preserve">432 read_latency 6598ns </t>
  </si>
  <si>
    <t xml:space="preserve">433 read_latency 9684ns </t>
  </si>
  <si>
    <t xml:space="preserve">433 write_latency 3118ns </t>
  </si>
  <si>
    <t xml:space="preserve">434 read_latency 13017ns </t>
  </si>
  <si>
    <t xml:space="preserve">434 write_latency 8478ns </t>
  </si>
  <si>
    <t xml:space="preserve">433 read_latency 6376ns </t>
  </si>
  <si>
    <t xml:space="preserve">433 write 51749ns </t>
  </si>
  <si>
    <t xml:space="preserve">434 read_latency 6568ns </t>
  </si>
  <si>
    <t xml:space="preserve">434 read_latency 6735ns </t>
  </si>
  <si>
    <t xml:space="preserve">435 read_latency 11057ns </t>
  </si>
  <si>
    <t xml:space="preserve">435 read_latency 9020ns </t>
  </si>
  <si>
    <t xml:space="preserve">434 read_latency 11490ns </t>
  </si>
  <si>
    <t xml:space="preserve">434 read_latency 32797ns </t>
  </si>
  <si>
    <t xml:space="preserve">435 read_latency 9158ns </t>
  </si>
  <si>
    <t xml:space="preserve">435 read_latency 6739ns </t>
  </si>
  <si>
    <t xml:space="preserve">436 read_latency 20212ns </t>
  </si>
  <si>
    <t xml:space="preserve">436 read_latency 12966ns </t>
  </si>
  <si>
    <t xml:space="preserve">435 read_latency 7930ns </t>
  </si>
  <si>
    <t xml:space="preserve">435 read_latency 7234ns </t>
  </si>
  <si>
    <t xml:space="preserve">436 read_latency 6994ns </t>
  </si>
  <si>
    <t xml:space="preserve">436 read_latency 7156ns </t>
  </si>
  <si>
    <t xml:space="preserve">437 read_latency 11424ns </t>
  </si>
  <si>
    <t xml:space="preserve">437 read_latency 10793ns </t>
  </si>
  <si>
    <t xml:space="preserve">436 read_latency 5950ns </t>
  </si>
  <si>
    <t xml:space="preserve">436 read_latency 7189ns </t>
  </si>
  <si>
    <t xml:space="preserve">437 read_latency 6844ns </t>
  </si>
  <si>
    <t xml:space="preserve">437 read_latency 15187ns </t>
  </si>
  <si>
    <t xml:space="preserve">438 read_latency 13939ns </t>
  </si>
  <si>
    <t xml:space="preserve">438 write_latency 8027ns </t>
  </si>
  <si>
    <t xml:space="preserve">437 read_latency 9193ns </t>
  </si>
  <si>
    <t xml:space="preserve">437 read_latency 7092ns </t>
  </si>
  <si>
    <t xml:space="preserve">438 read_latency 7770ns </t>
  </si>
  <si>
    <t xml:space="preserve">438 write_latency 3002ns </t>
  </si>
  <si>
    <t xml:space="preserve">439 read_latency 17464ns </t>
  </si>
  <si>
    <t xml:space="preserve">439 write_latency 7104ns </t>
  </si>
  <si>
    <t xml:space="preserve">438 read_latency 11888ns </t>
  </si>
  <si>
    <t xml:space="preserve">438 write 10120ns </t>
  </si>
  <si>
    <t xml:space="preserve">439 read_latency 8698ns </t>
  </si>
  <si>
    <t xml:space="preserve">439 write_latency 3246ns </t>
  </si>
  <si>
    <t xml:space="preserve">440 read_latency 28810ns </t>
  </si>
  <si>
    <t xml:space="preserve">440 read_latency 13164ns </t>
  </si>
  <si>
    <t xml:space="preserve">439 read_latency 7266ns </t>
  </si>
  <si>
    <t xml:space="preserve">439 write 40817ns </t>
  </si>
  <si>
    <t xml:space="preserve">440 read_latency 8403ns </t>
  </si>
  <si>
    <t xml:space="preserve">440 read_latency 5980ns </t>
  </si>
  <si>
    <t xml:space="preserve">441 read_latency 12514ns </t>
  </si>
  <si>
    <t xml:space="preserve">441 read_latency 13112ns </t>
  </si>
  <si>
    <t xml:space="preserve">440 read_latency 11139ns </t>
  </si>
  <si>
    <t xml:space="preserve">440 read_latency 6775ns </t>
  </si>
  <si>
    <t xml:space="preserve">441 read_latency 7703ns </t>
  </si>
  <si>
    <t xml:space="preserve">441 read_latency 6805ns </t>
  </si>
  <si>
    <t xml:space="preserve">442 read_latency 21069ns </t>
  </si>
  <si>
    <t xml:space="preserve">442 read_latency 10852ns </t>
  </si>
  <si>
    <t xml:space="preserve">441 read_latency 14501ns </t>
  </si>
  <si>
    <t xml:space="preserve">441 read_latency 8078ns </t>
  </si>
  <si>
    <t xml:space="preserve">442 read_latency 8107ns </t>
  </si>
  <si>
    <t xml:space="preserve">442 write_latency 3024ns </t>
  </si>
  <si>
    <t xml:space="preserve">443 read_latency 13647ns </t>
  </si>
  <si>
    <t xml:space="preserve">443 read_latency 10078ns </t>
  </si>
  <si>
    <t xml:space="preserve">442 read_latency 6867ns </t>
  </si>
  <si>
    <t xml:space="preserve">442 write 45873ns </t>
  </si>
  <si>
    <t xml:space="preserve">443 read_latency 13905ns </t>
  </si>
  <si>
    <t xml:space="preserve">443 write_latency 3087ns </t>
  </si>
  <si>
    <t xml:space="preserve">444 read_latency 13875ns </t>
  </si>
  <si>
    <t xml:space="preserve">444 read_latency 15107ns </t>
  </si>
  <si>
    <t xml:space="preserve">443 read_latency 6445ns </t>
  </si>
  <si>
    <t xml:space="preserve">443 write 53673ns </t>
  </si>
  <si>
    <t xml:space="preserve">444 read_latency 6429ns </t>
  </si>
  <si>
    <t xml:space="preserve">444 read_latency 6813ns </t>
  </si>
  <si>
    <t xml:space="preserve">445 read_latency 18076ns </t>
  </si>
  <si>
    <t xml:space="preserve">445 write_latency 8188ns </t>
  </si>
  <si>
    <t xml:space="preserve">444 read_latency 7702ns </t>
  </si>
  <si>
    <t xml:space="preserve">444 read_latency 20674ns </t>
  </si>
  <si>
    <t xml:space="preserve">445 read_latency 7021ns </t>
  </si>
  <si>
    <t xml:space="preserve">445 read_latency 12495ns </t>
  </si>
  <si>
    <t xml:space="preserve">446 write_latency 7145ns </t>
  </si>
  <si>
    <t xml:space="preserve">446 write_latency 7336ns </t>
  </si>
  <si>
    <t xml:space="preserve">445 read_latency 6685ns </t>
  </si>
  <si>
    <t xml:space="preserve">445 read_latency 6688ns </t>
  </si>
  <si>
    <t xml:space="preserve">446 read_latency 6374ns </t>
  </si>
  <si>
    <t xml:space="preserve">446 write_latency 3133ns </t>
  </si>
  <si>
    <t xml:space="preserve">447 read_latency 9866ns </t>
  </si>
  <si>
    <t xml:space="preserve">447 write_latency 12510ns </t>
  </si>
  <si>
    <t xml:space="preserve">446 read_latency 12977ns </t>
  </si>
  <si>
    <t xml:space="preserve">446 write 8002ns </t>
  </si>
  <si>
    <t xml:space="preserve">447 read_latency 104046ns </t>
  </si>
  <si>
    <t xml:space="preserve">447 read_latency 6453ns </t>
  </si>
  <si>
    <t xml:space="preserve">448 read_latency 12579ns </t>
  </si>
  <si>
    <t xml:space="preserve">448 write_latency 8502ns </t>
  </si>
  <si>
    <t xml:space="preserve">447 read_latency 10489ns </t>
  </si>
  <si>
    <t xml:space="preserve">447 read_latency 8158ns </t>
  </si>
  <si>
    <t xml:space="preserve">448 read_latency 6926ns </t>
  </si>
  <si>
    <t xml:space="preserve">448 write_latency 2818ns </t>
  </si>
  <si>
    <t xml:space="preserve">449 write_latency 6618ns </t>
  </si>
  <si>
    <t xml:space="preserve">449 read_latency 25822ns </t>
  </si>
  <si>
    <t xml:space="preserve">448 read_latency 6517ns </t>
  </si>
  <si>
    <t xml:space="preserve">448 write 17589ns </t>
  </si>
  <si>
    <t xml:space="preserve">449 read_latency 6540ns </t>
  </si>
  <si>
    <t xml:space="preserve">449 read_latency 7331ns </t>
  </si>
  <si>
    <t xml:space="preserve">450 read_latency 12364ns </t>
  </si>
  <si>
    <t xml:space="preserve">450 read_latency 7216ns </t>
  </si>
  <si>
    <t xml:space="preserve">449 read_latency 6438ns </t>
  </si>
  <si>
    <t xml:space="preserve">449 read_latency 31164ns </t>
  </si>
  <si>
    <t xml:space="preserve">450 read_latency 11328ns </t>
  </si>
  <si>
    <t xml:space="preserve">450 write_latency 3565ns </t>
  </si>
  <si>
    <t xml:space="preserve">451 read_latency 12846ns </t>
  </si>
  <si>
    <t xml:space="preserve">451 read_latency 9783ns </t>
  </si>
  <si>
    <t xml:space="preserve">450 read_latency 15671ns </t>
  </si>
  <si>
    <t xml:space="preserve">450 write 52531ns </t>
  </si>
  <si>
    <t xml:space="preserve">451 read_latency 17714ns </t>
  </si>
  <si>
    <t xml:space="preserve">451 write_latency 3076ns </t>
  </si>
  <si>
    <t xml:space="preserve">452 read_latency 14465ns </t>
  </si>
  <si>
    <t xml:space="preserve">452 write_latency 7887ns </t>
  </si>
  <si>
    <t xml:space="preserve">451 read_latency 7279ns </t>
  </si>
  <si>
    <t xml:space="preserve">451 write 43983ns </t>
  </si>
  <si>
    <t xml:space="preserve">452 read_latency 13241ns </t>
  </si>
  <si>
    <t xml:space="preserve">452 write_latency 3000ns </t>
  </si>
  <si>
    <t xml:space="preserve">453 read_latency 13494ns </t>
  </si>
  <si>
    <t xml:space="preserve">453 read_latency 14358ns </t>
  </si>
  <si>
    <t xml:space="preserve">452 read_latency 9800ns </t>
  </si>
  <si>
    <t xml:space="preserve">452 write 53215ns </t>
  </si>
  <si>
    <t xml:space="preserve">453 read_latency 13096ns </t>
  </si>
  <si>
    <t xml:space="preserve">453 read_latency 9975ns </t>
  </si>
  <si>
    <t xml:space="preserve">454 read_latency 24181ns </t>
  </si>
  <si>
    <t xml:space="preserve">454 write_latency 11912ns </t>
  </si>
  <si>
    <t xml:space="preserve">453 read_latency 8302ns </t>
  </si>
  <si>
    <t xml:space="preserve">453 read_latency 7527ns </t>
  </si>
  <si>
    <t xml:space="preserve">454 read_latency 6791ns </t>
  </si>
  <si>
    <t xml:space="preserve">454 write_latency 2952ns </t>
  </si>
  <si>
    <t xml:space="preserve">455 read_latency 9325ns </t>
  </si>
  <si>
    <t xml:space="preserve">455 read_latency 23118ns </t>
  </si>
  <si>
    <t xml:space="preserve">454 read_latency 10598ns </t>
  </si>
  <si>
    <t xml:space="preserve">454 write 14069ns </t>
  </si>
  <si>
    <t xml:space="preserve">455 read_latency 6311ns </t>
  </si>
  <si>
    <t xml:space="preserve">455 write_latency 3059ns </t>
  </si>
  <si>
    <t xml:space="preserve">456 read_latency 23429ns </t>
  </si>
  <si>
    <t xml:space="preserve">456 write_latency 9072ns </t>
  </si>
  <si>
    <t xml:space="preserve">455 read_latency 6351ns </t>
  </si>
  <si>
    <t xml:space="preserve">455 write 7742ns </t>
  </si>
  <si>
    <t xml:space="preserve">456 read_latency 6567ns </t>
  </si>
  <si>
    <t xml:space="preserve">456 write_latency 2786ns </t>
  </si>
  <si>
    <t xml:space="preserve">457 read_latency 26241ns </t>
  </si>
  <si>
    <t xml:space="preserve">457 write_latency 7528ns </t>
  </si>
  <si>
    <t xml:space="preserve">456 read_latency 8357ns </t>
  </si>
  <si>
    <t xml:space="preserve">456 write 21485ns </t>
  </si>
  <si>
    <t xml:space="preserve">457 read_latency 6736ns </t>
  </si>
  <si>
    <t xml:space="preserve">457 read_latency 9392ns </t>
  </si>
  <si>
    <t xml:space="preserve">458 read_latency 26241ns </t>
  </si>
  <si>
    <t xml:space="preserve">458 read_latency 12649ns </t>
  </si>
  <si>
    <t xml:space="preserve">457 read_latency 12251ns </t>
  </si>
  <si>
    <t xml:space="preserve">457 read_latency 7100ns </t>
  </si>
  <si>
    <t xml:space="preserve">458 write_latency 3494ns </t>
  </si>
  <si>
    <t xml:space="preserve">458 read_latency 7910ns </t>
  </si>
  <si>
    <t xml:space="preserve">459 read_latency 12940ns </t>
  </si>
  <si>
    <t xml:space="preserve">459 write_latency 8721ns </t>
  </si>
  <si>
    <t xml:space="preserve">458 write 7822ns </t>
  </si>
  <si>
    <t xml:space="preserve">458 read_latency 10821ns </t>
  </si>
  <si>
    <t xml:space="preserve">459 read_latency 9308ns </t>
  </si>
  <si>
    <t xml:space="preserve">459 read_latency 48286ns </t>
  </si>
  <si>
    <t xml:space="preserve">460 read_latency 12623ns </t>
  </si>
  <si>
    <t xml:space="preserve">460 write_latency 15571ns </t>
  </si>
  <si>
    <t xml:space="preserve">459 read_latency 8195ns </t>
  </si>
  <si>
    <t xml:space="preserve">459 read_latency 15542ns </t>
  </si>
  <si>
    <t xml:space="preserve">460 read_latency 7060ns </t>
  </si>
  <si>
    <t xml:space="preserve">460 read_latency 7013ns </t>
  </si>
  <si>
    <t xml:space="preserve">461 read_latency 12318ns </t>
  </si>
  <si>
    <t xml:space="preserve">461 read_latency 10957ns </t>
  </si>
  <si>
    <t xml:space="preserve">460 read_latency 18051ns </t>
  </si>
  <si>
    <t xml:space="preserve">460 read_latency 9862ns </t>
  </si>
  <si>
    <t xml:space="preserve">461 read_latency 6779ns </t>
  </si>
  <si>
    <t xml:space="preserve">461 read_latency 7007ns </t>
  </si>
  <si>
    <t xml:space="preserve">462 write_latency 6248ns </t>
  </si>
  <si>
    <t xml:space="preserve">462 write_latency 9234ns </t>
  </si>
  <si>
    <t xml:space="preserve">461 read_latency 7191ns </t>
  </si>
  <si>
    <t xml:space="preserve">461 read_latency 7256ns </t>
  </si>
  <si>
    <t xml:space="preserve">462 read_latency 7091ns </t>
  </si>
  <si>
    <t xml:space="preserve">462 write_latency 2957ns </t>
  </si>
  <si>
    <t xml:space="preserve">463 read_latency 46652ns </t>
  </si>
  <si>
    <t xml:space="preserve">463 write_latency 19495ns </t>
  </si>
  <si>
    <t xml:space="preserve">462 read_latency 5989ns </t>
  </si>
  <si>
    <t xml:space="preserve">462 write 33189ns </t>
  </si>
  <si>
    <t xml:space="preserve">463 read_latency 7695ns </t>
  </si>
  <si>
    <t xml:space="preserve">463 read_latency 6869ns </t>
  </si>
  <si>
    <t xml:space="preserve">464 read_latency 12470ns </t>
  </si>
  <si>
    <t xml:space="preserve">464 read_latency 11038ns </t>
  </si>
  <si>
    <t xml:space="preserve">463 read_latency 6770ns </t>
  </si>
  <si>
    <t xml:space="preserve">463 read_latency 11497ns </t>
  </si>
  <si>
    <t xml:space="preserve">464 read_latency 8278ns </t>
  </si>
  <si>
    <t xml:space="preserve">464 write_latency 2938ns </t>
  </si>
  <si>
    <t xml:space="preserve">465 read_latency 12145ns </t>
  </si>
  <si>
    <t xml:space="preserve">465 write_latency 6738ns </t>
  </si>
  <si>
    <t xml:space="preserve">464 read_latency 6329ns </t>
  </si>
  <si>
    <t xml:space="preserve">464 write 48147ns </t>
  </si>
  <si>
    <t xml:space="preserve">465 read_latency 7917ns </t>
  </si>
  <si>
    <t xml:space="preserve">465 write_latency 3078ns </t>
  </si>
  <si>
    <t xml:space="preserve">466 read_latency 15092ns </t>
  </si>
  <si>
    <t xml:space="preserve">466 write_latency 8735ns </t>
  </si>
  <si>
    <t xml:space="preserve">465 read_latency 7467ns </t>
  </si>
  <si>
    <t xml:space="preserve">465 write 27412ns </t>
  </si>
  <si>
    <t xml:space="preserve">466 read_latency 11604ns </t>
  </si>
  <si>
    <t xml:space="preserve">466 read_latency 6783ns </t>
  </si>
  <si>
    <t xml:space="preserve">467 read_latency 10243ns </t>
  </si>
  <si>
    <t xml:space="preserve">467 write_latency 17247ns </t>
  </si>
  <si>
    <t xml:space="preserve">466 read_latency 7739ns </t>
  </si>
  <si>
    <t xml:space="preserve">466 read_latency 6664ns </t>
  </si>
  <si>
    <t xml:space="preserve">467 read_latency 12582ns </t>
  </si>
  <si>
    <t xml:space="preserve">467 write_latency 3095ns </t>
  </si>
  <si>
    <t xml:space="preserve">468 read_latency 12322ns </t>
  </si>
  <si>
    <t xml:space="preserve">468 read_latency 27195ns </t>
  </si>
  <si>
    <t xml:space="preserve">467 read_latency 9725ns </t>
  </si>
  <si>
    <t xml:space="preserve">467 write 52797ns </t>
  </si>
  <si>
    <t xml:space="preserve">468 read_latency 7742ns </t>
  </si>
  <si>
    <t xml:space="preserve">468 write_latency 2995ns </t>
  </si>
  <si>
    <t xml:space="preserve">469 read_latency 27380ns </t>
  </si>
  <si>
    <t xml:space="preserve">469 read_latency 7537ns </t>
  </si>
  <si>
    <t xml:space="preserve">468 read_latency 19097ns </t>
  </si>
  <si>
    <t xml:space="preserve">468 write 45020ns </t>
  </si>
  <si>
    <t xml:space="preserve">469 read_latency 8442ns </t>
  </si>
  <si>
    <t xml:space="preserve">469 read_latency 14726ns </t>
  </si>
  <si>
    <t xml:space="preserve">470 read_latency 7532ns </t>
  </si>
  <si>
    <t xml:space="preserve">470 write_latency 9572ns </t>
  </si>
  <si>
    <t xml:space="preserve">469 read_latency 6402ns </t>
  </si>
  <si>
    <t xml:space="preserve">469 read_latency 7285ns </t>
  </si>
  <si>
    <t xml:space="preserve">470 read_latency 10983ns </t>
  </si>
  <si>
    <t xml:space="preserve">470 read_latency 14192ns </t>
  </si>
  <si>
    <t xml:space="preserve">471 read_latency 20604ns </t>
  </si>
  <si>
    <t xml:space="preserve">471 read_latency 10716ns </t>
  </si>
  <si>
    <t xml:space="preserve">470 read_latency 13545ns </t>
  </si>
  <si>
    <t xml:space="preserve">470 read_latency 6341ns </t>
  </si>
  <si>
    <t xml:space="preserve">471 read_latency 18232ns </t>
  </si>
  <si>
    <t xml:space="preserve">471 read_latency 11043ns </t>
  </si>
  <si>
    <t xml:space="preserve">472 read_latency 14694ns </t>
  </si>
  <si>
    <t xml:space="preserve">472 write_latency 7106ns </t>
  </si>
  <si>
    <t xml:space="preserve">471 read_latency 13708ns </t>
  </si>
  <si>
    <t xml:space="preserve">471 read_latency 6365ns </t>
  </si>
  <si>
    <t xml:space="preserve">472 read_latency 7121ns </t>
  </si>
  <si>
    <t xml:space="preserve">472 write_latency 2807ns </t>
  </si>
  <si>
    <t xml:space="preserve">473 read_latency 14549ns </t>
  </si>
  <si>
    <t xml:space="preserve">473 write_latency 8683ns </t>
  </si>
  <si>
    <t xml:space="preserve">472 read_latency 8332ns </t>
  </si>
  <si>
    <t xml:space="preserve">472 write 53329ns </t>
  </si>
  <si>
    <t xml:space="preserve">473 read_latency 8755ns </t>
  </si>
  <si>
    <t xml:space="preserve">473 write_latency 2892ns </t>
  </si>
  <si>
    <t xml:space="preserve">474 read_latency 13601ns </t>
  </si>
  <si>
    <t xml:space="preserve">474 read_latency 13307ns </t>
  </si>
  <si>
    <t xml:space="preserve">473 read_latency 6731ns </t>
  </si>
  <si>
    <t xml:space="preserve">473 write 9185ns </t>
  </si>
  <si>
    <t xml:space="preserve">474 read_latency 7698ns </t>
  </si>
  <si>
    <t xml:space="preserve">474 write_latency 2932ns </t>
  </si>
  <si>
    <t xml:space="preserve">475 read_latency 7081ns </t>
  </si>
  <si>
    <t xml:space="preserve">475 write_latency 7066ns </t>
  </si>
  <si>
    <t xml:space="preserve">474 read_latency 7414ns </t>
  </si>
  <si>
    <t xml:space="preserve">474 write 51982ns </t>
  </si>
  <si>
    <t xml:space="preserve">475 read_latency 7224ns </t>
  </si>
  <si>
    <t xml:space="preserve">475 read_latency 10931ns </t>
  </si>
  <si>
    <t xml:space="preserve">476 read_latency 12912ns </t>
  </si>
  <si>
    <t xml:space="preserve">476 read_latency 11735ns </t>
  </si>
  <si>
    <t xml:space="preserve">475 read_latency 13316ns </t>
  </si>
  <si>
    <t xml:space="preserve">475 read_latency 10514ns </t>
  </si>
  <si>
    <t xml:space="preserve">476 write_latency 3515ns </t>
  </si>
  <si>
    <t xml:space="preserve">476 write_latency 3140ns </t>
  </si>
  <si>
    <t xml:space="preserve">477 read_latency 12172ns </t>
  </si>
  <si>
    <t xml:space="preserve">477 read_latency 9198ns </t>
  </si>
  <si>
    <t xml:space="preserve">476 write 7794ns </t>
  </si>
  <si>
    <t xml:space="preserve">476 write 10392ns </t>
  </si>
  <si>
    <t xml:space="preserve">477 read_latency 6801ns </t>
  </si>
  <si>
    <t xml:space="preserve">477 read_latency 7371ns </t>
  </si>
  <si>
    <t xml:space="preserve">478 read_latency 13499ns </t>
  </si>
  <si>
    <t xml:space="preserve">478 write_latency 8349ns </t>
  </si>
  <si>
    <t xml:space="preserve">477 read_latency 6866ns </t>
  </si>
  <si>
    <t xml:space="preserve">477 read_latency 6981ns </t>
  </si>
  <si>
    <t xml:space="preserve">478 read_latency 6689ns </t>
  </si>
  <si>
    <t xml:space="preserve">478 read_latency 6448ns </t>
  </si>
  <si>
    <t xml:space="preserve">479 read_latency 11902ns </t>
  </si>
  <si>
    <t xml:space="preserve">479 write_latency 7107ns </t>
  </si>
  <si>
    <t xml:space="preserve">478 read_latency 7678ns </t>
  </si>
  <si>
    <t xml:space="preserve">478 read_latency 34866ns </t>
  </si>
  <si>
    <t xml:space="preserve">479 read_latency 8835ns </t>
  </si>
  <si>
    <t xml:space="preserve">479 read_latency 14040ns </t>
  </si>
  <si>
    <t xml:space="preserve">480 read_latency 7237ns </t>
  </si>
  <si>
    <t xml:space="preserve">480 write_latency 22548ns </t>
  </si>
  <si>
    <t xml:space="preserve">479 read_latency 14731ns </t>
  </si>
  <si>
    <t xml:space="preserve">479 read_latency 22999ns </t>
  </si>
  <si>
    <t xml:space="preserve">480 read_latency 15461ns </t>
  </si>
  <si>
    <t xml:space="preserve">480 read_latency 7245ns </t>
  </si>
  <si>
    <t xml:space="preserve">481 read_latency 15842ns </t>
  </si>
  <si>
    <t xml:space="preserve">481 read_latency 11465ns </t>
  </si>
  <si>
    <t xml:space="preserve">480 read_latency 8379ns </t>
  </si>
  <si>
    <t xml:space="preserve">480 read_latency 6941ns </t>
  </si>
  <si>
    <t xml:space="preserve">481 read_latency 11126ns </t>
  </si>
  <si>
    <t xml:space="preserve">481 read_latency 11456ns </t>
  </si>
  <si>
    <t xml:space="preserve">482 read_latency 9319ns </t>
  </si>
  <si>
    <t xml:space="preserve">482 read_latency 11780ns </t>
  </si>
  <si>
    <t xml:space="preserve">481 read_latency 6689ns </t>
  </si>
  <si>
    <t xml:space="preserve">481 read_latency 19719ns </t>
  </si>
  <si>
    <t xml:space="preserve">482 write_latency 3880ns </t>
  </si>
  <si>
    <t xml:space="preserve">482 read_latency 16247ns </t>
  </si>
  <si>
    <t xml:space="preserve">483 read_latency 14098ns </t>
  </si>
  <si>
    <t xml:space="preserve">483 read_latency 8980ns </t>
  </si>
  <si>
    <t xml:space="preserve">482 write 8326ns </t>
  </si>
  <si>
    <t xml:space="preserve">482 read_latency 11902ns </t>
  </si>
  <si>
    <t xml:space="preserve">483 read_latency 16882ns </t>
  </si>
  <si>
    <t xml:space="preserve">483 write_latency 2899ns </t>
  </si>
  <si>
    <t xml:space="preserve">484 read_latency 13960ns </t>
  </si>
  <si>
    <t xml:space="preserve">484 read_latency 13804ns </t>
  </si>
  <si>
    <t xml:space="preserve">483 read_latency 7168ns </t>
  </si>
  <si>
    <t xml:space="preserve">483 write 8769ns </t>
  </si>
  <si>
    <t xml:space="preserve">484 read_latency 6994ns </t>
  </si>
  <si>
    <t xml:space="preserve">484 read_latency 11011ns </t>
  </si>
  <si>
    <t xml:space="preserve">485 write_latency 7205ns </t>
  </si>
  <si>
    <t xml:space="preserve">485 read_latency 10174ns </t>
  </si>
  <si>
    <t xml:space="preserve">484 read_latency 11578ns </t>
  </si>
  <si>
    <t xml:space="preserve">484 read_latency 6203ns </t>
  </si>
  <si>
    <t xml:space="preserve">485 read_latency 9685ns </t>
  </si>
  <si>
    <t xml:space="preserve">485 read_latency 6604ns </t>
  </si>
  <si>
    <t xml:space="preserve">486 read_latency 14401ns </t>
  </si>
  <si>
    <t xml:space="preserve">486 write_latency 6508ns </t>
  </si>
  <si>
    <t xml:space="preserve">485 read_latency 6934ns </t>
  </si>
  <si>
    <t xml:space="preserve">485 read_latency 15375ns </t>
  </si>
  <si>
    <t xml:space="preserve">486 write_latency 3577ns </t>
  </si>
  <si>
    <t xml:space="preserve">486 write_latency 2763ns </t>
  </si>
  <si>
    <t xml:space="preserve">487 read_latency 7645ns </t>
  </si>
  <si>
    <t xml:space="preserve">487 read_latency 10922ns </t>
  </si>
  <si>
    <t xml:space="preserve">486 write 8424ns </t>
  </si>
  <si>
    <t xml:space="preserve">486 write 10728ns </t>
  </si>
  <si>
    <t xml:space="preserve">487 read_latency 11871ns </t>
  </si>
  <si>
    <t xml:space="preserve">487 write_latency 2925ns </t>
  </si>
  <si>
    <t xml:space="preserve">488 write_latency 26759ns </t>
  </si>
  <si>
    <t xml:space="preserve">488 read_latency 16969ns </t>
  </si>
  <si>
    <t xml:space="preserve">487 read_latency 7994ns </t>
  </si>
  <si>
    <t xml:space="preserve">487 write 55164ns </t>
  </si>
  <si>
    <t xml:space="preserve">488 write_latency 3575ns </t>
  </si>
  <si>
    <t xml:space="preserve">488 write_latency 3002ns </t>
  </si>
  <si>
    <t xml:space="preserve">489 read_latency 11124ns </t>
  </si>
  <si>
    <t xml:space="preserve">489 read_latency 12058ns </t>
  </si>
  <si>
    <t xml:space="preserve">488 write 8235ns </t>
  </si>
  <si>
    <t xml:space="preserve">488 write 39602ns </t>
  </si>
  <si>
    <t xml:space="preserve">489 read_latency 9202ns </t>
  </si>
  <si>
    <t xml:space="preserve">489 write_latency 3038ns </t>
  </si>
  <si>
    <t xml:space="preserve">490 read_latency 12511ns </t>
  </si>
  <si>
    <t xml:space="preserve">490 write_latency 6930ns </t>
  </si>
  <si>
    <t xml:space="preserve">489 read_latency 6858ns </t>
  </si>
  <si>
    <t xml:space="preserve">489 write 41610ns </t>
  </si>
  <si>
    <t xml:space="preserve">490 read_latency 20924ns </t>
  </si>
  <si>
    <t xml:space="preserve">490 write_latency 3067ns </t>
  </si>
  <si>
    <t xml:space="preserve">491 read_latency 13799ns </t>
  </si>
  <si>
    <t xml:space="preserve">491 write_latency 6823ns </t>
  </si>
  <si>
    <t xml:space="preserve">490 read_latency 6332ns </t>
  </si>
  <si>
    <t xml:space="preserve">490 write 35305ns </t>
  </si>
  <si>
    <t xml:space="preserve">491 read_latency 16221ns </t>
  </si>
  <si>
    <t xml:space="preserve">491 read_latency 10212ns </t>
  </si>
  <si>
    <t xml:space="preserve">492 read_latency 6334ns </t>
  </si>
  <si>
    <t xml:space="preserve">492 read_latency 12639ns </t>
  </si>
  <si>
    <t xml:space="preserve">491 read_latency 6618ns </t>
  </si>
  <si>
    <t xml:space="preserve">491 read_latency 49425ns </t>
  </si>
  <si>
    <t xml:space="preserve">492 write_latency 3870ns </t>
  </si>
  <si>
    <t xml:space="preserve">492 read_latency 15265ns </t>
  </si>
  <si>
    <t xml:space="preserve">493 read_latency 13386ns </t>
  </si>
  <si>
    <t xml:space="preserve">493 read_latency 10904ns </t>
  </si>
  <si>
    <t xml:space="preserve">492 write 7635ns </t>
  </si>
  <si>
    <t xml:space="preserve">492 read_latency 7440ns </t>
  </si>
  <si>
    <t xml:space="preserve">493 read_latency 6716ns </t>
  </si>
  <si>
    <t xml:space="preserve">493 write_latency 2859ns </t>
  </si>
  <si>
    <t xml:space="preserve">494 read_latency 12614ns </t>
  </si>
  <si>
    <t xml:space="preserve">494 write_latency 7524ns </t>
  </si>
  <si>
    <t xml:space="preserve">493 read_latency 15889ns </t>
  </si>
  <si>
    <t xml:space="preserve">493 write 9616ns </t>
  </si>
  <si>
    <t xml:space="preserve">494 read_latency 7327ns </t>
  </si>
  <si>
    <t xml:space="preserve">494 write_latency 3085ns </t>
  </si>
  <si>
    <t xml:space="preserve">495 read_latency 38639ns </t>
  </si>
  <si>
    <t xml:space="preserve">495 read_latency 8736ns </t>
  </si>
  <si>
    <t xml:space="preserve">494 read_latency 6812ns </t>
  </si>
  <si>
    <t xml:space="preserve">494 write 44446ns </t>
  </si>
  <si>
    <t xml:space="preserve">495 read_latency 6588ns </t>
  </si>
  <si>
    <t xml:space="preserve">495 read_latency 6814ns </t>
  </si>
  <si>
    <t xml:space="preserve">496 read_latency 13033ns </t>
  </si>
  <si>
    <t xml:space="preserve">496 write_latency 7342ns </t>
  </si>
  <si>
    <t xml:space="preserve">495 read_latency 5915ns </t>
  </si>
  <si>
    <t xml:space="preserve">495 read_latency 21311ns </t>
  </si>
  <si>
    <t xml:space="preserve">496 read_latency 6304ns </t>
  </si>
  <si>
    <t xml:space="preserve">496 read_latency 6288ns </t>
  </si>
  <si>
    <t xml:space="preserve">497 read_latency 15742ns </t>
  </si>
  <si>
    <t xml:space="preserve">497 read_latency 13419ns </t>
  </si>
  <si>
    <t xml:space="preserve">496 read_latency 6559ns </t>
  </si>
  <si>
    <t xml:space="preserve">496 read_latency 13522ns </t>
  </si>
  <si>
    <t xml:space="preserve">497 read_latency 7324ns </t>
  </si>
  <si>
    <t xml:space="preserve">497 read_latency 7305ns </t>
  </si>
  <si>
    <t xml:space="preserve">498 read_latency 13472ns </t>
  </si>
  <si>
    <t xml:space="preserve">498 write_latency 9932ns </t>
  </si>
  <si>
    <t xml:space="preserve">497 read_latency 6781ns </t>
  </si>
  <si>
    <t xml:space="preserve">497 read_latency 28916ns </t>
  </si>
  <si>
    <t xml:space="preserve">498 read_latency 12475ns </t>
  </si>
  <si>
    <t xml:space="preserve">498 read_latency 6453ns </t>
  </si>
  <si>
    <t xml:space="preserve">499 read_latency 15217ns </t>
  </si>
  <si>
    <t xml:space="preserve">499 read_latency 8802ns </t>
  </si>
  <si>
    <t xml:space="preserve">498 read_latency 9784ns </t>
  </si>
  <si>
    <t xml:space="preserve">498 read_latency 8203ns </t>
  </si>
  <si>
    <t xml:space="preserve">499 read_latency 6704ns </t>
  </si>
  <si>
    <t xml:space="preserve">499 write_latency 3074ns </t>
  </si>
  <si>
    <t xml:space="preserve">500 read_latency 12572ns </t>
  </si>
  <si>
    <t xml:space="preserve">500 write_latency 7180ns </t>
  </si>
  <si>
    <t xml:space="preserve">499 read_latency 6488ns </t>
  </si>
  <si>
    <t xml:space="preserve">499 write 45670ns </t>
  </si>
  <si>
    <t xml:space="preserve">500 write_latency 3730ns </t>
  </si>
  <si>
    <t xml:space="preserve">500 read_latency 6967ns </t>
  </si>
  <si>
    <t xml:space="preserve">501 read_latency 26598ns </t>
  </si>
  <si>
    <t xml:space="preserve">501 read_latency 6550ns </t>
  </si>
  <si>
    <t xml:space="preserve">500 write 8204ns </t>
  </si>
  <si>
    <t xml:space="preserve">500 read_latency 7299ns </t>
  </si>
  <si>
    <t xml:space="preserve">501 read_latency 12341ns </t>
  </si>
  <si>
    <t xml:space="preserve">501 write_latency 3059ns </t>
  </si>
  <si>
    <t xml:space="preserve">502 read_latency 13125ns </t>
  </si>
  <si>
    <t xml:space="preserve">502 write_latency 7020ns </t>
  </si>
  <si>
    <t xml:space="preserve">501 read_latency 27272ns </t>
  </si>
  <si>
    <t xml:space="preserve">501 write 35733ns </t>
  </si>
  <si>
    <t xml:space="preserve">502 read_latency 7208ns </t>
  </si>
  <si>
    <t xml:space="preserve">502 write_latency 3352ns </t>
  </si>
  <si>
    <t xml:space="preserve">503 read_latency 16212ns </t>
  </si>
  <si>
    <t xml:space="preserve">503 read_latency 15104ns </t>
  </si>
  <si>
    <t xml:space="preserve">502 read_latency 7728ns </t>
  </si>
  <si>
    <t xml:space="preserve">502 write 27114ns </t>
  </si>
  <si>
    <t xml:space="preserve">503 read_latency 11628ns </t>
  </si>
  <si>
    <t xml:space="preserve">503 write_latency 3148ns </t>
  </si>
  <si>
    <t xml:space="preserve">504 read_latency 12415ns </t>
  </si>
  <si>
    <t xml:space="preserve">504 read_latency 8433ns </t>
  </si>
  <si>
    <t xml:space="preserve">503 read_latency 7569ns </t>
  </si>
  <si>
    <t xml:space="preserve">503 write 44217ns </t>
  </si>
  <si>
    <t xml:space="preserve">504 read_latency 6804ns </t>
  </si>
  <si>
    <t xml:space="preserve">504 write_latency 2792ns </t>
  </si>
  <si>
    <t xml:space="preserve">505 read_latency 10818ns </t>
  </si>
  <si>
    <t xml:space="preserve">505 write_latency 6976ns </t>
  </si>
  <si>
    <t xml:space="preserve">504 read_latency 6948ns </t>
  </si>
  <si>
    <t xml:space="preserve">504 write 7896ns </t>
  </si>
  <si>
    <t xml:space="preserve">505 read_latency 7600ns </t>
  </si>
  <si>
    <t xml:space="preserve">505 read_latency 11329ns </t>
  </si>
  <si>
    <t xml:space="preserve">506 read_latency 13363ns </t>
  </si>
  <si>
    <t xml:space="preserve">506 read_latency 14655ns </t>
  </si>
  <si>
    <t xml:space="preserve">505 read_latency 6749ns </t>
  </si>
  <si>
    <t xml:space="preserve">505 read_latency 38062ns </t>
  </si>
  <si>
    <t xml:space="preserve">506 read_latency 17344ns </t>
  </si>
  <si>
    <t xml:space="preserve">506 read_latency 13076ns </t>
  </si>
  <si>
    <t xml:space="preserve">507 read_latency 14185ns </t>
  </si>
  <si>
    <t xml:space="preserve">507 read_latency 12367ns </t>
  </si>
  <si>
    <t xml:space="preserve">506 read_latency 14362ns </t>
  </si>
  <si>
    <t xml:space="preserve">506 read_latency 7126ns </t>
  </si>
  <si>
    <t xml:space="preserve">507 read_latency 15061ns </t>
  </si>
  <si>
    <t xml:space="preserve">507 write_latency 3085ns </t>
  </si>
  <si>
    <t xml:space="preserve">508 write_latency 6794ns </t>
  </si>
  <si>
    <t xml:space="preserve">508 read_latency 10402ns </t>
  </si>
  <si>
    <t xml:space="preserve">507 read_latency 6789ns </t>
  </si>
  <si>
    <t xml:space="preserve">507 write 19332ns </t>
  </si>
  <si>
    <t xml:space="preserve">508 read_latency 11320ns </t>
  </si>
  <si>
    <t xml:space="preserve">508 read_latency 27538ns </t>
  </si>
  <si>
    <t xml:space="preserve">509 read_latency 12819ns </t>
  </si>
  <si>
    <t xml:space="preserve">509 write_latency 5447ns </t>
  </si>
  <si>
    <t xml:space="preserve">508 read_latency 19425ns </t>
  </si>
  <si>
    <t xml:space="preserve">508 read_latency 8659ns </t>
  </si>
  <si>
    <t xml:space="preserve">509 read_latency 7173ns </t>
  </si>
  <si>
    <t xml:space="preserve">509 read_latency 9585ns </t>
  </si>
  <si>
    <t xml:space="preserve">510 read_latency 10813ns </t>
  </si>
  <si>
    <t xml:space="preserve">510 read_latency 10649ns </t>
  </si>
  <si>
    <t xml:space="preserve">509 read_latency 9363ns </t>
  </si>
  <si>
    <t xml:space="preserve">509 read_latency 8199ns </t>
  </si>
  <si>
    <t xml:space="preserve">510 read_latency 10896ns </t>
  </si>
  <si>
    <t xml:space="preserve">510 write_latency 2833ns </t>
  </si>
  <si>
    <t xml:space="preserve">511 read_latency 14611ns </t>
  </si>
  <si>
    <t xml:space="preserve">511 write_latency 8803ns </t>
  </si>
  <si>
    <t xml:space="preserve">510 read_latency 7451ns </t>
  </si>
  <si>
    <t xml:space="preserve">510 write 48226ns </t>
  </si>
  <si>
    <t xml:space="preserve">511 read_latency 10426ns </t>
  </si>
  <si>
    <t xml:space="preserve">511 read_latency 9450ns </t>
  </si>
  <si>
    <t xml:space="preserve">512 read_latency 12120ns </t>
  </si>
  <si>
    <t xml:space="preserve">512 read_latency 11802ns </t>
  </si>
  <si>
    <t xml:space="preserve">511 read_latency 7545ns </t>
  </si>
  <si>
    <t xml:space="preserve">511 read_latency 12284ns </t>
  </si>
  <si>
    <t xml:space="preserve">512 read_latency 21897ns </t>
  </si>
  <si>
    <t xml:space="preserve">512 write_latency 3822ns </t>
  </si>
  <si>
    <t xml:space="preserve">513 read_latency 14194ns </t>
  </si>
  <si>
    <t xml:space="preserve">513 write_latency 7046ns </t>
  </si>
  <si>
    <t xml:space="preserve">512 read_latency 7727ns </t>
  </si>
  <si>
    <t xml:space="preserve">512 write 47627ns </t>
  </si>
  <si>
    <t xml:space="preserve">513 read_latency 12772ns </t>
  </si>
  <si>
    <t xml:space="preserve">513 write_latency 3000ns </t>
  </si>
  <si>
    <t xml:space="preserve">514 read_latency 13662ns </t>
  </si>
  <si>
    <t xml:space="preserve">514 write_latency 10671ns </t>
  </si>
  <si>
    <t xml:space="preserve">513 read_latency 9433ns </t>
  </si>
  <si>
    <t xml:space="preserve">513 write 42183ns </t>
  </si>
  <si>
    <t xml:space="preserve">514 read_latency 9845ns </t>
  </si>
  <si>
    <t xml:space="preserve">514 read_latency 14170ns </t>
  </si>
  <si>
    <t xml:space="preserve">515 read_latency 5950ns </t>
  </si>
  <si>
    <t xml:space="preserve">515 write_latency 7227ns </t>
  </si>
  <si>
    <t xml:space="preserve">514 read_latency 7886ns </t>
  </si>
  <si>
    <t xml:space="preserve">514 read_latency 7825ns </t>
  </si>
  <si>
    <t xml:space="preserve">515 read_latency 7405ns </t>
  </si>
  <si>
    <t xml:space="preserve">515 read_latency 6779ns </t>
  </si>
  <si>
    <t xml:space="preserve">516 read_latency 12570ns </t>
  </si>
  <si>
    <t xml:space="preserve">516 write_latency 7081ns </t>
  </si>
  <si>
    <t xml:space="preserve">515 read_latency 13807ns </t>
  </si>
  <si>
    <t xml:space="preserve">515 read_latency 7238ns </t>
  </si>
  <si>
    <t xml:space="preserve">516 read_latency 21292ns </t>
  </si>
  <si>
    <t xml:space="preserve">516 read_latency 6377ns </t>
  </si>
  <si>
    <t xml:space="preserve">517 read_latency 11855ns </t>
  </si>
  <si>
    <t xml:space="preserve">517 read_latency 6547ns </t>
  </si>
  <si>
    <t xml:space="preserve">516 read_latency 18326ns </t>
  </si>
  <si>
    <t xml:space="preserve">516 read_latency 10092ns </t>
  </si>
  <si>
    <t xml:space="preserve">517 read_latency 14347ns </t>
  </si>
  <si>
    <t xml:space="preserve">517 read_latency 7895ns </t>
  </si>
  <si>
    <t xml:space="preserve">518 read_latency 11015ns </t>
  </si>
  <si>
    <t xml:space="preserve">518 read_latency 26817ns </t>
  </si>
  <si>
    <t xml:space="preserve">517 read_latency 6114ns </t>
  </si>
  <si>
    <t xml:space="preserve">517 read_latency 21603ns </t>
  </si>
  <si>
    <t xml:space="preserve">518 read_latency 7586ns </t>
  </si>
  <si>
    <t xml:space="preserve">518 write_latency 3402ns </t>
  </si>
  <si>
    <t xml:space="preserve">519 read_latency 14466ns </t>
  </si>
  <si>
    <t xml:space="preserve">519 read_latency 9402ns </t>
  </si>
  <si>
    <t xml:space="preserve">518 read_latency 15686ns </t>
  </si>
  <si>
    <t xml:space="preserve">518 write 51652ns </t>
  </si>
  <si>
    <t xml:space="preserve">519 read_latency 11466ns </t>
  </si>
  <si>
    <t xml:space="preserve">519 read_latency 5786ns </t>
  </si>
  <si>
    <t xml:space="preserve">520 read_latency 13603ns </t>
  </si>
  <si>
    <t xml:space="preserve">520 read_latency 11631ns </t>
  </si>
  <si>
    <t xml:space="preserve">519 read_latency 13594ns </t>
  </si>
  <si>
    <t xml:space="preserve">519 read_latency 7719ns </t>
  </si>
  <si>
    <t xml:space="preserve">520 read_latency 6492ns </t>
  </si>
  <si>
    <t xml:space="preserve">520 write_latency 2839ns </t>
  </si>
  <si>
    <t xml:space="preserve">521 read_latency 11856ns </t>
  </si>
  <si>
    <t xml:space="preserve">521 write_latency 7946ns </t>
  </si>
  <si>
    <t xml:space="preserve">520 read_latency 8823ns </t>
  </si>
  <si>
    <t xml:space="preserve">520 write 7658ns </t>
  </si>
  <si>
    <t xml:space="preserve">521 read_latency 16471ns </t>
  </si>
  <si>
    <t xml:space="preserve">521 write_latency 3905ns </t>
  </si>
  <si>
    <t xml:space="preserve">522 read_latency 9253ns </t>
  </si>
  <si>
    <t xml:space="preserve">522 write_latency 11642ns </t>
  </si>
  <si>
    <t xml:space="preserve">521 read_latency 16256ns </t>
  </si>
  <si>
    <t xml:space="preserve">521 write 51451ns </t>
  </si>
  <si>
    <t xml:space="preserve">522 read_latency 6946ns </t>
  </si>
  <si>
    <t xml:space="preserve">522 read_latency 9708ns </t>
  </si>
  <si>
    <t xml:space="preserve">523 read_latency 13955ns </t>
  </si>
  <si>
    <t xml:space="preserve">523 read_latency 17610ns </t>
  </si>
  <si>
    <t xml:space="preserve">522 read_latency 10453ns </t>
  </si>
  <si>
    <t xml:space="preserve">522 read_latency 11511ns </t>
  </si>
  <si>
    <t xml:space="preserve">523 read_latency 7322ns </t>
  </si>
  <si>
    <t xml:space="preserve">523 read_latency 10815ns </t>
  </si>
  <si>
    <t xml:space="preserve">524 read_latency 13755ns </t>
  </si>
  <si>
    <t xml:space="preserve">524 read_latency 9827ns </t>
  </si>
  <si>
    <t xml:space="preserve">523 read_latency 11285ns </t>
  </si>
  <si>
    <t xml:space="preserve">523 read_latency 12142ns </t>
  </si>
  <si>
    <t xml:space="preserve">524 read_latency 26300ns </t>
  </si>
  <si>
    <t xml:space="preserve">524 write_latency 2783ns </t>
  </si>
  <si>
    <t xml:space="preserve">525 read_latency 18520ns </t>
  </si>
  <si>
    <t xml:space="preserve">525 read_latency 12907ns </t>
  </si>
  <si>
    <t xml:space="preserve">524 read_latency 8529ns </t>
  </si>
  <si>
    <t xml:space="preserve">524 write 9735ns </t>
  </si>
  <si>
    <t xml:space="preserve">525 read_latency 6862ns </t>
  </si>
  <si>
    <t xml:space="preserve">525 write_latency 3042ns </t>
  </si>
  <si>
    <t xml:space="preserve">526 read_latency 10010ns </t>
  </si>
  <si>
    <t xml:space="preserve">526 read_latency 7986ns </t>
  </si>
  <si>
    <t xml:space="preserve">525 read_latency 7880ns </t>
  </si>
  <si>
    <t xml:space="preserve">525 write 8030ns </t>
  </si>
  <si>
    <t xml:space="preserve">526 read_latency 11457ns </t>
  </si>
  <si>
    <t xml:space="preserve">526 read_latency 10182ns </t>
  </si>
  <si>
    <t xml:space="preserve">527 read_latency 6691ns </t>
  </si>
  <si>
    <t xml:space="preserve">527 read_latency 7650ns </t>
  </si>
  <si>
    <t xml:space="preserve">526 read_latency 14404ns </t>
  </si>
  <si>
    <t xml:space="preserve">526 read_latency 26610ns </t>
  </si>
  <si>
    <t xml:space="preserve">527 read_latency 25121ns </t>
  </si>
  <si>
    <t xml:space="preserve">527 read_latency 6570ns </t>
  </si>
  <si>
    <t xml:space="preserve">528 read_latency 15159ns </t>
  </si>
  <si>
    <t xml:space="preserve">528 read_latency 11885ns </t>
  </si>
  <si>
    <t xml:space="preserve">527 read_latency 17030ns </t>
  </si>
  <si>
    <t xml:space="preserve">527 read_latency 12570ns </t>
  </si>
  <si>
    <t xml:space="preserve">528 read_latency 6805ns </t>
  </si>
  <si>
    <t xml:space="preserve">528 write_latency 3010ns </t>
  </si>
  <si>
    <t xml:space="preserve">529 write_latency 23196ns </t>
  </si>
  <si>
    <t xml:space="preserve">529 read_latency 20476ns </t>
  </si>
  <si>
    <t xml:space="preserve">528 read_latency 9806ns </t>
  </si>
  <si>
    <t xml:space="preserve">528 write 56988ns </t>
  </si>
  <si>
    <t xml:space="preserve">529 read_latency 14234ns </t>
  </si>
  <si>
    <t xml:space="preserve">529 write_latency 2979ns </t>
  </si>
  <si>
    <t xml:space="preserve">530 read_latency 13075ns </t>
  </si>
  <si>
    <t xml:space="preserve">530 read_latency 10304ns </t>
  </si>
  <si>
    <t xml:space="preserve">529 read_latency 12839ns </t>
  </si>
  <si>
    <t xml:space="preserve">529 write 53502ns </t>
  </si>
  <si>
    <t xml:space="preserve">530 write_latency 3767ns </t>
  </si>
  <si>
    <t xml:space="preserve">530 write_latency 3091ns </t>
  </si>
  <si>
    <t xml:space="preserve">531 read_latency 27196ns </t>
  </si>
  <si>
    <t xml:space="preserve">531 write_latency 16405ns </t>
  </si>
  <si>
    <t xml:space="preserve">530 write 7505ns </t>
  </si>
  <si>
    <t xml:space="preserve">530 write 8536ns </t>
  </si>
  <si>
    <t xml:space="preserve">531 read_latency 7005ns </t>
  </si>
  <si>
    <t xml:space="preserve">531 read_latency 6686ns </t>
  </si>
  <si>
    <t xml:space="preserve">532 write_latency 7804ns </t>
  </si>
  <si>
    <t xml:space="preserve">532 read_latency 9528ns </t>
  </si>
  <si>
    <t xml:space="preserve">531 read_latency 19616ns </t>
  </si>
  <si>
    <t xml:space="preserve">531 read_latency 25348ns </t>
  </si>
  <si>
    <t xml:space="preserve">532 read_latency 10944ns </t>
  </si>
  <si>
    <t xml:space="preserve">532 read_latency 6700ns </t>
  </si>
  <si>
    <t xml:space="preserve">533 read_latency 17002ns </t>
  </si>
  <si>
    <t xml:space="preserve">533 write_latency 7154ns </t>
  </si>
  <si>
    <t xml:space="preserve">532 read_latency 5899ns </t>
  </si>
  <si>
    <t xml:space="preserve">532 read_latency 19046ns </t>
  </si>
  <si>
    <t xml:space="preserve">533 read_latency 7795ns </t>
  </si>
  <si>
    <t xml:space="preserve">533 read_latency 31307ns </t>
  </si>
  <si>
    <t xml:space="preserve">534 read_latency 12847ns </t>
  </si>
  <si>
    <t xml:space="preserve">534 read_latency 11486ns </t>
  </si>
  <si>
    <t xml:space="preserve">533 read_latency 13332ns </t>
  </si>
  <si>
    <t xml:space="preserve">533 read_latency 6935ns </t>
  </si>
  <si>
    <t xml:space="preserve">534 read_latency 12136ns </t>
  </si>
  <si>
    <t xml:space="preserve">534 write_latency 2772ns </t>
  </si>
  <si>
    <t xml:space="preserve">535 read_latency 12709ns </t>
  </si>
  <si>
    <t xml:space="preserve">535 write_latency 8287ns </t>
  </si>
  <si>
    <t xml:space="preserve">534 read_latency 6872ns </t>
  </si>
  <si>
    <t xml:space="preserve">534 write 9530ns </t>
  </si>
  <si>
    <t xml:space="preserve">535 read_latency 20705ns </t>
  </si>
  <si>
    <t xml:space="preserve">535 read_latency 6924ns </t>
  </si>
  <si>
    <t xml:space="preserve">536 read_latency 12347ns </t>
  </si>
  <si>
    <t xml:space="preserve">536 read_latency 8260ns </t>
  </si>
  <si>
    <t xml:space="preserve">535 read_latency 7843ns </t>
  </si>
  <si>
    <t xml:space="preserve">535 read_latency 7534ns </t>
  </si>
  <si>
    <t xml:space="preserve">536 read_latency 7794ns </t>
  </si>
  <si>
    <t xml:space="preserve">536 write_latency 2955ns </t>
  </si>
  <si>
    <t xml:space="preserve">537 read_latency 12861ns </t>
  </si>
  <si>
    <t xml:space="preserve">537 write_latency 9227ns </t>
  </si>
  <si>
    <t xml:space="preserve">536 read_latency 6320ns </t>
  </si>
  <si>
    <t xml:space="preserve">536 write 8298ns </t>
  </si>
  <si>
    <t xml:space="preserve">537 read_latency 16000ns </t>
  </si>
  <si>
    <t xml:space="preserve">537 read_latency 6658ns </t>
  </si>
  <si>
    <t xml:space="preserve">538 read_latency 12169ns </t>
  </si>
  <si>
    <t xml:space="preserve">538 write_latency 7961ns </t>
  </si>
  <si>
    <t xml:space="preserve">537 read_latency 7676ns </t>
  </si>
  <si>
    <t xml:space="preserve">537 read_latency 7735ns </t>
  </si>
  <si>
    <t xml:space="preserve">538 read_latency 7013ns </t>
  </si>
  <si>
    <t xml:space="preserve">538 write_latency 3091ns </t>
  </si>
  <si>
    <t xml:space="preserve">539 read_latency 11446ns </t>
  </si>
  <si>
    <t xml:space="preserve">539 read_latency 11594ns </t>
  </si>
  <si>
    <t xml:space="preserve">538 read_latency 15354ns </t>
  </si>
  <si>
    <t xml:space="preserve">538 write 7509ns </t>
  </si>
  <si>
    <t xml:space="preserve">539 read_latency 6916ns </t>
  </si>
  <si>
    <t xml:space="preserve">539 write_latency 3266ns </t>
  </si>
  <si>
    <t xml:space="preserve">540 read_latency 25489ns </t>
  </si>
  <si>
    <t xml:space="preserve">540 write_latency 10782ns </t>
  </si>
  <si>
    <t xml:space="preserve">539 read_latency 6497ns </t>
  </si>
  <si>
    <t xml:space="preserve">539 write 44794ns </t>
  </si>
  <si>
    <t xml:space="preserve">540 write_latency 3555ns </t>
  </si>
  <si>
    <t xml:space="preserve">540 write_latency 2884ns </t>
  </si>
  <si>
    <t xml:space="preserve">541 read_latency 12882ns </t>
  </si>
  <si>
    <t xml:space="preserve">541 read_latency 15129ns </t>
  </si>
  <si>
    <t xml:space="preserve">540 write 10458ns </t>
  </si>
  <si>
    <t xml:space="preserve">540 write 46963ns </t>
  </si>
  <si>
    <t xml:space="preserve">541 read_latency 7578ns </t>
  </si>
  <si>
    <t xml:space="preserve">541 read_latency 9980ns </t>
  </si>
  <si>
    <t xml:space="preserve">542 read_latency 7450ns </t>
  </si>
  <si>
    <t xml:space="preserve">542 write_latency 6097ns </t>
  </si>
  <si>
    <t xml:space="preserve">541 read_latency 6969ns </t>
  </si>
  <si>
    <t xml:space="preserve">541 read_latency 9626ns </t>
  </si>
  <si>
    <t xml:space="preserve">542 read_latency 7110ns </t>
  </si>
  <si>
    <t xml:space="preserve">542 write_latency 2774ns </t>
  </si>
  <si>
    <t xml:space="preserve">543 read_latency 13105ns </t>
  </si>
  <si>
    <t xml:space="preserve">543 write_latency 7816ns </t>
  </si>
  <si>
    <t xml:space="preserve">542 read_latency 7576ns </t>
  </si>
  <si>
    <t xml:space="preserve">542 write 18506ns </t>
  </si>
  <si>
    <t xml:space="preserve">543 read_latency 6610ns </t>
  </si>
  <si>
    <t xml:space="preserve">543 read_latency 18499ns </t>
  </si>
  <si>
    <t xml:space="preserve">544 read_latency 6344ns </t>
  </si>
  <si>
    <t xml:space="preserve">544 write_latency 8601ns </t>
  </si>
  <si>
    <t xml:space="preserve">543 read_latency 10862ns </t>
  </si>
  <si>
    <t xml:space="preserve">543 read_latency 11219ns </t>
  </si>
  <si>
    <t xml:space="preserve">544 read_latency 7152ns </t>
  </si>
  <si>
    <t xml:space="preserve">544 write_latency 2841ns </t>
  </si>
  <si>
    <t xml:space="preserve">545 read_latency 11957ns </t>
  </si>
  <si>
    <t xml:space="preserve">545 read_latency 19602ns </t>
  </si>
  <si>
    <t xml:space="preserve">544 read_latency 11707ns </t>
  </si>
  <si>
    <t xml:space="preserve">544 write 8046ns </t>
  </si>
  <si>
    <t xml:space="preserve">545 read_latency 6684ns </t>
  </si>
  <si>
    <t xml:space="preserve">545 read_latency 6629ns </t>
  </si>
  <si>
    <t xml:space="preserve">546 read_latency 11063ns </t>
  </si>
  <si>
    <t xml:space="preserve">546 read_latency 7724ns </t>
  </si>
  <si>
    <t xml:space="preserve">545 read_latency 6625ns </t>
  </si>
  <si>
    <t xml:space="preserve">545 read_latency 8132ns </t>
  </si>
  <si>
    <t xml:space="preserve">546 read_latency 6735ns </t>
  </si>
  <si>
    <t xml:space="preserve">546 write_latency 2992ns </t>
  </si>
  <si>
    <t xml:space="preserve">547 read_latency 15320ns </t>
  </si>
  <si>
    <t xml:space="preserve">547 read_latency 10559ns </t>
  </si>
  <si>
    <t xml:space="preserve">546 read_latency 6509ns </t>
  </si>
  <si>
    <t xml:space="preserve">546 write 46010ns </t>
  </si>
  <si>
    <t xml:space="preserve">547 read_latency 7596ns </t>
  </si>
  <si>
    <t xml:space="preserve">547 read_latency 6392ns </t>
  </si>
  <si>
    <t xml:space="preserve">548 read_latency 11442ns </t>
  </si>
  <si>
    <t xml:space="preserve">548 read_latency 13179ns </t>
  </si>
  <si>
    <t xml:space="preserve">547 read_latency 14271ns </t>
  </si>
  <si>
    <t xml:space="preserve">547 read_latency 7446ns </t>
  </si>
  <si>
    <t xml:space="preserve">548 read_latency 7787ns </t>
  </si>
  <si>
    <t xml:space="preserve">548 write_latency 3624ns </t>
  </si>
  <si>
    <t xml:space="preserve">549 read_latency 7401ns </t>
  </si>
  <si>
    <t xml:space="preserve">549 write_latency 7849ns </t>
  </si>
  <si>
    <t xml:space="preserve">548 read_latency 6120ns </t>
  </si>
  <si>
    <t xml:space="preserve">548 write 41941ns </t>
  </si>
  <si>
    <t xml:space="preserve">549 read_latency 11680ns </t>
  </si>
  <si>
    <t xml:space="preserve">549 read_latency 8298ns </t>
  </si>
  <si>
    <t xml:space="preserve">550 read_latency 21581ns </t>
  </si>
  <si>
    <t xml:space="preserve">550 read_latency 11559ns </t>
  </si>
  <si>
    <t xml:space="preserve">549 read_latency 6531ns </t>
  </si>
  <si>
    <t xml:space="preserve">549 read_latency 8633ns </t>
  </si>
  <si>
    <t xml:space="preserve">550 read_latency 8993ns </t>
  </si>
  <si>
    <t xml:space="preserve">550 write_latency 2978ns </t>
  </si>
  <si>
    <t xml:space="preserve">551 read_latency 13004ns </t>
  </si>
  <si>
    <t xml:space="preserve">551 read_latency 11433ns </t>
  </si>
  <si>
    <t xml:space="preserve">550 read_latency 7367ns </t>
  </si>
  <si>
    <t xml:space="preserve">550 write 47303ns </t>
  </si>
  <si>
    <t xml:space="preserve">551 read_latency 7142ns </t>
  </si>
  <si>
    <t xml:space="preserve">551 read_latency 6153ns </t>
  </si>
  <si>
    <t xml:space="preserve">552 read_latency 12313ns </t>
  </si>
  <si>
    <t xml:space="preserve">552 write_latency 7184ns </t>
  </si>
  <si>
    <t xml:space="preserve">551 read_latency 6990ns </t>
  </si>
  <si>
    <t xml:space="preserve">551 read_latency 7048ns </t>
  </si>
  <si>
    <t xml:space="preserve">552 read_latency 7951ns </t>
  </si>
  <si>
    <t xml:space="preserve">552 write_latency 3035ns </t>
  </si>
  <si>
    <t xml:space="preserve">553 read_latency 29400ns </t>
  </si>
  <si>
    <t xml:space="preserve">553 write_latency 7379ns </t>
  </si>
  <si>
    <t xml:space="preserve">552 read_latency 5907ns </t>
  </si>
  <si>
    <t xml:space="preserve">552 write 13554ns </t>
  </si>
  <si>
    <t xml:space="preserve">553 read_latency 7296ns </t>
  </si>
  <si>
    <t xml:space="preserve">553 read_latency 8927ns </t>
  </si>
  <si>
    <t xml:space="preserve">554 read_latency 28322ns </t>
  </si>
  <si>
    <t xml:space="preserve">554 write_latency 6191ns </t>
  </si>
  <si>
    <t xml:space="preserve">553 read_latency 6442ns </t>
  </si>
  <si>
    <t xml:space="preserve">553 read_latency 7415ns </t>
  </si>
  <si>
    <t xml:space="preserve">554 read_latency 11563ns </t>
  </si>
  <si>
    <t xml:space="preserve">554 write_latency 2998ns </t>
  </si>
  <si>
    <t xml:space="preserve">555 read_latency 13917ns </t>
  </si>
  <si>
    <t xml:space="preserve">555 read_latency 15299ns </t>
  </si>
  <si>
    <t xml:space="preserve">554 read_latency 8404ns </t>
  </si>
  <si>
    <t xml:space="preserve">554 write 65178ns </t>
  </si>
  <si>
    <t xml:space="preserve">555 read_latency 6797ns </t>
  </si>
  <si>
    <t xml:space="preserve">555 read_latency 9022ns </t>
  </si>
  <si>
    <t xml:space="preserve">556 read_latency 11723ns </t>
  </si>
  <si>
    <t xml:space="preserve">556 read_latency 11172ns </t>
  </si>
  <si>
    <t xml:space="preserve">555 read_latency 8570ns </t>
  </si>
  <si>
    <t xml:space="preserve">555 read_latency 8141ns </t>
  </si>
  <si>
    <t xml:space="preserve">556 read_latency 12759ns </t>
  </si>
  <si>
    <t xml:space="preserve">556 read_latency 7303ns </t>
  </si>
  <si>
    <t xml:space="preserve">557 read_latency 15553ns </t>
  </si>
  <si>
    <t xml:space="preserve">557 read_latency 13601ns </t>
  </si>
  <si>
    <t xml:space="preserve">556 read_latency 20380ns </t>
  </si>
  <si>
    <t xml:space="preserve">556 read_latency 19790ns </t>
  </si>
  <si>
    <t xml:space="preserve">557 read_latency 7025ns </t>
  </si>
  <si>
    <t xml:space="preserve">557 read_latency 14530ns </t>
  </si>
  <si>
    <t xml:space="preserve">558 read_latency 22964ns </t>
  </si>
  <si>
    <t xml:space="preserve">558 write_latency 7921ns </t>
  </si>
  <si>
    <t xml:space="preserve">557 read_latency 7086ns </t>
  </si>
  <si>
    <t xml:space="preserve">557 read_latency 10836ns </t>
  </si>
  <si>
    <t xml:space="preserve">558 read_latency 6347ns </t>
  </si>
  <si>
    <t xml:space="preserve">558 write_latency 2957ns </t>
  </si>
  <si>
    <t xml:space="preserve">559 read_latency 12994ns </t>
  </si>
  <si>
    <t xml:space="preserve">559 write_latency 26544ns </t>
  </si>
  <si>
    <t xml:space="preserve">558 read_latency 15417ns </t>
  </si>
  <si>
    <t xml:space="preserve">558 write 43704ns </t>
  </si>
  <si>
    <t xml:space="preserve">559 read_latency 13375ns </t>
  </si>
  <si>
    <t xml:space="preserve">559 read_latency 6909ns </t>
  </si>
  <si>
    <t xml:space="preserve">560 read_latency 13593ns </t>
  </si>
  <si>
    <t xml:space="preserve">560 write_latency 8886ns </t>
  </si>
  <si>
    <t xml:space="preserve">559 read_latency 14270ns </t>
  </si>
  <si>
    <t xml:space="preserve">559 read_latency 18905ns </t>
  </si>
  <si>
    <t xml:space="preserve">560 read_latency 18028ns </t>
  </si>
  <si>
    <t xml:space="preserve">560 write_latency 2995ns </t>
  </si>
  <si>
    <t xml:space="preserve">561 read_latency 10383ns </t>
  </si>
  <si>
    <t xml:space="preserve">561 read_latency 25038ns </t>
  </si>
  <si>
    <t xml:space="preserve">560 read_latency 6414ns </t>
  </si>
  <si>
    <t xml:space="preserve">560 write 50776ns </t>
  </si>
  <si>
    <t xml:space="preserve">561 read_latency 12689ns </t>
  </si>
  <si>
    <t xml:space="preserve">561 read_latency 12581ns </t>
  </si>
  <si>
    <t xml:space="preserve">562 read_latency 15046ns </t>
  </si>
  <si>
    <t xml:space="preserve">562 write_latency 9242ns </t>
  </si>
  <si>
    <t xml:space="preserve">561 read_latency 7178ns </t>
  </si>
  <si>
    <t xml:space="preserve">561 read_latency 7043ns </t>
  </si>
  <si>
    <t xml:space="preserve">562 read_latency 15253ns </t>
  </si>
  <si>
    <t xml:space="preserve">562 read_latency 6909ns </t>
  </si>
  <si>
    <t xml:space="preserve">563 read_latency 9908ns </t>
  </si>
  <si>
    <t xml:space="preserve">563 read_latency 13039ns </t>
  </si>
  <si>
    <t xml:space="preserve">562 read_latency 13786ns </t>
  </si>
  <si>
    <t xml:space="preserve">562 read_latency 7518ns </t>
  </si>
  <si>
    <t xml:space="preserve">563 read_latency 25729ns </t>
  </si>
  <si>
    <t xml:space="preserve">563 read_latency 40059ns </t>
  </si>
  <si>
    <t xml:space="preserve">564 read_latency 21342ns </t>
  </si>
  <si>
    <t xml:space="preserve">564 write_latency 8466ns </t>
  </si>
  <si>
    <t xml:space="preserve">563 read_latency 8283ns </t>
  </si>
  <si>
    <t xml:space="preserve">563 read_latency 7119ns </t>
  </si>
  <si>
    <t xml:space="preserve">564 read_latency 13684ns </t>
  </si>
  <si>
    <t xml:space="preserve">564 read_latency 12778ns </t>
  </si>
  <si>
    <t xml:space="preserve">565 read_latency 14124ns </t>
  </si>
  <si>
    <t xml:space="preserve">565 read_latency 11180ns </t>
  </si>
  <si>
    <t xml:space="preserve">564 read_latency 6311ns </t>
  </si>
  <si>
    <t xml:space="preserve">564 read_latency 7095ns </t>
  </si>
  <si>
    <t xml:space="preserve">565 read_latency 6956ns </t>
  </si>
  <si>
    <t xml:space="preserve">565 read_latency 10419ns </t>
  </si>
  <si>
    <t xml:space="preserve">566 read_latency 7366ns </t>
  </si>
  <si>
    <t xml:space="preserve">566 read_latency 10160ns </t>
  </si>
  <si>
    <t xml:space="preserve">565 read_latency 6993ns </t>
  </si>
  <si>
    <t xml:space="preserve">565 read_latency 32063ns </t>
  </si>
  <si>
    <t xml:space="preserve">566 read_latency 7294ns </t>
  </si>
  <si>
    <t xml:space="preserve">566 read_latency 7520ns </t>
  </si>
  <si>
    <t xml:space="preserve">567 read_latency 13516ns </t>
  </si>
  <si>
    <t xml:space="preserve">567 write_latency 6535ns </t>
  </si>
  <si>
    <t xml:space="preserve">566 read_latency 13276ns </t>
  </si>
  <si>
    <t xml:space="preserve">566 read_latency 6905ns </t>
  </si>
  <si>
    <t xml:space="preserve">567 read_latency 12298ns </t>
  </si>
  <si>
    <t xml:space="preserve">567 read_latency 6643ns </t>
  </si>
  <si>
    <t xml:space="preserve">568 read_latency 13111ns </t>
  </si>
  <si>
    <t xml:space="preserve">568 write_latency 8173ns </t>
  </si>
  <si>
    <t xml:space="preserve">567 read_latency 7843ns </t>
  </si>
  <si>
    <t xml:space="preserve">567 read_latency 6157ns </t>
  </si>
  <si>
    <t xml:space="preserve">568 read_latency 7819ns </t>
  </si>
  <si>
    <t xml:space="preserve">568 read_latency 6978ns </t>
  </si>
  <si>
    <t xml:space="preserve">569 read_latency 13338ns </t>
  </si>
  <si>
    <t xml:space="preserve">569 read_latency 10258ns </t>
  </si>
  <si>
    <t xml:space="preserve">568 read_latency 11429ns </t>
  </si>
  <si>
    <t xml:space="preserve">568 read_latency 6658ns </t>
  </si>
  <si>
    <t xml:space="preserve">569 read_latency 8757ns </t>
  </si>
  <si>
    <t xml:space="preserve">569 write_latency 3056ns </t>
  </si>
  <si>
    <t xml:space="preserve">570 read_latency 13020ns </t>
  </si>
  <si>
    <t xml:space="preserve">570 read_latency 8041ns </t>
  </si>
  <si>
    <t xml:space="preserve">569 read_latency 20596ns </t>
  </si>
  <si>
    <t xml:space="preserve">569 write 35268ns </t>
  </si>
  <si>
    <t xml:space="preserve">570 read_latency 16635ns </t>
  </si>
  <si>
    <t xml:space="preserve">570 read_latency 26128ns </t>
  </si>
  <si>
    <t xml:space="preserve">571 read_latency 21149ns </t>
  </si>
  <si>
    <t xml:space="preserve">571 write_latency 15617ns </t>
  </si>
  <si>
    <t xml:space="preserve">570 read_latency 7543ns </t>
  </si>
  <si>
    <t xml:space="preserve">570 read_latency 7712ns </t>
  </si>
  <si>
    <t xml:space="preserve">571 read_latency 8567ns </t>
  </si>
  <si>
    <t xml:space="preserve">571 read_latency 6480ns </t>
  </si>
  <si>
    <t xml:space="preserve">572 read_latency 14382ns </t>
  </si>
  <si>
    <t xml:space="preserve">572 read_latency 6989ns </t>
  </si>
  <si>
    <t xml:space="preserve">571 read_latency 14583ns </t>
  </si>
  <si>
    <t xml:space="preserve">571 read_latency 32196ns </t>
  </si>
  <si>
    <t xml:space="preserve">572 read_latency 7231ns </t>
  </si>
  <si>
    <t xml:space="preserve">572 write_latency 2964ns </t>
  </si>
  <si>
    <t xml:space="preserve">573 read_latency 18617ns </t>
  </si>
  <si>
    <t xml:space="preserve">573 read_latency 12265ns </t>
  </si>
  <si>
    <t xml:space="preserve">572 read_latency 6284ns </t>
  </si>
  <si>
    <t xml:space="preserve">572 write 10192ns </t>
  </si>
  <si>
    <t xml:space="preserve">573 read_latency 6816ns </t>
  </si>
  <si>
    <t xml:space="preserve">573 read_latency 13151ns </t>
  </si>
  <si>
    <t xml:space="preserve">574 write_latency 7551ns </t>
  </si>
  <si>
    <t xml:space="preserve">574 read_latency 10870ns </t>
  </si>
  <si>
    <t xml:space="preserve">573 read_latency 11811ns </t>
  </si>
  <si>
    <t xml:space="preserve">573 read_latency 7511ns </t>
  </si>
  <si>
    <t xml:space="preserve">574 read_latency 16743ns </t>
  </si>
  <si>
    <t xml:space="preserve">574 read_latency 6551ns </t>
  </si>
  <si>
    <t xml:space="preserve">575 read_latency 13284ns </t>
  </si>
  <si>
    <t xml:space="preserve">575 read_latency 16537ns </t>
  </si>
  <si>
    <t xml:space="preserve">574 read_latency 18033ns </t>
  </si>
  <si>
    <t xml:space="preserve">574 read_latency 6974ns </t>
  </si>
  <si>
    <t xml:space="preserve">575 read_latency 6345ns </t>
  </si>
  <si>
    <t xml:space="preserve">575 read_latency 19493ns </t>
  </si>
  <si>
    <t xml:space="preserve">576 read_latency 13057ns </t>
  </si>
  <si>
    <t xml:space="preserve">576 read_latency 9339ns </t>
  </si>
  <si>
    <t xml:space="preserve">575 read_latency 7745ns </t>
  </si>
  <si>
    <t xml:space="preserve">575 read_latency 7313ns </t>
  </si>
  <si>
    <t xml:space="preserve">576 read_latency 6668ns </t>
  </si>
  <si>
    <t xml:space="preserve">576 write_latency 2979ns </t>
  </si>
  <si>
    <t xml:space="preserve">577 read_latency 14754ns </t>
  </si>
  <si>
    <t xml:space="preserve">577 read_latency 9374ns </t>
  </si>
  <si>
    <t xml:space="preserve">576 read_latency 10757ns </t>
  </si>
  <si>
    <t xml:space="preserve">576 write 45939ns </t>
  </si>
  <si>
    <t xml:space="preserve">577 read_latency 6977ns </t>
  </si>
  <si>
    <t xml:space="preserve">577 write_latency 3065ns </t>
  </si>
  <si>
    <t xml:space="preserve">578 read_latency 19909ns </t>
  </si>
  <si>
    <t xml:space="preserve">578 write_latency 6111ns </t>
  </si>
  <si>
    <t xml:space="preserve">577 read_latency 14410ns </t>
  </si>
  <si>
    <t xml:space="preserve">577 write 11505ns </t>
  </si>
  <si>
    <t xml:space="preserve">578 read_latency 12023ns </t>
  </si>
  <si>
    <t xml:space="preserve">578 write_latency 2753ns </t>
  </si>
  <si>
    <t xml:space="preserve">579 read_latency 11908ns </t>
  </si>
  <si>
    <t xml:space="preserve">579 read_latency 10954ns </t>
  </si>
  <si>
    <t xml:space="preserve">578 read_latency 6707ns </t>
  </si>
  <si>
    <t xml:space="preserve">578 write 53265ns </t>
  </si>
  <si>
    <t xml:space="preserve">579 read_latency 14912ns </t>
  </si>
  <si>
    <t xml:space="preserve">579 write_latency 3535ns </t>
  </si>
  <si>
    <t xml:space="preserve">580 read_latency 22760ns </t>
  </si>
  <si>
    <t xml:space="preserve">580 write_latency 5463ns </t>
  </si>
  <si>
    <t xml:space="preserve">579 read_latency 10407ns </t>
  </si>
  <si>
    <t xml:space="preserve">579 write 49941ns </t>
  </si>
  <si>
    <t xml:space="preserve">580 read_latency 6420ns </t>
  </si>
  <si>
    <t xml:space="preserve">580 read_latency 14736ns </t>
  </si>
  <si>
    <t xml:space="preserve">581 read_latency 13632ns </t>
  </si>
  <si>
    <t xml:space="preserve">581 read_latency 10925ns </t>
  </si>
  <si>
    <t xml:space="preserve">580 read_latency 14702ns </t>
  </si>
  <si>
    <t xml:space="preserve">580 read_latency 8017ns </t>
  </si>
  <si>
    <t xml:space="preserve">581 read_latency 14275ns </t>
  </si>
  <si>
    <t xml:space="preserve">581 read_latency 26948ns </t>
  </si>
  <si>
    <t xml:space="preserve">582 read_latency 11869ns </t>
  </si>
  <si>
    <t xml:space="preserve">582 read_latency 12477ns </t>
  </si>
  <si>
    <t xml:space="preserve">581 read_latency 6697ns </t>
  </si>
  <si>
    <t xml:space="preserve">581 read_latency 7685ns </t>
  </si>
  <si>
    <t xml:space="preserve">582 read_latency 7937ns </t>
  </si>
  <si>
    <t xml:space="preserve">582 read_latency 7389ns </t>
  </si>
  <si>
    <t xml:space="preserve">583 write_latency 7961ns </t>
  </si>
  <si>
    <t xml:space="preserve">583 read_latency 10116ns </t>
  </si>
  <si>
    <t xml:space="preserve">582 read_latency 12571ns </t>
  </si>
  <si>
    <t xml:space="preserve">582 read_latency 7256ns </t>
  </si>
  <si>
    <t xml:space="preserve">583 read_latency 7467ns </t>
  </si>
  <si>
    <t xml:space="preserve">583 write_latency 3061ns </t>
  </si>
  <si>
    <t xml:space="preserve">584 read_latency 18112ns </t>
  </si>
  <si>
    <t xml:space="preserve">584 write_latency 6789ns </t>
  </si>
  <si>
    <t xml:space="preserve">583 read_latency 12781ns </t>
  </si>
  <si>
    <t xml:space="preserve">583 write 55602ns </t>
  </si>
  <si>
    <t xml:space="preserve">584 read_latency 6735ns </t>
  </si>
  <si>
    <t xml:space="preserve">584 read_latency 7140ns </t>
  </si>
  <si>
    <t xml:space="preserve">585 read_latency 8239ns </t>
  </si>
  <si>
    <t xml:space="preserve">585 read_latency 14239ns </t>
  </si>
  <si>
    <t xml:space="preserve">584 read_latency 6842ns </t>
  </si>
  <si>
    <t xml:space="preserve">584 read_latency 7754ns </t>
  </si>
  <si>
    <t xml:space="preserve">585 read_latency 26201ns </t>
  </si>
  <si>
    <t xml:space="preserve">585 write_latency 2993ns </t>
  </si>
  <si>
    <t xml:space="preserve">586 read_latency 13059ns </t>
  </si>
  <si>
    <t xml:space="preserve">586 read_latency 12634ns </t>
  </si>
  <si>
    <t xml:space="preserve">585 read_latency 7027ns </t>
  </si>
  <si>
    <t xml:space="preserve">585 write 55096ns </t>
  </si>
  <si>
    <t xml:space="preserve">586 read_latency 7972ns </t>
  </si>
  <si>
    <t xml:space="preserve">586 read_latency 10040ns </t>
  </si>
  <si>
    <t xml:space="preserve">587 read_latency 12228ns </t>
  </si>
  <si>
    <t xml:space="preserve">587 read_latency 38623ns </t>
  </si>
  <si>
    <t xml:space="preserve">586 read_latency 13558ns </t>
  </si>
  <si>
    <t xml:space="preserve">586 read_latency 33177ns </t>
  </si>
  <si>
    <t xml:space="preserve">587 read_latency 6848ns </t>
  </si>
  <si>
    <t xml:space="preserve">587 read_latency 6980ns </t>
  </si>
  <si>
    <t xml:space="preserve">588 read_latency 13358ns </t>
  </si>
  <si>
    <t xml:space="preserve">588 read_latency 11645ns </t>
  </si>
  <si>
    <t xml:space="preserve">587 read_latency 9919ns </t>
  </si>
  <si>
    <t xml:space="preserve">588 read_latency 7182ns </t>
  </si>
  <si>
    <t xml:space="preserve">588 write_latency 2946ns </t>
  </si>
  <si>
    <t xml:space="preserve">589 read_latency 9372ns </t>
  </si>
  <si>
    <t xml:space="preserve">589 write_latency 6095ns </t>
  </si>
  <si>
    <t xml:space="preserve">588 read_latency 6903ns </t>
  </si>
  <si>
    <t xml:space="preserve">588 write 31504ns </t>
  </si>
  <si>
    <t xml:space="preserve">589 read_latency 8393ns </t>
  </si>
  <si>
    <t xml:space="preserve">589 write_latency 3057ns </t>
  </si>
  <si>
    <t xml:space="preserve">590 read_latency 6069ns </t>
  </si>
  <si>
    <t xml:space="preserve">590 write_latency 9607ns </t>
  </si>
  <si>
    <t xml:space="preserve">589 read_latency 9888ns </t>
  </si>
  <si>
    <t xml:space="preserve">589 write 9083ns </t>
  </si>
  <si>
    <t xml:space="preserve">590 read_latency 6664ns </t>
  </si>
  <si>
    <t xml:space="preserve">590 read_latency 6638ns </t>
  </si>
  <si>
    <t xml:space="preserve">591 read_latency 14794ns </t>
  </si>
  <si>
    <t xml:space="preserve">591 write_latency 10343ns </t>
  </si>
  <si>
    <t xml:space="preserve">590 read_latency 10889ns </t>
  </si>
  <si>
    <t xml:space="preserve">590 read_latency 21557ns </t>
  </si>
  <si>
    <t xml:space="preserve">591 read_latency 7899ns </t>
  </si>
  <si>
    <t xml:space="preserve">591 read_latency 12783ns </t>
  </si>
  <si>
    <t xml:space="preserve">592 read_latency 25905ns </t>
  </si>
  <si>
    <t xml:space="preserve">592 write_latency 7343ns </t>
  </si>
  <si>
    <t xml:space="preserve">591 read_latency 15415ns </t>
  </si>
  <si>
    <t xml:space="preserve">591 read_latency 9387ns </t>
  </si>
  <si>
    <t xml:space="preserve">592 read_latency 6681ns </t>
  </si>
  <si>
    <t xml:space="preserve">592 write_latency 2948ns </t>
  </si>
  <si>
    <t xml:space="preserve">593 read_latency 47704ns </t>
  </si>
  <si>
    <t xml:space="preserve">593 read_latency 8823ns </t>
  </si>
  <si>
    <t xml:space="preserve">592 read_latency 11794ns </t>
  </si>
  <si>
    <t xml:space="preserve">592 write 8054ns </t>
  </si>
  <si>
    <t xml:space="preserve">593 read_latency 8789ns </t>
  </si>
  <si>
    <t xml:space="preserve">593 write_latency 3037ns </t>
  </si>
  <si>
    <t xml:space="preserve">594 read_latency 19314ns </t>
  </si>
  <si>
    <t xml:space="preserve">594 write_latency 8113ns </t>
  </si>
  <si>
    <t xml:space="preserve">593 read_latency 7485ns </t>
  </si>
  <si>
    <t xml:space="preserve">593 write 10085ns </t>
  </si>
  <si>
    <t xml:space="preserve">594 read_latency 14464ns </t>
  </si>
  <si>
    <t xml:space="preserve">594 read_latency 6013ns </t>
  </si>
  <si>
    <t xml:space="preserve">595 read_latency 13201ns </t>
  </si>
  <si>
    <t xml:space="preserve">595 read_latency 10276ns </t>
  </si>
  <si>
    <t xml:space="preserve">594 read_latency 7461ns </t>
  </si>
  <si>
    <t xml:space="preserve">594 read_latency 7997ns </t>
  </si>
  <si>
    <t xml:space="preserve">595 read_latency 14540ns </t>
  </si>
  <si>
    <t xml:space="preserve">595 write_latency 3015ns </t>
  </si>
  <si>
    <t xml:space="preserve">596 read_latency 12899ns </t>
  </si>
  <si>
    <t xml:space="preserve">596 write_latency 7764ns </t>
  </si>
  <si>
    <t xml:space="preserve">595 read_latency 6755ns </t>
  </si>
  <si>
    <t xml:space="preserve">595 write 41724ns </t>
  </si>
  <si>
    <t xml:space="preserve">596 read_latency 9865ns </t>
  </si>
  <si>
    <t xml:space="preserve">596 write_latency 2766ns </t>
  </si>
  <si>
    <t xml:space="preserve">597 read_latency 14315ns </t>
  </si>
  <si>
    <t xml:space="preserve">597 read_latency 7802ns </t>
  </si>
  <si>
    <t xml:space="preserve">596 read_latency 7883ns </t>
  </si>
  <si>
    <t xml:space="preserve">596 write 49630ns </t>
  </si>
  <si>
    <t xml:space="preserve">597 read_latency 6619ns </t>
  </si>
  <si>
    <t xml:space="preserve">597 write_latency 3095ns </t>
  </si>
  <si>
    <t xml:space="preserve">598 read_latency 13307ns </t>
  </si>
  <si>
    <t xml:space="preserve">598 read_latency 21101ns </t>
  </si>
  <si>
    <t xml:space="preserve">597 read_latency 14809ns </t>
  </si>
  <si>
    <t xml:space="preserve">597 write 41633ns </t>
  </si>
  <si>
    <t xml:space="preserve">598 read_latency 16362ns </t>
  </si>
  <si>
    <t xml:space="preserve">598 write_latency 3007ns </t>
  </si>
  <si>
    <t xml:space="preserve">599 read_latency 9116ns </t>
  </si>
  <si>
    <t xml:space="preserve">599 write_latency 6749ns </t>
  </si>
  <si>
    <t xml:space="preserve">598 read_latency 13696ns </t>
  </si>
  <si>
    <t xml:space="preserve">598 write 32807ns </t>
  </si>
  <si>
    <t xml:space="preserve">599 read_latency 10116ns </t>
  </si>
  <si>
    <t xml:space="preserve">599 write_latency 2916ns </t>
  </si>
  <si>
    <t xml:space="preserve">599 read_latency 6892ns </t>
  </si>
  <si>
    <t xml:space="preserve">599 write 41910ns </t>
  </si>
  <si>
    <t xml:space="preserve">write 90th percentile latency is 3.794us </t>
  </si>
  <si>
    <t xml:space="preserve">write 90th percentile latency is 3.874us </t>
  </si>
  <si>
    <t xml:space="preserve">write 90th percentile latency is 14.183us </t>
  </si>
  <si>
    <t xml:space="preserve">write 90th percentile latency is 13.18us </t>
  </si>
  <si>
    <t xml:space="preserve">write 90th percentile latency is 13.131us </t>
  </si>
  <si>
    <t xml:space="preserve">write 90th percentile latency is 55.096us </t>
  </si>
  <si>
    <t xml:space="preserve">write 95th percentile latency is 3.87us </t>
  </si>
  <si>
    <t xml:space="preserve">write 95th percentile latency is 4.042us </t>
  </si>
  <si>
    <t xml:space="preserve">write 95th percentile latency is 23.196us </t>
  </si>
  <si>
    <t xml:space="preserve">write 95th percentile latency is 19.162us </t>
  </si>
  <si>
    <t xml:space="preserve">write 95th percentile latency is 13.434us </t>
  </si>
  <si>
    <t xml:space="preserve">write 95th percentile latency is 58.52us </t>
  </si>
  <si>
    <t xml:space="preserve">write 99th percentile latency is 3.88us </t>
  </si>
  <si>
    <t xml:space="preserve">write 99th percentile latency is 4.51us </t>
  </si>
  <si>
    <t xml:space="preserve">write 99th percentile latency is 26.759us </t>
  </si>
  <si>
    <t xml:space="preserve">write 99th percentile latency is 32.22us </t>
  </si>
  <si>
    <t xml:space="preserve">write 99th percentile latency is 19.646us </t>
  </si>
  <si>
    <t xml:space="preserve">write 99th percentile latency is 67.29us </t>
  </si>
  <si>
    <t xml:space="preserve">Read 90th percentile latency is 15.999us </t>
  </si>
  <si>
    <t xml:space="preserve">Read 90th percentile latency is 17.857us </t>
  </si>
  <si>
    <t xml:space="preserve">Read 90th percentile latency is 23.985us </t>
  </si>
  <si>
    <t xml:space="preserve">Read 90th percentile latency is 21.795us </t>
  </si>
  <si>
    <t xml:space="preserve">Read 90th percentile latency is 16.365us </t>
  </si>
  <si>
    <t xml:space="preserve">Read 90th percentile latency is 26.61us </t>
  </si>
  <si>
    <t xml:space="preserve">Read 95th percentile latency is 18.8us </t>
  </si>
  <si>
    <t xml:space="preserve">Read 95th percentile latency is 23.941us </t>
  </si>
  <si>
    <t xml:space="preserve">Read 95th percentile latency is 27.48us </t>
  </si>
  <si>
    <t xml:space="preserve">Read 95th percentile latency is 26.894us </t>
  </si>
  <si>
    <t xml:space="preserve">Read 95th percentile latency is 19.34us </t>
  </si>
  <si>
    <t xml:space="preserve">Read 95th percentile latency is 33.348us </t>
  </si>
  <si>
    <t xml:space="preserve">Read 99th percentile latency is 25.121us </t>
  </si>
  <si>
    <t xml:space="preserve">Read 99th percentile latency is 38.7us </t>
  </si>
  <si>
    <t xml:space="preserve">Read 99th percentile latency is 37.542us </t>
  </si>
  <si>
    <t xml:space="preserve">Read 99th percentile latency is 35.494us </t>
  </si>
  <si>
    <t xml:space="preserve">Read 99th percentile latency is 27.272us </t>
  </si>
  <si>
    <t xml:space="preserve">Read 99th percentile latency is 49.957us </t>
  </si>
  <si>
    <t xml:space="preserve">Mix 90th percentile latency is 15.461us </t>
  </si>
  <si>
    <t xml:space="preserve">Mix 90th percentile latency is 14.136us </t>
  </si>
  <si>
    <t xml:space="preserve">Mix 90th percentile latency is 23.429us </t>
  </si>
  <si>
    <t xml:space="preserve">Mix 90th percentile latency is 17.782us </t>
  </si>
  <si>
    <t xml:space="preserve">Mix 90th percentile latency is 16.34us </t>
  </si>
  <si>
    <t xml:space="preserve">Mix 90th percentile latency is 50.776us </t>
  </si>
  <si>
    <t xml:space="preserve">Mix 95th percentile latency is 18.695us </t>
  </si>
  <si>
    <t xml:space="preserve">Mix 95th percentile latency is 17.956us </t>
  </si>
  <si>
    <t xml:space="preserve">Mix 95th percentile latency is 27.48us </t>
  </si>
  <si>
    <t xml:space="preserve">Mix 95th percentile latency is 23.621us </t>
  </si>
  <si>
    <t xml:space="preserve">Mix 95th percentile latency is 19.34us </t>
  </si>
  <si>
    <t xml:space="preserve">Mix 95th percentile latency is 55.164us </t>
  </si>
  <si>
    <t xml:space="preserve">Mix 99th percentile latency is 25.121us </t>
  </si>
  <si>
    <t xml:space="preserve">Mix 99th percentile latency is 31.842us </t>
  </si>
  <si>
    <t xml:space="preserve">Mix 99th percentile latency is 37.542us </t>
  </si>
  <si>
    <t xml:space="preserve">Mix 99th percentile latency is 35.494us </t>
  </si>
  <si>
    <t xml:space="preserve">Mix 99th percentile latency is 27.272us </t>
  </si>
  <si>
    <t xml:space="preserve">Mix 99th percentile latency is 63.917us </t>
  </si>
  <si>
    <t>thread_id0 send_num_ 30 sum write latency: 90 avg latency : 3us</t>
  </si>
  <si>
    <t>thread_id0 send_num_ 292 sum write latency: 788 avg latency : 2.69863us</t>
  </si>
  <si>
    <t>thread_id0 send_num_ 32 sum write latency: 282 avg latency : 8.8125us</t>
  </si>
  <si>
    <t>thread_id0 send_num_ 277 sum write latency: 2562 avg latency : 9.2491us</t>
  </si>
  <si>
    <t>thread_id0 send_num_ 30 sum write latency: 270 avg latency : 9us</t>
  </si>
  <si>
    <t>thread_id0 send_num_ 292 sum write latency: 8692 avg latency : 29.7671us</t>
  </si>
  <si>
    <t>thread_id0read_num_ 570 sum read latency: 5449 avg latency : 9.559647us</t>
  </si>
  <si>
    <t>thread_id0read_num_ 308 sum read latency: 3327 avg latency : 10.8019us</t>
  </si>
  <si>
    <t>thread_id0read_num_ 568 sum read latency: 8282 avg latency : 14.581us</t>
  </si>
  <si>
    <t>thread_id0read_num_ 323 sum read latency: 4131 avg latency : 12.7895us</t>
  </si>
  <si>
    <t>thread_id0read_num_ 570 sum read latency: 5859 avg latency : 10.27998us</t>
  </si>
  <si>
    <t>thread_id0read_num_ 308 sum read latency: 3662 avg latency : 11.8896us</t>
  </si>
  <si>
    <t xml:space="preserve"> 9.23167us</t>
  </si>
  <si>
    <t xml:space="preserve"> 6.017us</t>
  </si>
  <si>
    <t xml:space="preserve"> 14.2733us</t>
  </si>
  <si>
    <t xml:space="preserve"> 11.155us</t>
  </si>
  <si>
    <t xml:space="preserve"> 10.23833us</t>
  </si>
  <si>
    <t xml:space="preserve"> 20.59us</t>
  </si>
  <si>
    <t>zip</t>
  </si>
  <si>
    <t>latest</t>
  </si>
  <si>
    <t>requests_.size 40000</t>
  </si>
  <si>
    <r>
      <rPr>
        <sz val="11"/>
        <color rgb="FF000000"/>
        <rFont val="宋体"/>
        <charset val="134"/>
        <scheme val="minor"/>
      </rPr>
      <t>Send 60001 48509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</si>
  <si>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Send 60001 46924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</si>
  <si>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4.2 </t>
  </si>
  <si>
    <t xml:space="preserve">write 90th percentile latency is 4.002 </t>
  </si>
  <si>
    <t xml:space="preserve"> is 4.784 </t>
  </si>
  <si>
    <t xml:space="preserve"> is 4.337 </t>
  </si>
  <si>
    <t xml:space="preserve"> is 24.928 </t>
  </si>
  <si>
    <t xml:space="preserve"> is 19.587 </t>
  </si>
  <si>
    <t xml:space="preserve">write 90th percentile latency is 13.853 </t>
  </si>
  <si>
    <t xml:space="preserve">write 90th percentile latency is 14.545 </t>
  </si>
  <si>
    <t xml:space="preserve"> is 10.482 </t>
  </si>
  <si>
    <t xml:space="preserve"> is 8.899 </t>
  </si>
  <si>
    <t xml:space="preserve"> is 4.688 </t>
  </si>
  <si>
    <t xml:space="preserve">write 95th percentile latency is 4.739 </t>
  </si>
  <si>
    <t xml:space="preserve">write 95th percentile latency is 4.247 </t>
  </si>
  <si>
    <t xml:space="preserve"> is 4.815 </t>
  </si>
  <si>
    <t xml:space="preserve"> is 22.909 </t>
  </si>
  <si>
    <t xml:space="preserve"> is 26.032 </t>
  </si>
  <si>
    <t xml:space="preserve"> is 22.836 </t>
  </si>
  <si>
    <t xml:space="preserve">write 95th percentile latency is 13.853 </t>
  </si>
  <si>
    <t xml:space="preserve">write 95th percentile latency is 14.992 </t>
  </si>
  <si>
    <t xml:space="preserve"> is 13.946 </t>
  </si>
  <si>
    <t xml:space="preserve"> is 14.423 </t>
  </si>
  <si>
    <t xml:space="preserve"> is 4.826 </t>
  </si>
  <si>
    <t xml:space="preserve">write 99th percentile latency is 22.172 </t>
  </si>
  <si>
    <t xml:space="preserve">write 99th percentile latency is 4.247 </t>
  </si>
  <si>
    <t xml:space="preserve">write 99th percentile latency is 13.853 </t>
  </si>
  <si>
    <t xml:space="preserve">write 99th percentile latency is 14.992 </t>
  </si>
  <si>
    <t xml:space="preserve"> is 5.302 </t>
  </si>
  <si>
    <t xml:space="preserve">Read 90th percentile latency is 18.243 </t>
  </si>
  <si>
    <t xml:space="preserve">Read 90th percentile latency is 15.849 </t>
  </si>
  <si>
    <t xml:space="preserve"> is 16.787 </t>
  </si>
  <si>
    <t xml:space="preserve"> is 15.059 </t>
  </si>
  <si>
    <t xml:space="preserve"> is 22.483 </t>
  </si>
  <si>
    <t xml:space="preserve"> is 21.22 </t>
  </si>
  <si>
    <t xml:space="preserve">Read 90th percentile latency is 18.343 </t>
  </si>
  <si>
    <t xml:space="preserve">Read 90th percentile latency is 16.227 </t>
  </si>
  <si>
    <t xml:space="preserve"> is 18.924 </t>
  </si>
  <si>
    <t xml:space="preserve"> is 16.461 </t>
  </si>
  <si>
    <t xml:space="preserve"> is 16.789 </t>
  </si>
  <si>
    <t xml:space="preserve">Read 95th percentile latency is 20.7 </t>
  </si>
  <si>
    <t xml:space="preserve">Read 95th percentile latency is 17.988 </t>
  </si>
  <si>
    <t xml:space="preserve"> is 19.049 </t>
  </si>
  <si>
    <t xml:space="preserve"> is 18.296 </t>
  </si>
  <si>
    <t xml:space="preserve"> is 26.631 </t>
  </si>
  <si>
    <t xml:space="preserve"> is 25.325 </t>
  </si>
  <si>
    <t xml:space="preserve">Read 95th percentile latency is 21.364 </t>
  </si>
  <si>
    <t xml:space="preserve">Read 95th percentile latency is 18.959 </t>
  </si>
  <si>
    <t xml:space="preserve"> is 21.956 </t>
  </si>
  <si>
    <t xml:space="preserve"> is 19.807 </t>
  </si>
  <si>
    <t xml:space="preserve"> is 21.671 </t>
  </si>
  <si>
    <t xml:space="preserve">Read 99th percentile latency is 30.631 </t>
  </si>
  <si>
    <t xml:space="preserve">Read 99th percentile latency is 23.362 </t>
  </si>
  <si>
    <t xml:space="preserve"> is 26.567 </t>
  </si>
  <si>
    <t xml:space="preserve"> is 25.563 </t>
  </si>
  <si>
    <t xml:space="preserve"> is 37.508 </t>
  </si>
  <si>
    <t xml:space="preserve"> is 30.934 </t>
  </si>
  <si>
    <t xml:space="preserve">Read 99th percentile latency is 28.744 </t>
  </si>
  <si>
    <t xml:space="preserve">Read 99th percentile latency is 49.803 </t>
  </si>
  <si>
    <t xml:space="preserve"> is 32.501 </t>
  </si>
  <si>
    <t xml:space="preserve"> is 37.767 </t>
  </si>
  <si>
    <t xml:space="preserve"> is 37.714 </t>
  </si>
  <si>
    <t xml:space="preserve">Mix 90th percentile latency is 18.206 </t>
  </si>
  <si>
    <t xml:space="preserve">Mix 90th percentile latency is 15.768 </t>
  </si>
  <si>
    <t xml:space="preserve">Mix 95th percentile latency is 20.7 </t>
  </si>
  <si>
    <t xml:space="preserve">Mix 95th percentile latency is 17.894 </t>
  </si>
  <si>
    <t xml:space="preserve">Mix 99th percentile latency is 30.631 </t>
  </si>
  <si>
    <t xml:space="preserve">Mix 99th percentile latency is 23.362 </t>
  </si>
  <si>
    <t>thread_id0 send_num_ 22 sum write latency: 90 avg latency : 4.09091</t>
  </si>
  <si>
    <t>thread_id0 send_num_ 20 sum write latency: 62 avg latency : 3.1</t>
  </si>
  <si>
    <t xml:space="preserve"> : 3.42857</t>
  </si>
  <si>
    <t xml:space="preserve"> : 4.53846</t>
  </si>
  <si>
    <t xml:space="preserve"> : 15.2</t>
  </si>
  <si>
    <t xml:space="preserve"> : 9.52632</t>
  </si>
  <si>
    <t>thread_id0 send_num_ 10 sum write latency: 82 avg latency : 8.2</t>
  </si>
  <si>
    <t>thread_id0 send_num_ 11 sum write latency: 100 avg latency : 9.09091</t>
  </si>
  <si>
    <t xml:space="preserve"> : 8.78571</t>
  </si>
  <si>
    <t xml:space="preserve"> : 8.4</t>
  </si>
  <si>
    <t xml:space="preserve"> : 3.50345</t>
  </si>
  <si>
    <t>thread_id0read_num_ 378 sum read latency: 3809 avg latency : 10.0767</t>
  </si>
  <si>
    <t>thread_id0read_num_ 380 sum read latency: 3925 avg latency : 10.3289</t>
  </si>
  <si>
    <t xml:space="preserve"> : 10.5385</t>
  </si>
  <si>
    <t xml:space="preserve"> : 9.20209</t>
  </si>
  <si>
    <t xml:space="preserve"> : 14.3123</t>
  </si>
  <si>
    <t xml:space="preserve"> : 14.274</t>
  </si>
  <si>
    <t>thread_id0read_num_ 190 sum read latency: 1930 avg latency : 10.1579</t>
  </si>
  <si>
    <t>thread_id0read_num_ 189 sum read latency: 1898 avg latency : 10.0423</t>
  </si>
  <si>
    <t xml:space="preserve"> : 11.3007</t>
  </si>
  <si>
    <t xml:space="preserve"> : 10.3404</t>
  </si>
  <si>
    <t xml:space="preserve"> : 10.6323</t>
  </si>
  <si>
    <r>
      <rPr>
        <sz val="11"/>
        <color rgb="FF000000"/>
        <rFont val="宋体"/>
        <charset val="134"/>
        <scheme val="minor"/>
      </rPr>
      <t>Send 60001 47399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</si>
  <si>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Send 60001 46432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</si>
  <si>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4.644 </t>
  </si>
  <si>
    <t xml:space="preserve">write 90th percentile latency is 4.241 </t>
  </si>
  <si>
    <t xml:space="preserve"> is 4.617 </t>
  </si>
  <si>
    <t xml:space="preserve"> is 4.607 </t>
  </si>
  <si>
    <t xml:space="preserve"> is 15.172 </t>
  </si>
  <si>
    <t xml:space="preserve"> is 21.507 </t>
  </si>
  <si>
    <t xml:space="preserve">write 90th percentile latency is 20.474 </t>
  </si>
  <si>
    <t xml:space="preserve">write 90th percentile latency is 11.463 </t>
  </si>
  <si>
    <t xml:space="preserve"> is 10.566 </t>
  </si>
  <si>
    <t xml:space="preserve"> is 9.866 </t>
  </si>
  <si>
    <t xml:space="preserve"> is 4.618 </t>
  </si>
  <si>
    <t xml:space="preserve">write 95th percentile latency is 4.787 </t>
  </si>
  <si>
    <t xml:space="preserve">write 95th percentile latency is 4.446 </t>
  </si>
  <si>
    <t xml:space="preserve"> is 4.704 </t>
  </si>
  <si>
    <t xml:space="preserve"> is 23.074 </t>
  </si>
  <si>
    <t xml:space="preserve"> is 20.143 </t>
  </si>
  <si>
    <t xml:space="preserve"> is 22.943 </t>
  </si>
  <si>
    <t xml:space="preserve">write 95th percentile latency is 20.474 </t>
  </si>
  <si>
    <t xml:space="preserve">write 95th percentile latency is 12.368 </t>
  </si>
  <si>
    <t xml:space="preserve"> is 12.875 </t>
  </si>
  <si>
    <t xml:space="preserve"> is 15.506 </t>
  </si>
  <si>
    <t xml:space="preserve"> is 4.861 </t>
  </si>
  <si>
    <t xml:space="preserve">write 99th percentile latency is 22.612 </t>
  </si>
  <si>
    <t xml:space="preserve">write 99th percentile latency is 4.446 </t>
  </si>
  <si>
    <t xml:space="preserve">write 99th percentile latency is 20.474 </t>
  </si>
  <si>
    <t xml:space="preserve">write 99th percentile latency is 12.368 </t>
  </si>
  <si>
    <t xml:space="preserve"> is 5.027 </t>
  </si>
  <si>
    <t xml:space="preserve">Read 90th percentile latency is 17.71 </t>
  </si>
  <si>
    <t xml:space="preserve">Read 90th percentile latency is 17.118 </t>
  </si>
  <si>
    <t xml:space="preserve"> is 17.977 </t>
  </si>
  <si>
    <t xml:space="preserve"> is 17.153 </t>
  </si>
  <si>
    <t xml:space="preserve"> is 23.308 </t>
  </si>
  <si>
    <t xml:space="preserve"> is 19.19 </t>
  </si>
  <si>
    <t xml:space="preserve">Read 90th percentile latency is 16.522 </t>
  </si>
  <si>
    <t xml:space="preserve">Read 90th percentile latency is 18.41 </t>
  </si>
  <si>
    <t xml:space="preserve"> is 15.298 </t>
  </si>
  <si>
    <t xml:space="preserve"> is 16.059 </t>
  </si>
  <si>
    <t xml:space="preserve"> is 17.436 </t>
  </si>
  <si>
    <t xml:space="preserve">Read 95th percentile latency is 20.885 </t>
  </si>
  <si>
    <t xml:space="preserve">Read 95th percentile latency is 19.148 </t>
  </si>
  <si>
    <t xml:space="preserve"> is 20.717 </t>
  </si>
  <si>
    <t xml:space="preserve"> is 20.859 </t>
  </si>
  <si>
    <t xml:space="preserve"> is 26.416 </t>
  </si>
  <si>
    <t xml:space="preserve"> is 24.408 </t>
  </si>
  <si>
    <t xml:space="preserve">Read 95th percentile latency is 18.463 </t>
  </si>
  <si>
    <t xml:space="preserve"> is 18.683 </t>
  </si>
  <si>
    <t xml:space="preserve"> is 19.37 </t>
  </si>
  <si>
    <t xml:space="preserve"> is 19.935 </t>
  </si>
  <si>
    <t xml:space="preserve">Read 99th percentile latency is 31.979 </t>
  </si>
  <si>
    <t xml:space="preserve">Read 99th percentile latency is 29.878 </t>
  </si>
  <si>
    <t xml:space="preserve"> is 33.307 </t>
  </si>
  <si>
    <t xml:space="preserve"> is 25.62 </t>
  </si>
  <si>
    <t xml:space="preserve"> is 34.775 </t>
  </si>
  <si>
    <t xml:space="preserve"> is 37.376 </t>
  </si>
  <si>
    <t xml:space="preserve">Read 99th percentile latency is 28.788 </t>
  </si>
  <si>
    <t xml:space="preserve">Read 99th percentile latency is 26.007 </t>
  </si>
  <si>
    <t xml:space="preserve"> is 34.488 </t>
  </si>
  <si>
    <t xml:space="preserve"> is 28.265 </t>
  </si>
  <si>
    <t xml:space="preserve"> is 31.537 </t>
  </si>
  <si>
    <t xml:space="preserve">Mix 90th percentile latency is 17.591 </t>
  </si>
  <si>
    <t xml:space="preserve">Mix 90th percentile latency is 16.724 </t>
  </si>
  <si>
    <t xml:space="preserve">Mix 95th percentile latency is 20.885 </t>
  </si>
  <si>
    <t xml:space="preserve">Mix 95th percentile latency is 19.062 </t>
  </si>
  <si>
    <t xml:space="preserve">Mix 99th percentile latency is 31.979 </t>
  </si>
  <si>
    <t xml:space="preserve">Mix 99th percentile latency is 29.878 </t>
  </si>
  <si>
    <t>thread_id0 send_num_ 22 sum write latency: 91 avg latency : 4.13636</t>
  </si>
  <si>
    <t>thread_id0 send_num_ 20 sum write latency: 67 avg latency : 3.35</t>
  </si>
  <si>
    <t xml:space="preserve"> : 4.76923</t>
  </si>
  <si>
    <t xml:space="preserve"> : 8.26667</t>
  </si>
  <si>
    <t xml:space="preserve"> : 9.94737</t>
  </si>
  <si>
    <t>thread_id0 send_num_ 10 sum write latency: 90 avg latency : 9</t>
  </si>
  <si>
    <t>thread_id0 send_num_ 11 sum write latency: 91 avg latency : 8.27273</t>
  </si>
  <si>
    <t xml:space="preserve"> : 8.71429</t>
  </si>
  <si>
    <t xml:space="preserve"> : 8.6</t>
  </si>
  <si>
    <t xml:space="preserve"> : 3.44138</t>
  </si>
  <si>
    <t>thread_id0read_num_ 378 sum read latency: 3793 avg latency : 10.0344</t>
  </si>
  <si>
    <t>thread_id0read_num_ 380 sum read latency: 3741 avg latency : 9.84474</t>
  </si>
  <si>
    <t xml:space="preserve"> : 10.5699</t>
  </si>
  <si>
    <t xml:space="preserve"> : 10.5226</t>
  </si>
  <si>
    <t xml:space="preserve"> : 14.1825</t>
  </si>
  <si>
    <t xml:space="preserve"> : 13.6726</t>
  </si>
  <si>
    <t>thread_id0read_num_ 190 sum read latency: 1744 avg latency : 9.17895</t>
  </si>
  <si>
    <t>thread_id0read_num_ 189 sum read latency: 1821 avg latency : 9.63492</t>
  </si>
  <si>
    <t xml:space="preserve"> : 9.6014</t>
  </si>
  <si>
    <t xml:space="preserve"> : 10.1789</t>
  </si>
  <si>
    <t xml:space="preserve"> : 10.1161</t>
  </si>
  <si>
    <r>
      <rPr>
        <sz val="11"/>
        <color rgb="FF000000"/>
        <rFont val="宋体"/>
        <charset val="134"/>
        <scheme val="minor"/>
      </rPr>
      <t>Send 60001 49587</t>
    </r>
    <r>
      <rPr>
        <sz val="11"/>
        <color rgb="FF000000"/>
        <rFont val="宋体"/>
        <charset val="134"/>
        <scheme val="minor"/>
      </rPr>
      <t xml:space="preserve"> </t>
    </r>
  </si>
  <si>
    <r>
      <rPr>
        <sz val="11"/>
        <color rgb="FF000000"/>
        <rFont val="宋体"/>
        <charset val="134"/>
        <scheme val="minor"/>
      </rPr>
      <t>Send 60001 46373</t>
    </r>
    <r>
      <rPr>
        <sz val="11"/>
        <color rgb="FF000000"/>
        <rFont val="宋体"/>
        <charset val="134"/>
        <scheme val="minor"/>
      </rPr>
      <t xml:space="preserve"> </t>
    </r>
  </si>
  <si>
    <t xml:space="preserve">write 90th percentile latency is 4.27 </t>
  </si>
  <si>
    <t xml:space="preserve">write 90th percentile latency is 4.406 </t>
  </si>
  <si>
    <t xml:space="preserve"> is 4.656 </t>
  </si>
  <si>
    <t xml:space="preserve"> is 4.427 </t>
  </si>
  <si>
    <t xml:space="preserve"> is 22.827 </t>
  </si>
  <si>
    <t xml:space="preserve"> is 9.688 </t>
  </si>
  <si>
    <t xml:space="preserve">write 90th percentile latency is 20.832 </t>
  </si>
  <si>
    <t xml:space="preserve">write 90th percentile latency is 14.409 </t>
  </si>
  <si>
    <t xml:space="preserve"> is 10.043 </t>
  </si>
  <si>
    <t xml:space="preserve"> is 8.936 </t>
  </si>
  <si>
    <t xml:space="preserve"> is 4.651 </t>
  </si>
  <si>
    <t xml:space="preserve">write 95th percentile latency is 4.323 </t>
  </si>
  <si>
    <t xml:space="preserve">write 95th percentile latency is 4.487 </t>
  </si>
  <si>
    <t xml:space="preserve"> is 5.026 </t>
  </si>
  <si>
    <t xml:space="preserve"> is 7.558 </t>
  </si>
  <si>
    <t xml:space="preserve"> is 26.156 </t>
  </si>
  <si>
    <t xml:space="preserve"> is 24.829 </t>
  </si>
  <si>
    <t xml:space="preserve">write 95th percentile latency is 20.832 </t>
  </si>
  <si>
    <t xml:space="preserve">write 95th percentile latency is 20.174 </t>
  </si>
  <si>
    <t xml:space="preserve"> is 12.329 </t>
  </si>
  <si>
    <t xml:space="preserve"> is 11.208 </t>
  </si>
  <si>
    <t xml:space="preserve"> is 4.715 </t>
  </si>
  <si>
    <t xml:space="preserve">write 99th percentile latency is 7.033 </t>
  </si>
  <si>
    <t xml:space="preserve">write 99th percentile latency is 4.487 </t>
  </si>
  <si>
    <t xml:space="preserve">write 99th percentile latency is 20.832 </t>
  </si>
  <si>
    <t xml:space="preserve">write 99th percentile latency is 20.174 </t>
  </si>
  <si>
    <t xml:space="preserve"> is 5.348 </t>
  </si>
  <si>
    <t xml:space="preserve">Read 90th percentile latency is 15.983 </t>
  </si>
  <si>
    <t xml:space="preserve">Read 90th percentile latency is 17.045 </t>
  </si>
  <si>
    <t xml:space="preserve"> is 17.852 </t>
  </si>
  <si>
    <t xml:space="preserve"> is 16.969 </t>
  </si>
  <si>
    <t xml:space="preserve"> is 25.417 </t>
  </si>
  <si>
    <t xml:space="preserve"> is 22.272 </t>
  </si>
  <si>
    <t xml:space="preserve">Read 90th percentile latency is 14.943 </t>
  </si>
  <si>
    <t xml:space="preserve">Read 90th percentile latency is 16.774 </t>
  </si>
  <si>
    <t xml:space="preserve"> is 18.854 </t>
  </si>
  <si>
    <t xml:space="preserve"> is 16.899 </t>
  </si>
  <si>
    <t xml:space="preserve"> is 18.449 </t>
  </si>
  <si>
    <t xml:space="preserve">Read 95th percentile latency is 18.662 </t>
  </si>
  <si>
    <t xml:space="preserve">Read 95th percentile latency is 19.249 </t>
  </si>
  <si>
    <t xml:space="preserve"> is 20.725 </t>
  </si>
  <si>
    <t xml:space="preserve"> is 20.201 </t>
  </si>
  <si>
    <t xml:space="preserve"> is 29.542 </t>
  </si>
  <si>
    <t xml:space="preserve"> is 25.183 </t>
  </si>
  <si>
    <t xml:space="preserve">Read 95th percentile latency is 18.56 </t>
  </si>
  <si>
    <t xml:space="preserve">Read 95th percentile latency is 19.877 </t>
  </si>
  <si>
    <t xml:space="preserve"> is 21.982 </t>
  </si>
  <si>
    <t xml:space="preserve"> is 21.834 </t>
  </si>
  <si>
    <t xml:space="preserve"> is 25.721 </t>
  </si>
  <si>
    <t xml:space="preserve">Read 99th percentile latency is 24.519 </t>
  </si>
  <si>
    <t xml:space="preserve">Read 99th percentile latency is 29.727 </t>
  </si>
  <si>
    <t xml:space="preserve"> is 33.176 </t>
  </si>
  <si>
    <t xml:space="preserve"> is 23.933 </t>
  </si>
  <si>
    <t xml:space="preserve"> is 37.995 </t>
  </si>
  <si>
    <t xml:space="preserve"> is 34.323 </t>
  </si>
  <si>
    <t xml:space="preserve">Read 99th percentile latency is 27.147 </t>
  </si>
  <si>
    <t xml:space="preserve">Read 99th percentile latency is 34.575 </t>
  </si>
  <si>
    <t xml:space="preserve"> is 39.476 </t>
  </si>
  <si>
    <t xml:space="preserve"> is 33.643 </t>
  </si>
  <si>
    <t xml:space="preserve"> is 30.936 </t>
  </si>
  <si>
    <t xml:space="preserve">Mix 90th percentile latency is 15.751 </t>
  </si>
  <si>
    <t xml:space="preserve">Mix 90th percentile latency is 16.715 </t>
  </si>
  <si>
    <t xml:space="preserve">Mix 95th percentile latency is 18.64 </t>
  </si>
  <si>
    <t xml:space="preserve">Mix 95th percentile latency is 19.226 </t>
  </si>
  <si>
    <t xml:space="preserve">Mix 99th percentile latency is 24.519 </t>
  </si>
  <si>
    <t xml:space="preserve">Mix 99th percentile latency is 29.727 </t>
  </si>
  <si>
    <t>thread_id0 send_num_ 22 sum write latency: 74 avg latency : 3.36364</t>
  </si>
  <si>
    <t>thread_id0 send_num_ 20 sum write latency: 63 avg latency : 3.15</t>
  </si>
  <si>
    <t xml:space="preserve"> : 3.38462</t>
  </si>
  <si>
    <t xml:space="preserve"> : 10.0667</t>
  </si>
  <si>
    <t xml:space="preserve"> : 7.73684</t>
  </si>
  <si>
    <t>thread_id0 send_num_ 10 sum write latency: 98 avg latency : 9.8</t>
  </si>
  <si>
    <t>thread_id0 send_num_ 11 sum write latency: 109 avg latency : 9.90909</t>
  </si>
  <si>
    <t xml:space="preserve"> : 8.2</t>
  </si>
  <si>
    <t xml:space="preserve"> : 3.47586</t>
  </si>
  <si>
    <t>thread_id0read_num_ 378 sum read latency: 3629 avg latency : 9.60053</t>
  </si>
  <si>
    <t>thread_id0read_num_ 380 sum read latency: 3918 avg latency : 10.3105</t>
  </si>
  <si>
    <t xml:space="preserve"> : 10.8881</t>
  </si>
  <si>
    <t xml:space="preserve"> : 9.90592</t>
  </si>
  <si>
    <t xml:space="preserve"> : 14.8737</t>
  </si>
  <si>
    <t xml:space="preserve"> : 14.363</t>
  </si>
  <si>
    <t>thread_id0read_num_ 190 sum read latency: 1655 avg latency : 8.71053</t>
  </si>
  <si>
    <t>thread_id0read_num_ 189 sum read latency: 1812 avg latency : 9.5873</t>
  </si>
  <si>
    <t xml:space="preserve"> : 10.8951</t>
  </si>
  <si>
    <t xml:space="preserve"> : 10.6561</t>
  </si>
  <si>
    <t xml:space="preserve"> : 10.3355</t>
  </si>
  <si>
    <t>OPTKV 50W-50READ</t>
  </si>
  <si>
    <t>Throughput: 2.12502 mops</t>
  </si>
  <si>
    <t>Throughput: 0.720661 mops</t>
  </si>
  <si>
    <t xml:space="preserve">Send 60000 168952 </t>
  </si>
  <si>
    <t xml:space="preserve">Send 60000 54337 </t>
  </si>
  <si>
    <t>Throughput: 506.663 mbps</t>
  </si>
  <si>
    <t>Throughput: 1575.39 mbps</t>
  </si>
  <si>
    <t>Send 60000 64181  collision 0</t>
  </si>
  <si>
    <t>Send 60000 73015 us collision 0</t>
  </si>
  <si>
    <t>Throughput: 0.338679 mops</t>
  </si>
  <si>
    <t>Throughput: 1.05307 mops</t>
  </si>
  <si>
    <t>Throughput: 1333.76 mbps</t>
  </si>
  <si>
    <t>Throughput: 1172.39 mbps</t>
  </si>
  <si>
    <t>Throughput: 0.891548 mops</t>
  </si>
  <si>
    <t>Throughput: 0.783681 mops</t>
  </si>
  <si>
    <t xml:space="preserve">write 90th percentile latency is 6.762 </t>
  </si>
  <si>
    <t xml:space="preserve">write 90th percentile latency is 25.122 </t>
  </si>
  <si>
    <t xml:space="preserve">write 90th percentile latency is 122.092 </t>
  </si>
  <si>
    <t xml:space="preserve">write 90th percentile latency is 53.919us </t>
  </si>
  <si>
    <t xml:space="preserve">write 95th percentile latency is 6.89 </t>
  </si>
  <si>
    <t xml:space="preserve">write 95th percentile latency is 47.108 </t>
  </si>
  <si>
    <t xml:space="preserve">write 95th percentile latency is 127.798 </t>
  </si>
  <si>
    <t xml:space="preserve">write 95th percentile latency is 59.362us </t>
  </si>
  <si>
    <t xml:space="preserve">write 99th percentile latency is 7.657 </t>
  </si>
  <si>
    <t xml:space="preserve">write 99th percentile latency is 60.465 </t>
  </si>
  <si>
    <t xml:space="preserve">write 99th percentile latency is 160.117 </t>
  </si>
  <si>
    <t xml:space="preserve">write 99th percentile latency is 74.867us </t>
  </si>
  <si>
    <t xml:space="preserve">Read 90th percentile latency is 8.516 </t>
  </si>
  <si>
    <t xml:space="preserve">Read 90th percentile latency is 47.246 </t>
  </si>
  <si>
    <t xml:space="preserve">Read 90th percentile latency is 92.252 </t>
  </si>
  <si>
    <t xml:space="preserve">Read 90th percentile latency is 27.179us </t>
  </si>
  <si>
    <t xml:space="preserve">Read 95th percentile latency is 8.837 </t>
  </si>
  <si>
    <t xml:space="preserve">Read 95th percentile latency is 59.443 </t>
  </si>
  <si>
    <t xml:space="preserve">Read 95th percentile latency is 107.979 </t>
  </si>
  <si>
    <t xml:space="preserve">Read 95th percentile latency is 32.512us </t>
  </si>
  <si>
    <t xml:space="preserve">Read 99th percentile latency is 17.888 </t>
  </si>
  <si>
    <t xml:space="preserve">Read 99th percentile latency is 88.973 </t>
  </si>
  <si>
    <t xml:space="preserve">Read 99th percentile latency is 129.793 </t>
  </si>
  <si>
    <t xml:space="preserve">Read 99th percentile latency is 46.185us </t>
  </si>
  <si>
    <t xml:space="preserve">Mix 90th percentile latency is 8.041 </t>
  </si>
  <si>
    <t xml:space="preserve">Mix 90th percentile latency is 40.197 </t>
  </si>
  <si>
    <t xml:space="preserve">Mix 90th percentile latency is 115.334 </t>
  </si>
  <si>
    <t xml:space="preserve">Mix 90th percentile latency is 45.177us </t>
  </si>
  <si>
    <t xml:space="preserve">Mix 95th percentile latency is 8.563 </t>
  </si>
  <si>
    <t xml:space="preserve">Mix 95th percentile latency is 56.497 </t>
  </si>
  <si>
    <t>Send 60000 51734 us collision 0</t>
  </si>
  <si>
    <t>Send 60000 43014 us collision 0</t>
  </si>
  <si>
    <t>Send 60000 35742  collision 0</t>
  </si>
  <si>
    <t>Send 60000 33086  collision 0</t>
  </si>
  <si>
    <t>Send 60000 29245  collision 0</t>
  </si>
  <si>
    <t>Send 60000 29200  collision 0</t>
  </si>
  <si>
    <t>Send 60000 28525  collision 0</t>
  </si>
  <si>
    <t>Send 60000 25796  collision 0</t>
  </si>
  <si>
    <t xml:space="preserve">Mix 95th percentile latency is 124.544 </t>
  </si>
  <si>
    <t xml:space="preserve">Mix 95th percentile latency is 55.296us </t>
  </si>
  <si>
    <t xml:space="preserve">Mix 99th percentile latency is 12.573 </t>
  </si>
  <si>
    <t xml:space="preserve">Mix 99th percentile latency is 64.819 </t>
  </si>
  <si>
    <t>Throughput: 1654.65 mbps</t>
  </si>
  <si>
    <t>Throughput: 1990.09 mbps</t>
  </si>
  <si>
    <t>Send 60000 50503  collision 0</t>
  </si>
  <si>
    <t>Throughput: 2394.99 mbps</t>
  </si>
  <si>
    <t>Throughput: 2587.25 mbps</t>
  </si>
  <si>
    <t>Throughput: 2927.06 mbps</t>
  </si>
  <si>
    <t>Throughput: 2931.57 mbps</t>
  </si>
  <si>
    <t>Throughput: 3000.94 mbps</t>
  </si>
  <si>
    <t>Throughput: 3318.41 mbps</t>
  </si>
  <si>
    <t xml:space="preserve">Mix 99th percentile latency is 138.01 </t>
  </si>
  <si>
    <t xml:space="preserve">Mix 99th percentile latency is 74.867us </t>
  </si>
  <si>
    <t>thread_id0 send_num_ 147 sum write latency: 807 avg latency : 5.4898</t>
  </si>
  <si>
    <t>thread_id0 send_num_ 147 sum write latency: 2055 avg latency : 13.9796</t>
  </si>
  <si>
    <t>Throughput: 1.10605 mops</t>
  </si>
  <si>
    <t>Throughput: 1.33028 mops</t>
  </si>
  <si>
    <t>Throughput: 1694.98 mbps</t>
  </si>
  <si>
    <t>Throughput: 1.60093 mops</t>
  </si>
  <si>
    <t>Throughput: 1.72945 mops</t>
  </si>
  <si>
    <t>Throughput: 1.95659 mops</t>
  </si>
  <si>
    <t>Throughput: 1.9596 mops</t>
  </si>
  <si>
    <t>Throughput: 2.00598 mops</t>
  </si>
  <si>
    <t>Throughput: 2.21819 mops</t>
  </si>
  <si>
    <t>thread_id0 send_num_ 150 sum write latency: 10741 avg latency : 71.6067</t>
  </si>
  <si>
    <t>thread_id0 send_num_ 155 sum write latency: 4326 avg latency : 27.9097us</t>
  </si>
  <si>
    <t>thread_id0read_num_ 153 sum read latency: 1151 avg latency : 7.52288</t>
  </si>
  <si>
    <t>thread_id0read_num_ 153 sum read latency: 3734 avg latency : 24.4052</t>
  </si>
  <si>
    <t xml:space="preserve">write 90th percentile latency is 3.997us </t>
  </si>
  <si>
    <t xml:space="preserve">write 90th percentile latency is 3.947us </t>
  </si>
  <si>
    <t>Throughput: 1.13301 mops</t>
  </si>
  <si>
    <t xml:space="preserve">write 90th percentile latency is 3.868 </t>
  </si>
  <si>
    <t xml:space="preserve">write 90th percentile latency is 4.299 </t>
  </si>
  <si>
    <t xml:space="preserve">write 90th percentile latency is 4.754 </t>
  </si>
  <si>
    <t xml:space="preserve">write 90th percentile latency is 4.89 </t>
  </si>
  <si>
    <t xml:space="preserve">write 90th percentile latency is 4.709 </t>
  </si>
  <si>
    <t xml:space="preserve">write 90th percentile latency is 14.17 </t>
  </si>
  <si>
    <t>thread_id0read_num_ 150 sum read latency: 5303 avg latency : 35.3533</t>
  </si>
  <si>
    <t>thread_id0read_num_ 145 sum read latency: 1798 avg latency : 12.4us</t>
  </si>
  <si>
    <t xml:space="preserve">write 95th percentile latency is 4.174us </t>
  </si>
  <si>
    <t xml:space="preserve">write 95th percentile latency is 4.108us </t>
  </si>
  <si>
    <t xml:space="preserve">write 90th percentile latency is 3.571 </t>
  </si>
  <si>
    <t xml:space="preserve">write 95th percentile latency is 4.047 </t>
  </si>
  <si>
    <t xml:space="preserve">write 95th percentile latency is 4.795 </t>
  </si>
  <si>
    <t xml:space="preserve">write 95th percentile latency is 4.941 </t>
  </si>
  <si>
    <t xml:space="preserve">write 95th percentile latency is 5.026 </t>
  </si>
  <si>
    <t xml:space="preserve">write 95th percentile latency is 4.81 </t>
  </si>
  <si>
    <t xml:space="preserve">write 95th percentile latency is 19.982 </t>
  </si>
  <si>
    <t>thread_id0 sum Mix latency: 6124 avg Mix latency : 20.4133us</t>
  </si>
  <si>
    <t xml:space="preserve">write 99th percentile latency is 8.228us </t>
  </si>
  <si>
    <t xml:space="preserve">write 99th percentile latency is 4.893us </t>
  </si>
  <si>
    <t xml:space="preserve">write 95th percentile latency is 3.792 </t>
  </si>
  <si>
    <t xml:space="preserve">write 99th percentile latency is 4.29 </t>
  </si>
  <si>
    <t xml:space="preserve">write 99th percentile latency is 5.123 </t>
  </si>
  <si>
    <t xml:space="preserve">write 99th percentile latency is 6.138 </t>
  </si>
  <si>
    <t xml:space="preserve">write 99th percentile latency is 6.581 </t>
  </si>
  <si>
    <t xml:space="preserve">write 99th percentile latency is 5.703 </t>
  </si>
  <si>
    <t xml:space="preserve">write 99th percentile latency is 28.144 </t>
  </si>
  <si>
    <t xml:space="preserve">Read 90th percentile latency is 11.647us </t>
  </si>
  <si>
    <t xml:space="preserve">Read 90th percentile latency is 10.463us </t>
  </si>
  <si>
    <t xml:space="preserve">write 99th percentile latency is 6.924 </t>
  </si>
  <si>
    <t xml:space="preserve">Read 90th percentile latency is 13.459 </t>
  </si>
  <si>
    <t xml:space="preserve">Read 90th percentile latency is 18.777 </t>
  </si>
  <si>
    <t xml:space="preserve">Read 90th percentile latency is 17.658 </t>
  </si>
  <si>
    <t xml:space="preserve">Read 90th percentile latency is 16.816 </t>
  </si>
  <si>
    <t xml:space="preserve">Read 90th percentile latency is 19.225 </t>
  </si>
  <si>
    <t xml:space="preserve">Read 90th percentile latency is 78.36 </t>
  </si>
  <si>
    <t xml:space="preserve">Read 95th percentile latency is 12.502us </t>
  </si>
  <si>
    <t xml:space="preserve">Read 95th percentile latency is 12.168us </t>
  </si>
  <si>
    <t xml:space="preserve">Read 95th percentile latency is 18.728 </t>
  </si>
  <si>
    <t xml:space="preserve">Read 95th percentile latency is 16.963 </t>
  </si>
  <si>
    <t xml:space="preserve">Read 95th percentile latency is 20.281 </t>
  </si>
  <si>
    <t xml:space="preserve">Read 95th percentile latency is 21.403 </t>
  </si>
  <si>
    <t xml:space="preserve">Read 95th percentile latency is 23.208 </t>
  </si>
  <si>
    <t xml:space="preserve">Read 95th percentile latency is 29.221 </t>
  </si>
  <si>
    <t xml:space="preserve">Read 95th percentile latency is 101.741 </t>
  </si>
  <si>
    <t xml:space="preserve">Read 99th percentile latency is 32.026us </t>
  </si>
  <si>
    <t xml:space="preserve">Read 99th percentile latency is 26.529us </t>
  </si>
  <si>
    <t xml:space="preserve">Read 99th percentile latency is 36.174 </t>
  </si>
  <si>
    <t xml:space="preserve">Read 99th percentile latency is 28.648 </t>
  </si>
  <si>
    <t xml:space="preserve">Read 99th percentile latency is 31.193 </t>
  </si>
  <si>
    <t xml:space="preserve">Read 99th percentile latency is 42.3 </t>
  </si>
  <si>
    <t xml:space="preserve">Read 99th percentile latency is 39.239 </t>
  </si>
  <si>
    <t xml:space="preserve">Read 99th percentile latency is 50.716 </t>
  </si>
  <si>
    <t xml:space="preserve">Read 99th percentile latency is 125.876 </t>
  </si>
  <si>
    <t xml:space="preserve">Mix 90th percentile latency is 10.055us </t>
  </si>
  <si>
    <t xml:space="preserve">Mix 90th percentile latency is 9.161us </t>
  </si>
  <si>
    <t xml:space="preserve">Mix 90th percentile latency is 10.439 </t>
  </si>
  <si>
    <t xml:space="preserve">Mix 90th percentile latency is 11.022 </t>
  </si>
  <si>
    <t xml:space="preserve">Mix 90th percentile latency is 14.268 </t>
  </si>
  <si>
    <t xml:space="preserve">Mix 90th percentile latency is 13.613 </t>
  </si>
  <si>
    <t xml:space="preserve">Mix 90th percentile latency is 12.511 </t>
  </si>
  <si>
    <t xml:space="preserve">Mix 90th percentile latency is 15.2 </t>
  </si>
  <si>
    <t xml:space="preserve">Mix 90th percentile latency is 53.267 </t>
  </si>
  <si>
    <t xml:space="preserve">Mix 95th percentile latency is 11.985us </t>
  </si>
  <si>
    <t xml:space="preserve">Mix 95th percentile latency is 10.878us </t>
  </si>
  <si>
    <t xml:space="preserve">Mix 95th percentile latency is 12.822 </t>
  </si>
  <si>
    <t xml:space="preserve">Mix 95th percentile latency is 13.521 </t>
  </si>
  <si>
    <t xml:space="preserve">Mix 95th percentile latency is 18.841 </t>
  </si>
  <si>
    <t xml:space="preserve">Mix 95th percentile latency is 18.148 </t>
  </si>
  <si>
    <t xml:space="preserve">Mix 95th percentile latency is 16.875 </t>
  </si>
  <si>
    <t xml:space="preserve">Mix 95th percentile latency is 19.301 </t>
  </si>
  <si>
    <t xml:space="preserve">Mix 95th percentile latency is 78.36 </t>
  </si>
  <si>
    <t xml:space="preserve">Send 60000 55309 </t>
  </si>
  <si>
    <t xml:space="preserve">Send 60000 52177 </t>
  </si>
  <si>
    <t xml:space="preserve">Mix 99th percentile latency is 23.021us </t>
  </si>
  <si>
    <t xml:space="preserve">Mix 99th percentile latency is 24.091us </t>
  </si>
  <si>
    <t xml:space="preserve">Mix 99th percentile latency is 31.158 </t>
  </si>
  <si>
    <t xml:space="preserve">Mix 99th percentile latency is 26.402 </t>
  </si>
  <si>
    <t xml:space="preserve">Mix 99th percentile latency is 27.554 </t>
  </si>
  <si>
    <t xml:space="preserve">Mix 99th percentile latency is 41.474 </t>
  </si>
  <si>
    <t xml:space="preserve">Mix 99th percentile latency is 37.693 </t>
  </si>
  <si>
    <t xml:space="preserve">Mix 99th percentile latency is 47.459 </t>
  </si>
  <si>
    <t xml:space="preserve">Mix 99th percentile latency is 119.417 </t>
  </si>
  <si>
    <t>Send 60000 74646 us collision 0</t>
  </si>
  <si>
    <t>Throughput: 1547.7 mbps</t>
  </si>
  <si>
    <t>Throughput: 1640.6 mbps</t>
  </si>
  <si>
    <t>thread_id0 send_num_ 155 sum write latency: 506 avg latency : 3.26452us</t>
  </si>
  <si>
    <t>thread_id0 send_num_ 155 sum write latency: 493 avg latency : 3.18065us</t>
  </si>
  <si>
    <t>thread_id0 send_num_ 155 sum write latency: 473 avg latency : 3.05161</t>
  </si>
  <si>
    <t>thread_id0 send_num_ 155 sum write latency: 453 avg latency : 2.92258</t>
  </si>
  <si>
    <t>thread_id0 send_num_ 155 sum write latency: 511 avg latency : 3.29677</t>
  </si>
  <si>
    <t>thread_id0 send_num_ 155 sum write latency: 543 avg latency : 3.50323</t>
  </si>
  <si>
    <t>thread_id0 send_num_ 155 sum write latency: 544 avg latency : 3.50968</t>
  </si>
  <si>
    <t>thread_id0 send_num_ 155 sum write latency: 540 avg latency : 3.48387</t>
  </si>
  <si>
    <t>thread_id0 send_num_ 155 sum write latency: 1166 avg latency : 7.52258</t>
  </si>
  <si>
    <t>Send 60000 62478  collision 0</t>
  </si>
  <si>
    <t>Throughput: 1146.77 mbps</t>
  </si>
  <si>
    <t>Throughput: 1.03456 mops</t>
  </si>
  <si>
    <t>Throughput: 1.09666 mops</t>
  </si>
  <si>
    <t>thread_id0read_num_ 145 sum read latency: 1235 avg latency : 8.51724us</t>
  </si>
  <si>
    <t>thread_id0read_num_ 145 sum read latency: 1169 avg latency : 8.06207us</t>
  </si>
  <si>
    <t>thread_id0read_num_ 145 sum read latency: 1297 avg latency : 8.94483</t>
  </si>
  <si>
    <t>thread_id0read_num_ 145 sum read latency: 1232 avg latency : 8.49655</t>
  </si>
  <si>
    <t>thread_id0read_num_ 145 sum read latency: 1497 avg latency : 10.3241</t>
  </si>
  <si>
    <t>thread_id0read_num_ 145 sum read latency: 1533 avg latency : 10.5724</t>
  </si>
  <si>
    <t>thread_id0read_num_ 145 sum read latency: 1498 avg latency : 10.331</t>
  </si>
  <si>
    <t>thread_id0read_num_ 145 sum read latency: 1689 avg latency : 11.6483</t>
  </si>
  <si>
    <t>thread_id0read_num_ 145 sum read latency: 5120 avg latency : 35.3103</t>
  </si>
  <si>
    <t>Throughput: 1370.11 mbps</t>
  </si>
  <si>
    <t>Throughput: 0.766558 mops</t>
  </si>
  <si>
    <t>thread_id0 sum Mix latency: 1741 avg Mix latency : 5.80333us</t>
  </si>
  <si>
    <t>thread_id0 sum Mix latency: 1662 avg Mix latency : 5.54us</t>
  </si>
  <si>
    <t>Throughput: 0.91585 mops</t>
  </si>
  <si>
    <t xml:space="preserve">write 90th percentile latency is 53.745us </t>
  </si>
  <si>
    <t xml:space="preserve">write 90th percentile latency is 38.358 </t>
  </si>
  <si>
    <t xml:space="preserve">write 90th percentile latency is 33.589 </t>
  </si>
  <si>
    <t xml:space="preserve">write 90th percentile latency is 145.336 </t>
  </si>
  <si>
    <t xml:space="preserve">write 95th percentile latency is 59.421us </t>
  </si>
  <si>
    <t xml:space="preserve">write 95th percentile latency is 46.605 </t>
  </si>
  <si>
    <t xml:space="preserve">write 95th percentile latency is 46.504 </t>
  </si>
  <si>
    <t xml:space="preserve">write 95th percentile latency is 154.991 </t>
  </si>
  <si>
    <t xml:space="preserve">write 99th percentile latency is 71.193us </t>
  </si>
  <si>
    <t xml:space="preserve">write 99th percentile latency is 72.174 </t>
  </si>
  <si>
    <t xml:space="preserve">write 99th percentile latency is 84.913 </t>
  </si>
  <si>
    <t xml:space="preserve">write 99th percentile latency is 171.68 </t>
  </si>
  <si>
    <t xml:space="preserve">Read 90th percentile latency is 32.272us </t>
  </si>
  <si>
    <t xml:space="preserve">Read 90th percentile latency is 53.596 </t>
  </si>
  <si>
    <t xml:space="preserve">Read 90th percentile latency is 66.733 </t>
  </si>
  <si>
    <t xml:space="preserve">Read 90th percentile latency is 122.339 </t>
  </si>
  <si>
    <t xml:space="preserve">Read 95th percentile latency is 36.852us </t>
  </si>
  <si>
    <t xml:space="preserve">Read 95th percentile latency is 70.769 </t>
  </si>
  <si>
    <t xml:space="preserve">Read 95th percentile latency is 74.478 </t>
  </si>
  <si>
    <t xml:space="preserve">Read 95th percentile latency is 132.949 </t>
  </si>
  <si>
    <t xml:space="preserve">Read 99th percentile latency is 48.755us </t>
  </si>
  <si>
    <t xml:space="preserve">Read 99th percentile latency is 111.684 </t>
  </si>
  <si>
    <t xml:space="preserve">Read 99th percentile latency is 131.066 </t>
  </si>
  <si>
    <t xml:space="preserve">Read 99th percentile latency is 154.064 </t>
  </si>
  <si>
    <t xml:space="preserve">Mix 90th percentile latency is 49.785us </t>
  </si>
  <si>
    <t xml:space="preserve">Mix 90th percentile latency is 48.752 </t>
  </si>
  <si>
    <t xml:space="preserve">Mix 90th percentile latency is 55.424 </t>
  </si>
  <si>
    <t xml:space="preserve">Mix 90th percentile latency is 137.318 </t>
  </si>
  <si>
    <t xml:space="preserve">Mix 95th percentile latency is 54.325us </t>
  </si>
  <si>
    <t xml:space="preserve">Mix 95th percentile latency is 64.957 </t>
  </si>
  <si>
    <t xml:space="preserve">Mix 95th percentile latency is 70.635 </t>
  </si>
  <si>
    <t xml:space="preserve">Mix 95th percentile latency is 147.037 </t>
  </si>
  <si>
    <t xml:space="preserve">Mix 99th percentile latency is 63.215us </t>
  </si>
  <si>
    <t xml:space="preserve">Mix 99th percentile latency is 93.423 </t>
  </si>
  <si>
    <t xml:space="preserve">Mix 99th percentile latency is 97.384 </t>
  </si>
  <si>
    <t xml:space="preserve">Mix 99th percentile latency is 165.713 </t>
  </si>
  <si>
    <t>thread_id0 send_num_ 155 sum write latency: 4429 avg latency : 28.5742us</t>
  </si>
  <si>
    <t>thread_id0 send_num_ 147 sum write latency: 2385 avg latency : 16.2245</t>
  </si>
  <si>
    <t>thread_id0 send_num_ 147 sum write latency: 2306 avg latency : 15.6871</t>
  </si>
  <si>
    <t>thread_id0 send_num_ 150 sum write latency: 13032 avg latency : 86.88</t>
  </si>
  <si>
    <t>thread_id0read_num_ 145 sum read latency: 2069 avg latency : 14.269us</t>
  </si>
  <si>
    <t>thread_id0read_num_ 153 sum read latency: 4587 avg latency : 29.9804</t>
  </si>
  <si>
    <t>thread_id0read_num_ 153 sum read latency: 4960 avg latency : 32.4183</t>
  </si>
  <si>
    <t>thread_id0read_num_ 150 sum read latency: 6130 avg latency : 40.8667</t>
  </si>
  <si>
    <t>thread_id0 sum Mix latency: 6498 avg Mix latency : 21.66us</t>
  </si>
  <si>
    <t xml:space="preserve">Send 60000 64530 </t>
  </si>
  <si>
    <t xml:space="preserve">Send 60000 58290 </t>
  </si>
  <si>
    <t>Throughput: 1326.54 mbps</t>
  </si>
  <si>
    <t>Throughput: 1468.55 mbps</t>
  </si>
  <si>
    <t>Send 60000 69235  collision 0</t>
  </si>
  <si>
    <t>Throughput: 0.886726 mops</t>
  </si>
  <si>
    <t>Throughput: 0.981651 mops</t>
  </si>
  <si>
    <t>Throughput: 1236.39 mbps</t>
  </si>
  <si>
    <t>Throughput: 0.826467 mops</t>
  </si>
  <si>
    <t xml:space="preserve">write 90th percentile latency is 10.584 </t>
  </si>
  <si>
    <t xml:space="preserve">write 90th percentile latency is 10.081 </t>
  </si>
  <si>
    <t xml:space="preserve">write 90th percentile latency is 69.996 </t>
  </si>
  <si>
    <t xml:space="preserve">write 95th percentile latency is 12.236 </t>
  </si>
  <si>
    <t xml:space="preserve">write 95th percentile latency is 10.975 </t>
  </si>
  <si>
    <t xml:space="preserve">write 95th percentile latency is 79.508 </t>
  </si>
  <si>
    <t xml:space="preserve">write 99th percentile latency is 19.146 </t>
  </si>
  <si>
    <t xml:space="preserve">write 99th percentile latency is 11.905 </t>
  </si>
  <si>
    <t xml:space="preserve">write 99th percentile latency is 100.921 </t>
  </si>
  <si>
    <t xml:space="preserve">Read 90th percentile latency is 15.472 </t>
  </si>
  <si>
    <t xml:space="preserve">Read 90th percentile latency is 12.509 </t>
  </si>
  <si>
    <t xml:space="preserve">Read 90th percentile latency is 73.262 </t>
  </si>
  <si>
    <t xml:space="preserve">Read 95th percentile latency is 19.753 </t>
  </si>
  <si>
    <t xml:space="preserve">Read 95th percentile latency is 17.449 </t>
  </si>
  <si>
    <t xml:space="preserve">Read 95th percentile latency is 90.485 </t>
  </si>
  <si>
    <t xml:space="preserve">Read 99th percentile latency is 70.55 </t>
  </si>
  <si>
    <t xml:space="preserve">Read 99th percentile latency is 28.886 </t>
  </si>
  <si>
    <t xml:space="preserve">Read 99th percentile latency is 153.182 </t>
  </si>
  <si>
    <t xml:space="preserve">Mix 90th percentile latency is 14.513 </t>
  </si>
  <si>
    <t xml:space="preserve">Mix 90th percentile latency is 11.294 </t>
  </si>
  <si>
    <t xml:space="preserve">Mix 90th percentile latency is 71.495 </t>
  </si>
  <si>
    <t xml:space="preserve">Mix 95th percentile latency is 16.01 </t>
  </si>
  <si>
    <t xml:space="preserve">Mix 95th percentile latency is 12.623 </t>
  </si>
  <si>
    <t xml:space="preserve">Mix 95th percentile latency is 82.639 </t>
  </si>
  <si>
    <t xml:space="preserve">Mix 99th percentile latency is 29.012 </t>
  </si>
  <si>
    <t xml:space="preserve">Mix 99th percentile latency is 27.47 </t>
  </si>
  <si>
    <t xml:space="preserve">Mix 99th percentile latency is 109.204 </t>
  </si>
  <si>
    <t>thread_id0 send_num_ 147 sum write latency: 1170 avg latency : 7.95918</t>
  </si>
  <si>
    <t>thread_id0 send_num_ 147 sum write latency: 1110 avg latency : 7.55102</t>
  </si>
  <si>
    <t>thread_id0 send_num_ 150 sum write latency: 5300 avg latency : 35.3333</t>
  </si>
  <si>
    <t>thread_id0read_num_ 153 sum read latency: 1816 avg latency : 11.8693</t>
  </si>
  <si>
    <t>thread_id0read_num_ 153 sum read latency: 1506 avg latency : 9.84314</t>
  </si>
  <si>
    <t>thread_id0read_num_ 150 sum read latency: 3687 avg latency : 24.58</t>
  </si>
  <si>
    <t>Send 60000 56101 us</t>
  </si>
  <si>
    <t xml:space="preserve">Send 60000 86680 </t>
  </si>
  <si>
    <t>Throughput: 1525.85 mbps</t>
  </si>
  <si>
    <t>Throughput: 987.561 mbps</t>
  </si>
  <si>
    <t>Send 60000 69353  collision 0</t>
  </si>
  <si>
    <t>Throughput: 1.01995 mops</t>
  </si>
  <si>
    <t>Throughput: 0.660135 mops</t>
  </si>
  <si>
    <t>Throughput: 1234.29 mbps</t>
  </si>
  <si>
    <t>Throughput: 0.825061 mops</t>
  </si>
  <si>
    <t xml:space="preserve">write 90th percentile latency is 40.863us </t>
  </si>
  <si>
    <t xml:space="preserve">write 90th percentile latency is 8.093 </t>
  </si>
  <si>
    <t xml:space="preserve">write 90th percentile latency is 74.83 </t>
  </si>
  <si>
    <t xml:space="preserve">write 95th percentile latency is 48.331us </t>
  </si>
  <si>
    <t xml:space="preserve">write 95th percentile latency is 8.513 </t>
  </si>
  <si>
    <t xml:space="preserve">write 95th percentile latency is 87.038 </t>
  </si>
  <si>
    <t xml:space="preserve">write 99th percentile latency is 57.433us </t>
  </si>
  <si>
    <t xml:space="preserve">write 99th percentile latency is 9.833 </t>
  </si>
  <si>
    <t xml:space="preserve">write 99th percentile latency is 94.925 </t>
  </si>
  <si>
    <t xml:space="preserve">Read 90th percentile latency is 50.254us </t>
  </si>
  <si>
    <t xml:space="preserve">Read 90th percentile latency is 10.322 </t>
  </si>
  <si>
    <t xml:space="preserve">Read 90th percentile latency is 40.722 </t>
  </si>
  <si>
    <t xml:space="preserve">Read 95th percentile latency is 53.066us </t>
  </si>
  <si>
    <t xml:space="preserve">Read 95th percentile latency is 11.287 </t>
  </si>
  <si>
    <t xml:space="preserve">Read 95th percentile latency is 63.769 </t>
  </si>
  <si>
    <t xml:space="preserve">Read 99th percentile latency is 68.079us </t>
  </si>
  <si>
    <t xml:space="preserve">Read 99th percentile latency is 16.554 </t>
  </si>
  <si>
    <t xml:space="preserve">Read 99th percentile latency is 77.695 </t>
  </si>
  <si>
    <t xml:space="preserve">Mix 90th percentile latency is 44.566us </t>
  </si>
  <si>
    <t xml:space="preserve">Mix 90th percentile latency is 9.358 </t>
  </si>
  <si>
    <t xml:space="preserve">Mix 90th percentile latency is 66.658 </t>
  </si>
  <si>
    <t xml:space="preserve">Mix 95th percentile latency is 52.319us </t>
  </si>
  <si>
    <t xml:space="preserve">Mix 95th percentile latency is 10.387 </t>
  </si>
  <si>
    <t xml:space="preserve">Mix 95th percentile latency is 75.863 </t>
  </si>
  <si>
    <t xml:space="preserve">Mix 99th percentile latency is 67.994us </t>
  </si>
  <si>
    <t xml:space="preserve">Mix 99th percentile latency is 12.846 </t>
  </si>
  <si>
    <t xml:space="preserve">Mix 99th percentile latency is 94.716 </t>
  </si>
  <si>
    <t>thread_id0 send_num_ 146 sum write latency: 2254 avg latency : 15.4384us</t>
  </si>
  <si>
    <t>thread_id0 send_num_ 147 sum write latency: 910 avg latency : 6.19048</t>
  </si>
  <si>
    <t>thread_id0 send_num_ 150 sum write latency: 6695 avg latency : 44.6333</t>
  </si>
  <si>
    <t>thread_id0read_num_ 154 sum read latency: 3598 avg latency : 23.3636us</t>
  </si>
  <si>
    <t>thread_id0read_num_ 153 sum read latency: 1258 avg latency : 8.22222</t>
  </si>
  <si>
    <t>thread_id0read_num_ 150 sum read latency: 2836 avg latency : 18.9067</t>
  </si>
  <si>
    <t>thread_id0 sum Mix latency: 5852 avg Mix latency : 19.5067us</t>
  </si>
  <si>
    <t xml:space="preserve">Send 60000 104152 </t>
  </si>
  <si>
    <t>Throughput: 821.893 mbps</t>
  </si>
  <si>
    <t>Send 60000 77590  collision 0</t>
  </si>
  <si>
    <t>Throughput: 0.549394 mops</t>
  </si>
  <si>
    <t>Throughput: 1103.26 mbps</t>
  </si>
  <si>
    <t>Throughput: 0.737472 mops</t>
  </si>
  <si>
    <t xml:space="preserve">write 90th percentile latency is 7.115 </t>
  </si>
  <si>
    <t xml:space="preserve">write 90th percentile latency is 30.338 </t>
  </si>
  <si>
    <t xml:space="preserve">write 95th percentile latency is 7.484 </t>
  </si>
  <si>
    <t xml:space="preserve">write 95th percentile latency is 31.658 </t>
  </si>
  <si>
    <t xml:space="preserve">write 99th percentile latency is 9.245 </t>
  </si>
  <si>
    <t xml:space="preserve">write 99th percentile latency is 35.282 </t>
  </si>
  <si>
    <t xml:space="preserve">Read 90th percentile latency is 9.394 </t>
  </si>
  <si>
    <t xml:space="preserve">Read 90th percentile latency is 10.461 </t>
  </si>
  <si>
    <t xml:space="preserve">Read 95th percentile latency is 9.91 </t>
  </si>
  <si>
    <t xml:space="preserve">Read 95th percentile latency is 12.29 </t>
  </si>
  <si>
    <t xml:space="preserve">Read 99th percentile latency is 16.669 </t>
  </si>
  <si>
    <t xml:space="preserve">Read 99th percentile latency is 15.273 </t>
  </si>
  <si>
    <t xml:space="preserve">Mix 90th percentile latency is 8.775 </t>
  </si>
  <si>
    <t xml:space="preserve">Mix 90th percentile latency is 28.003 </t>
  </si>
  <si>
    <t xml:space="preserve">Mix 95th percentile latency is 9.507 </t>
  </si>
  <si>
    <t xml:space="preserve">Mix 95th percentile latency is 30.338 </t>
  </si>
  <si>
    <t xml:space="preserve">Mix 99th percentile latency is 14.759 </t>
  </si>
  <si>
    <t xml:space="preserve">Mix 99th percentile latency is 33.678 </t>
  </si>
  <si>
    <t>thread_id0 send_num_ 147 sum write latency: 852 avg latency : 5.79592</t>
  </si>
  <si>
    <t>thread_id0 send_num_ 150 sum write latency: 2732 avg latency : 18.2133</t>
  </si>
  <si>
    <t>thread_id0read_num_ 153 sum read latency: 1221 avg latency : 7.98039</t>
  </si>
  <si>
    <t>thread_id0read_num_ 150 sum read latency: 1117 avg latency : 7.44667</t>
  </si>
  <si>
    <t>Send 60000 90796  collision 0</t>
  </si>
  <si>
    <t>Throughput: 942.793 mbps</t>
  </si>
  <si>
    <t>Throughput: 0.630209 mops</t>
  </si>
  <si>
    <t xml:space="preserve">write 90th percentile latency is 21.314 </t>
  </si>
  <si>
    <t xml:space="preserve">write 95th percentile latency is 22.356 </t>
  </si>
  <si>
    <t xml:space="preserve">write 99th percentile latency is 25.377 </t>
  </si>
  <si>
    <t xml:space="preserve">Read 90th percentile latency is 9.732 </t>
  </si>
  <si>
    <t xml:space="preserve">Read 95th percentile latency is 10.616 </t>
  </si>
  <si>
    <t xml:space="preserve">Read 99th percentile latency is 12.445 </t>
  </si>
  <si>
    <t xml:space="preserve">Mix 90th percentile latency is 19.932 </t>
  </si>
  <si>
    <t xml:space="preserve">Mix 95th percentile latency is 21.314 </t>
  </si>
  <si>
    <t xml:space="preserve">Mix 99th percentile latency is 25.078 </t>
  </si>
  <si>
    <t>thread_id0 send_num_ 150 sum write latency: 2406 avg latency : 16.04</t>
  </si>
  <si>
    <t>thread_id0read_num_ 150 sum read latency: 1141 avg latency : 7.60667</t>
  </si>
  <si>
    <t>arm up.. edSwitchAGTRcount : 40000</t>
  </si>
  <si>
    <t>Send 60000 97566  collision 0</t>
  </si>
  <si>
    <t>Throughput: 877.373 mbps</t>
  </si>
  <si>
    <t>Throughput: 0.58648 mops</t>
  </si>
  <si>
    <t xml:space="preserve">write 90th percentile latency is 20.001 </t>
  </si>
  <si>
    <t xml:space="preserve">write 95th percentile latency is 20.623 </t>
  </si>
  <si>
    <t xml:space="preserve">write 99th percentile latency is 26.093 </t>
  </si>
  <si>
    <t xml:space="preserve">Read 90th percentile latency is 8.68 </t>
  </si>
  <si>
    <t xml:space="preserve">Read 95th percentile latency is 8.907 </t>
  </si>
  <si>
    <t xml:space="preserve">Read 99th percentile latency is 10.3 </t>
  </si>
  <si>
    <t xml:space="preserve">Mix 90th percentile latency is 17.802 </t>
  </si>
  <si>
    <t xml:space="preserve">Mix 95th percentile latency is 20.001 </t>
  </si>
  <si>
    <t xml:space="preserve">Mix 99th percentile latency is 23.822 </t>
  </si>
  <si>
    <t>thread_id0 send_num_ 150 sum write latency: 1999 avg latency : 13.3267</t>
  </si>
  <si>
    <t>thread_id0read_num_ 150 sum read latency: 1039 avg latency : 6.92667</t>
  </si>
  <si>
    <t>requests_.size 30000</t>
  </si>
  <si>
    <t>Send 30000 28003 us</t>
  </si>
  <si>
    <t>Send 30000 28797 us</t>
  </si>
  <si>
    <t>Send 30000 28164 us</t>
  </si>
  <si>
    <t>Send 30000 31315 us</t>
  </si>
  <si>
    <t>Send 30000 8928 us collision 0</t>
  </si>
  <si>
    <t>Send 30000 10798 us collision 0</t>
  </si>
  <si>
    <t>Send 30000 15024 us collision 0</t>
  </si>
  <si>
    <t>Send 30000 14228 us collision 0</t>
  </si>
  <si>
    <t>Throughput: 1528.44 mbps</t>
  </si>
  <si>
    <t>Throughput: 1486.3 mbps</t>
  </si>
  <si>
    <t>Throughput: 1519.7 mbps</t>
  </si>
  <si>
    <t>Throughput: 1366.79 mbps</t>
  </si>
  <si>
    <t>Throughput: 4794.01 mbps</t>
  </si>
  <si>
    <t>Throughput: 3963.78 mbps</t>
  </si>
  <si>
    <t>Throughput: 2848.84 mbps</t>
  </si>
  <si>
    <t>Throughput: 3008.22 mbps</t>
  </si>
  <si>
    <t>Send 30000 148556 us collision 0</t>
  </si>
  <si>
    <t>Send 30000 224457 us collision 0</t>
  </si>
  <si>
    <t>Throughput: 1.02168 mops</t>
  </si>
  <si>
    <t>Throughput: 0.993514 mops</t>
  </si>
  <si>
    <t>Throughput: 1.01584 mops</t>
  </si>
  <si>
    <t>Throughput: 0.913627 mops</t>
  </si>
  <si>
    <t>Throughput: 3.20455 mops</t>
  </si>
  <si>
    <t>Throughput: 2.64959 mops</t>
  </si>
  <si>
    <t>Throughput: 1.9043 mops</t>
  </si>
  <si>
    <t>Throughput: 2.01084 mops</t>
  </si>
  <si>
    <t>Throughput: 288.113 mbps</t>
  </si>
  <si>
    <t>Throughput: 190.686 mbps</t>
  </si>
  <si>
    <t xml:space="preserve">write 90th percentile latency is 3.993us </t>
  </si>
  <si>
    <t xml:space="preserve">write 90th percentile latency is 4.368us </t>
  </si>
  <si>
    <t xml:space="preserve">write 90th percentile latency is 3.772us </t>
  </si>
  <si>
    <t xml:space="preserve">write 90th percentile latency is 3.639us </t>
  </si>
  <si>
    <t>Throughput: 0.192589 mops</t>
  </si>
  <si>
    <t>Throughput: 0.127464 mops</t>
  </si>
  <si>
    <t xml:space="preserve">write 90th percentile latency is 20.308us </t>
  </si>
  <si>
    <t xml:space="preserve">write 90th percentile latency is 14.941us </t>
  </si>
  <si>
    <t xml:space="preserve">write 90th percentile latency is 46.876us </t>
  </si>
  <si>
    <t xml:space="preserve">write 90th percentile latency is 9.497us </t>
  </si>
  <si>
    <t xml:space="preserve">write 95th percentile latency is 4.05us </t>
  </si>
  <si>
    <t xml:space="preserve">write 95th percentile latency is 4.677us </t>
  </si>
  <si>
    <t xml:space="preserve">write 95th percentile latency is 3.867us </t>
  </si>
  <si>
    <t xml:space="preserve">write 95th percentile latency is 3.748us </t>
  </si>
  <si>
    <t xml:space="preserve">write 90th percentile latency is 7.78us </t>
  </si>
  <si>
    <t xml:space="preserve">write 90th percentile latency is 7.497us </t>
  </si>
  <si>
    <t xml:space="preserve">write 95th percentile latency is 35.127us </t>
  </si>
  <si>
    <t xml:space="preserve">write 95th percentile latency is 30.201us </t>
  </si>
  <si>
    <t xml:space="preserve">write 95th percentile latency is 58.495us </t>
  </si>
  <si>
    <t xml:space="preserve">write 95th percentile latency is 10.712us </t>
  </si>
  <si>
    <t xml:space="preserve">write 99th percentile latency is 4.86us </t>
  </si>
  <si>
    <t xml:space="preserve">write 99th percentile latency is 7.675us </t>
  </si>
  <si>
    <t xml:space="preserve">write 99th percentile latency is 4.863us </t>
  </si>
  <si>
    <t xml:space="preserve">write 99th percentile latency is 4.931us </t>
  </si>
  <si>
    <t xml:space="preserve">write 95th percentile latency is 7.985us </t>
  </si>
  <si>
    <t xml:space="preserve">write 95th percentile latency is 7.625us </t>
  </si>
  <si>
    <t xml:space="preserve">write 99th percentile latency is 73.66us </t>
  </si>
  <si>
    <t xml:space="preserve">write 99th percentile latency is 46.647us </t>
  </si>
  <si>
    <t xml:space="preserve">write 99th percentile latency is 68.299us </t>
  </si>
  <si>
    <t xml:space="preserve">write 99th percentile latency is 20.577us </t>
  </si>
  <si>
    <t xml:space="preserve">Mix 90th percentile latency is 3.993us </t>
  </si>
  <si>
    <t xml:space="preserve">Mix 90th percentile latency is 4.368us </t>
  </si>
  <si>
    <t xml:space="preserve">Mix 90th percentile latency is 3.772us </t>
  </si>
  <si>
    <t xml:space="preserve">Mix 90th percentile latency is 3.639us </t>
  </si>
  <si>
    <t xml:space="preserve">write 99th percentile latency is 9.644us </t>
  </si>
  <si>
    <t xml:space="preserve">write 99th percentile latency is 7.728us </t>
  </si>
  <si>
    <t xml:space="preserve">Mix 90th percentile latency is 20.308us </t>
  </si>
  <si>
    <t xml:space="preserve">Mix 90th percentile latency is 14.941us </t>
  </si>
  <si>
    <t xml:space="preserve">Mix 90th percentile latency is 46.876us </t>
  </si>
  <si>
    <t xml:space="preserve">Mix 90th percentile latency is 9.497us </t>
  </si>
  <si>
    <t xml:space="preserve">Mix 95th percentile latency is 4.05us </t>
  </si>
  <si>
    <t xml:space="preserve">Mix 95th percentile latency is 4.677us </t>
  </si>
  <si>
    <t xml:space="preserve">Mix 95th percentile latency is 3.867us </t>
  </si>
  <si>
    <t xml:space="preserve">Mix 95th percentile latency is 3.748us </t>
  </si>
  <si>
    <t xml:space="preserve">Mix 90th percentile latency is 7.78us </t>
  </si>
  <si>
    <t xml:space="preserve">Mix 90th percentile latency is 7.497us </t>
  </si>
  <si>
    <t xml:space="preserve">Mix 95th percentile latency is 35.127us </t>
  </si>
  <si>
    <t xml:space="preserve">Mix 95th percentile latency is 30.201us </t>
  </si>
  <si>
    <t xml:space="preserve">Mix 95th percentile latency is 58.495us </t>
  </si>
  <si>
    <t xml:space="preserve">Mix 95th percentile latency is 10.712us </t>
  </si>
  <si>
    <t xml:space="preserve">Mix 99th percentile latency is 4.86us </t>
  </si>
  <si>
    <t xml:space="preserve">Mix 99th percentile latency is 7.675us </t>
  </si>
  <si>
    <t xml:space="preserve">Mix 99th percentile latency is 4.863us </t>
  </si>
  <si>
    <t xml:space="preserve">Mix 99th percentile latency is 4.931us </t>
  </si>
  <si>
    <t xml:space="preserve">Mix 95th percentile latency is 7.985us </t>
  </si>
  <si>
    <t xml:space="preserve">Mix 95th percentile latency is 7.625us </t>
  </si>
  <si>
    <t xml:space="preserve">Mix 99th percentile latency is 73.66us </t>
  </si>
  <si>
    <t xml:space="preserve">Mix 99th percentile latency is 46.647us </t>
  </si>
  <si>
    <t xml:space="preserve">Mix 99th percentile latency is 68.299us </t>
  </si>
  <si>
    <t xml:space="preserve">Mix 99th percentile latency is 20.577us </t>
  </si>
  <si>
    <t>thread_id0 send_num_ 150 sum write latency: 477 avg latency : 3.18us</t>
  </si>
  <si>
    <t>thread_id0 send_num_ 150 sum write latency: 524 avg latency : 3.49333us</t>
  </si>
  <si>
    <t>thread_id0 send_num_ 150 sum write latency: 473 avg latency : 3.15333us</t>
  </si>
  <si>
    <t>thread_id0 send_num_ 150 sum write latency: 470 avg latency : 3.13333us</t>
  </si>
  <si>
    <t xml:space="preserve">Mix 99th percentile latency is 9.644us </t>
  </si>
  <si>
    <t xml:space="preserve">Mix 99th percentile latency is 7.728us </t>
  </si>
  <si>
    <t>thread_id0 send_num_ 150 sum write latency: 1809 avg latency : 12.06us</t>
  </si>
  <si>
    <t>thread_id0 send_num_ 150 sum write latency: 1650 avg latency : 11us</t>
  </si>
  <si>
    <t>thread_id0 send_num_ 150 sum write latency: 2946 avg latency : 19.64us</t>
  </si>
  <si>
    <t>thread_id0 send_num_ 150 sum write latency: 1163 avg latency : 7.75333us</t>
  </si>
  <si>
    <t>thread_id0read_num_ 0 sum read latency: 0 avg latency : -nanus</t>
  </si>
  <si>
    <t>thread_id0 send_num_ 150 sum write latency: 1049 avg latency : 6.99333us</t>
  </si>
  <si>
    <t>thread_id0 send_num_ 150 sum write latency: 993 avg latency : 6.62us</t>
  </si>
  <si>
    <t>thread_id0 sum Mix latency: 477 avg Mix latency : 3.18us</t>
  </si>
  <si>
    <t>thread_id0 sum Mix latency: 524 avg Mix latency : 3.49333us</t>
  </si>
  <si>
    <t>thread_id0 sum Mix latency: 473 avg Mix latency : 3.15333us</t>
  </si>
  <si>
    <t>thread_id0 sum Mix latency: 470 avg Mix latency : 3.13333us</t>
  </si>
  <si>
    <t>thread_id0 sum Mix latency: 1809 avg Mix latency : 12.06us</t>
  </si>
  <si>
    <t>thread_id0 sum Mix latency: 1650 avg Mix latency : 11us</t>
  </si>
  <si>
    <t>thread_id0 sum Mix latency: 2946 avg Mix latency : 19.64us</t>
  </si>
  <si>
    <t>thread_id0 sum Mix latency: 1163 avg Mix latency : 7.75333us</t>
  </si>
  <si>
    <t>thread_id0 sum Mix latency: 1049 avg Mix latency : 6.99333us</t>
  </si>
  <si>
    <t>thread_id0 sum Mix latency: 993 avg Mix latency : 6.62us</t>
  </si>
  <si>
    <t>Send 30000 37764 us</t>
  </si>
  <si>
    <t>Send 30000 46643 us</t>
  </si>
  <si>
    <t>Send 30000 67629 us</t>
  </si>
  <si>
    <t>Send 30000 112039 us</t>
  </si>
  <si>
    <t>Send 30000 26241 us collision 0</t>
  </si>
  <si>
    <t>Send 30000 23781 us collision 0</t>
  </si>
  <si>
    <t>Send 30000 12793 us collision 0</t>
  </si>
  <si>
    <t>Send 30000 23795 us collision 0</t>
  </si>
  <si>
    <t>Throughput: 1133.38 mbps</t>
  </si>
  <si>
    <t>Throughput: 917.628 mbps</t>
  </si>
  <si>
    <t>Throughput: 632.878 mbps</t>
  </si>
  <si>
    <t>Throughput: 382.018 mbps</t>
  </si>
  <si>
    <t>Throughput: 1631.07 mbps</t>
  </si>
  <si>
    <t>Throughput: 1799.79 mbps</t>
  </si>
  <si>
    <t>Throughput: 3345.65 mbps</t>
  </si>
  <si>
    <t>Throughput: 1798.74 mbps</t>
  </si>
  <si>
    <t>Throughput: 0.757606 mops</t>
  </si>
  <si>
    <t>Throughput: 0.613387 mops</t>
  </si>
  <si>
    <t>Throughput: 0.423047 mops</t>
  </si>
  <si>
    <t>Throughput: 0.25536 mops</t>
  </si>
  <si>
    <t>Throughput: 1.09029 mops</t>
  </si>
  <si>
    <t>Throughput: 1.20307 mops</t>
  </si>
  <si>
    <t>Throughput: 2.2364 mops</t>
  </si>
  <si>
    <t>Throughput: 1.20236 mops</t>
  </si>
  <si>
    <t xml:space="preserve">write 90th percentile latency is 3.746us </t>
  </si>
  <si>
    <t xml:space="preserve">write 90th percentile latency is 3.387us </t>
  </si>
  <si>
    <t xml:space="preserve">write 90th percentile latency is 4.184us </t>
  </si>
  <si>
    <t xml:space="preserve">write 90th percentile latency is 3.485us </t>
  </si>
  <si>
    <t xml:space="preserve">write 90th percentile latency is 6.836us </t>
  </si>
  <si>
    <t xml:space="preserve">write 90th percentile latency is 6.901us </t>
  </si>
  <si>
    <t xml:space="preserve">write 90th percentile latency is 6.819us </t>
  </si>
  <si>
    <t xml:space="preserve">write 90th percentile latency is 6.781us </t>
  </si>
  <si>
    <t xml:space="preserve">write 95th percentile latency is 3.896us </t>
  </si>
  <si>
    <t xml:space="preserve">write 95th percentile latency is 3.45us </t>
  </si>
  <si>
    <t xml:space="preserve">write 95th percentile latency is 4.515us </t>
  </si>
  <si>
    <t xml:space="preserve">write 95th percentile latency is 3.572us </t>
  </si>
  <si>
    <t xml:space="preserve">write 95th percentile latency is 7.027us </t>
  </si>
  <si>
    <t xml:space="preserve">write 95th percentile latency is 7.097us </t>
  </si>
  <si>
    <t xml:space="preserve">write 95th percentile latency is 7.01us </t>
  </si>
  <si>
    <t xml:space="preserve">write 95th percentile latency is 6.914us </t>
  </si>
  <si>
    <t xml:space="preserve">write 99th percentile latency is 7.336us </t>
  </si>
  <si>
    <t xml:space="preserve">write 99th percentile latency is 3.842us </t>
  </si>
  <si>
    <t xml:space="preserve">write 99th percentile latency is 20.431us </t>
  </si>
  <si>
    <t xml:space="preserve">write 99th percentile latency is 4.284us </t>
  </si>
  <si>
    <t xml:space="preserve">write 99th percentile latency is 9.523us </t>
  </si>
  <si>
    <t xml:space="preserve">write 99th percentile latency is 7.83us </t>
  </si>
  <si>
    <t xml:space="preserve">write 99th percentile latency is 8.139us </t>
  </si>
  <si>
    <t xml:space="preserve">write 99th percentile latency is 7.759us </t>
  </si>
  <si>
    <t xml:space="preserve">Mix 90th percentile latency is 3.746us </t>
  </si>
  <si>
    <t xml:space="preserve">Mix 90th percentile latency is 3.387us </t>
  </si>
  <si>
    <t xml:space="preserve">Mix 90th percentile latency is 4.184us </t>
  </si>
  <si>
    <t xml:space="preserve">Mix 90th percentile latency is 3.485us </t>
  </si>
  <si>
    <t xml:space="preserve">Mix 90th percentile latency is 6.836us </t>
  </si>
  <si>
    <t xml:space="preserve">Mix 90th percentile latency is 6.901us </t>
  </si>
  <si>
    <t xml:space="preserve">Mix 90th percentile latency is 6.819us </t>
  </si>
  <si>
    <t xml:space="preserve">Mix 90th percentile latency is 6.781us </t>
  </si>
  <si>
    <t xml:space="preserve">Mix 95th percentile latency is 3.896us </t>
  </si>
  <si>
    <t xml:space="preserve">Mix 95th percentile latency is 3.45us </t>
  </si>
  <si>
    <t xml:space="preserve">Mix 95th percentile latency is 4.515us </t>
  </si>
  <si>
    <t xml:space="preserve">Mix 95th percentile latency is 3.572us </t>
  </si>
  <si>
    <t xml:space="preserve">Mix 95th percentile latency is 7.027us </t>
  </si>
  <si>
    <t xml:space="preserve">Mix 95th percentile latency is 7.097us </t>
  </si>
  <si>
    <t xml:space="preserve">Mix 95th percentile latency is 7.01us </t>
  </si>
  <si>
    <t xml:space="preserve">Mix 95th percentile latency is 6.914us </t>
  </si>
  <si>
    <t xml:space="preserve">Mix 99th percentile latency is 7.336us </t>
  </si>
  <si>
    <t xml:space="preserve">Mix 99th percentile latency is 3.842us </t>
  </si>
  <si>
    <t xml:space="preserve">Mix 99th percentile latency is 20.431us </t>
  </si>
  <si>
    <t xml:space="preserve">Mix 99th percentile latency is 4.284us </t>
  </si>
  <si>
    <t xml:space="preserve">Mix 99th percentile latency is 9.523us </t>
  </si>
  <si>
    <t xml:space="preserve">Mix 99th percentile latency is 7.83us </t>
  </si>
  <si>
    <t xml:space="preserve">Mix 99th percentile latency is 8.139us </t>
  </si>
  <si>
    <t xml:space="preserve">Mix 99th percentile latency is 7.759us </t>
  </si>
  <si>
    <t>thread_id0 send_num_ 150 sum write latency: 480 avg latency : 3.2us</t>
  </si>
  <si>
    <t>thread_id0 send_num_ 150 sum write latency: 445 avg latency : 2.96667us</t>
  </si>
  <si>
    <t>thread_id0 send_num_ 150 sum write latency: 532 avg latency : 3.54667us</t>
  </si>
  <si>
    <t>thread_id0 send_num_ 150 sum write latency: 452 avg latency : 3.01333us</t>
  </si>
  <si>
    <t>thread_id0 send_num_ 150 sum write latency: 866 avg latency : 5.77333us</t>
  </si>
  <si>
    <t>thread_id0 send_num_ 150 sum write latency: 878 avg latency : 5.85333us</t>
  </si>
  <si>
    <t>thread_id0 send_num_ 150 sum write latency: 842 avg latency : 5.61333us</t>
  </si>
  <si>
    <t>thread_id0 send_num_ 150 sum write latency: 831 avg latency : 5.54us</t>
  </si>
  <si>
    <t>thread_id0 sum Mix latency: 480 avg Mix latency : 3.2us</t>
  </si>
  <si>
    <t>thread_id0 sum Mix latency: 445 avg Mix latency : 2.96667us</t>
  </si>
  <si>
    <t>thread_id0 sum Mix latency: 532 avg Mix latency : 3.54667us</t>
  </si>
  <si>
    <t>thread_id0 sum Mix latency: 452 avg Mix latency : 3.01333us</t>
  </si>
  <si>
    <t>thread_id0 sum Mix latency: 866 avg Mix latency : 5.77333us</t>
  </si>
  <si>
    <t>thread_id0 sum Mix latency: 878 avg Mix latency : 5.85333us</t>
  </si>
  <si>
    <t>thread_id0 sum Mix latency: 842 avg Mix latency : 5.61333us</t>
  </si>
  <si>
    <t>thread_id0 sum Mix latency: 831 avg Mix latency : 5.54us</t>
  </si>
  <si>
    <t>Send 30000 105866 us collision 0</t>
  </si>
  <si>
    <t>Send 30000 57825 us collision 0</t>
  </si>
  <si>
    <t>Send 30000 57810 us collision 0</t>
  </si>
  <si>
    <t>Send 30000 57293 us collision 0</t>
  </si>
  <si>
    <t>Throughput: 404.293 mbps</t>
  </si>
  <si>
    <t>Throughput: 740.18 mbps</t>
  </si>
  <si>
    <t>Throughput: 740.372 mbps</t>
  </si>
  <si>
    <t>Throughput: 747.053 mbps</t>
  </si>
  <si>
    <t>Throughput: 0.270249 mops</t>
  </si>
  <si>
    <t>Throughput: 0.494773 mops</t>
  </si>
  <si>
    <t>Throughput: 0.494901 mops</t>
  </si>
  <si>
    <t>Throughput: 0.499367 mops</t>
  </si>
  <si>
    <t xml:space="preserve">write 90th percentile latency is 3.081us </t>
  </si>
  <si>
    <t xml:space="preserve">write 90th percentile latency is 3.195us </t>
  </si>
  <si>
    <t xml:space="preserve">write 90th percentile latency is 3.357us </t>
  </si>
  <si>
    <t xml:space="preserve">write 90th percentile latency is 3.33us </t>
  </si>
  <si>
    <t xml:space="preserve">write 95th percentile latency is 3.183us </t>
  </si>
  <si>
    <t xml:space="preserve">write 95th percentile latency is 3.322us </t>
  </si>
  <si>
    <t xml:space="preserve">write 95th percentile latency is 3.4us </t>
  </si>
  <si>
    <t xml:space="preserve">write 95th percentile latency is 3.381us </t>
  </si>
  <si>
    <t xml:space="preserve">write 99th percentile latency is 3.311us </t>
  </si>
  <si>
    <t xml:space="preserve">write 99th percentile latency is 3.436us </t>
  </si>
  <si>
    <t xml:space="preserve">write 99th percentile latency is 3.477us </t>
  </si>
  <si>
    <t xml:space="preserve">write 99th percentile latency is 3.92us </t>
  </si>
  <si>
    <t>Send 30000 45483 us</t>
  </si>
  <si>
    <t>Send 30000 111739 us</t>
  </si>
  <si>
    <t>Send 30000 115035 us</t>
  </si>
  <si>
    <t xml:space="preserve">Mix 90th percentile latency is 3.081us </t>
  </si>
  <si>
    <t xml:space="preserve">Mix 90th percentile latency is 3.195us </t>
  </si>
  <si>
    <t xml:space="preserve">Mix 90th percentile latency is 3.357us </t>
  </si>
  <si>
    <t xml:space="preserve">Mix 90th percentile latency is 3.33us </t>
  </si>
  <si>
    <t>Throughput: 941.031 mbps</t>
  </si>
  <si>
    <t>Throughput: 383.044 mbps</t>
  </si>
  <si>
    <t>Throughput: 372.069 mbps</t>
  </si>
  <si>
    <t xml:space="preserve">Mix 95th percentile latency is 3.183us </t>
  </si>
  <si>
    <t xml:space="preserve">Mix 95th percentile latency is 3.322us </t>
  </si>
  <si>
    <t xml:space="preserve">Mix 95th percentile latency is 3.4us </t>
  </si>
  <si>
    <t xml:space="preserve">Mix 95th percentile latency is 3.381us </t>
  </si>
  <si>
    <t>Throughput: 0.629031 mops</t>
  </si>
  <si>
    <t>Throughput: 0.256045 mops</t>
  </si>
  <si>
    <t>Throughput: 0.248709 mops</t>
  </si>
  <si>
    <t xml:space="preserve">Mix 99th percentile latency is 3.311us </t>
  </si>
  <si>
    <t xml:space="preserve">Mix 99th percentile latency is 3.436us </t>
  </si>
  <si>
    <t xml:space="preserve">Mix 99th percentile latency is 3.477us </t>
  </si>
  <si>
    <t xml:space="preserve">Mix 99th percentile latency is 3.92us </t>
  </si>
  <si>
    <t>thread_id0 send_num_ 150 sum write latency: 366 avg latency : 2.44us</t>
  </si>
  <si>
    <t>thread_id0 send_num_ 150 sum write latency: 434 avg latency : 2.89333us</t>
  </si>
  <si>
    <t>thread_id0 send_num_ 150 sum write latency: 430 avg latency : 2.86667us</t>
  </si>
  <si>
    <t>thread_id0 send_num_ 150 sum write latency: 406 avg latency : 2.70667us</t>
  </si>
  <si>
    <t xml:space="preserve">write 90th percentile latency is 6.913us </t>
  </si>
  <si>
    <t xml:space="preserve">write 90th percentile latency is 6.662us </t>
  </si>
  <si>
    <t xml:space="preserve">write 90th percentile latency is 6.573us </t>
  </si>
  <si>
    <t xml:space="preserve">write 95th percentile latency is 7.3us </t>
  </si>
  <si>
    <t xml:space="preserve">write 95th percentile latency is 6.837us </t>
  </si>
  <si>
    <t xml:space="preserve">write 95th percentile latency is 6.734us </t>
  </si>
  <si>
    <t>thread_id0 sum Mix latency: 366 avg Mix latency : 2.44us</t>
  </si>
  <si>
    <t>thread_id0 sum Mix latency: 434 avg Mix latency : 2.89333us</t>
  </si>
  <si>
    <t>thread_id0 sum Mix latency: 430 avg Mix latency : 2.86667us</t>
  </si>
  <si>
    <t>thread_id0 sum Mix latency: 406 avg Mix latency : 2.70667us</t>
  </si>
  <si>
    <t xml:space="preserve">write 99th percentile latency is 21.146us </t>
  </si>
  <si>
    <t xml:space="preserve">write 99th percentile latency is 10.774us </t>
  </si>
  <si>
    <t xml:space="preserve">write 99th percentile latency is 7.357us </t>
  </si>
  <si>
    <t xml:space="preserve">Mix 90th percentile latency is 6.913us </t>
  </si>
  <si>
    <t xml:space="preserve">Mix 90th percentile latency is 6.662us </t>
  </si>
  <si>
    <t xml:space="preserve">Mix 90th percentile latency is 6.573us </t>
  </si>
  <si>
    <t xml:space="preserve">Mix 95th percentile latency is 7.3us </t>
  </si>
  <si>
    <t xml:space="preserve">Mix 95th percentile latency is 6.837us </t>
  </si>
  <si>
    <t xml:space="preserve">Mix 95th percentile latency is 6.734us </t>
  </si>
  <si>
    <t xml:space="preserve">Mix 99th percentile latency is 21.146us </t>
  </si>
  <si>
    <t xml:space="preserve">Mix 99th percentile latency is 10.774us </t>
  </si>
  <si>
    <t xml:space="preserve">Mix 99th percentile latency is 7.357us </t>
  </si>
  <si>
    <t>thread_id0 send_num_ 150 sum write latency: 867 avg latency : 5.78us</t>
  </si>
  <si>
    <t>thread_id0 send_num_ 150 sum write latency: 835 avg latency : 5.56667us</t>
  </si>
  <si>
    <t>thread_id0 send_num_ 150 sum write latency: 851 avg latency : 5.67333us</t>
  </si>
  <si>
    <t>thread_id0 sum Mix latency: 867 avg Mix latency : 5.78us</t>
  </si>
  <si>
    <t>thread_id0 sum Mix latency: 835 avg Mix latency : 5.56667us</t>
  </si>
  <si>
    <t>thread_id0 sum Mix latency: 851 avg Mix latency : 5.67333us</t>
  </si>
  <si>
    <t>Send 30000 26013 us collision 0</t>
  </si>
  <si>
    <t>Send 30000 25579 us collision 0</t>
  </si>
  <si>
    <t>Send 30000 18323 us collision 0</t>
  </si>
  <si>
    <t>Send 30000 11121 us collision 0</t>
  </si>
  <si>
    <t>Throughput: 1645.37 mbps</t>
  </si>
  <si>
    <t>Throughput: 1673.28 mbps</t>
  </si>
  <si>
    <t>Throughput: 2335.91 mbps</t>
  </si>
  <si>
    <t>Throughput: 3848.66 mbps</t>
  </si>
  <si>
    <t>Throughput: 1.09984 mops</t>
  </si>
  <si>
    <t>Throughput: 1.1185 mops</t>
  </si>
  <si>
    <t>Throughput: 1.56144 mops</t>
  </si>
  <si>
    <t>Throughput: 2.57263 mops</t>
  </si>
  <si>
    <t xml:space="preserve">write 90th percentile latency is 3.626us </t>
  </si>
  <si>
    <t xml:space="preserve">write 90th percentile latency is 3.589us </t>
  </si>
  <si>
    <t xml:space="preserve">write 90th percentile latency is 3.725us </t>
  </si>
  <si>
    <t xml:space="preserve">write 90th percentile latency is 4.105us </t>
  </si>
  <si>
    <t xml:space="preserve">write 95th percentile latency is 3.782us </t>
  </si>
  <si>
    <t xml:space="preserve">write 95th percentile latency is 3.877us </t>
  </si>
  <si>
    <t xml:space="preserve">write 95th percentile latency is 3.89us </t>
  </si>
  <si>
    <t xml:space="preserve">write 95th percentile latency is 4.336us </t>
  </si>
  <si>
    <t xml:space="preserve">write 99th percentile latency is 7.271us </t>
  </si>
  <si>
    <t xml:space="preserve">write 99th percentile latency is 5.36us </t>
  </si>
  <si>
    <t xml:space="preserve">write 99th percentile latency is 8.049us </t>
  </si>
  <si>
    <t xml:space="preserve">write 99th percentile latency is 5.523us </t>
  </si>
  <si>
    <t xml:space="preserve">Mix 90th percentile latency is 3.626us </t>
  </si>
  <si>
    <t xml:space="preserve">Mix 90th percentile latency is 3.589us </t>
  </si>
  <si>
    <t xml:space="preserve">Mix 90th percentile latency is 3.725us </t>
  </si>
  <si>
    <t xml:space="preserve">Mix 90th percentile latency is 4.105us </t>
  </si>
  <si>
    <t xml:space="preserve">Mix 95th percentile latency is 3.782us </t>
  </si>
  <si>
    <t xml:space="preserve">Mix 95th percentile latency is 3.877us </t>
  </si>
  <si>
    <t xml:space="preserve">Mix 95th percentile latency is 3.89us </t>
  </si>
  <si>
    <t xml:space="preserve">Mix 95th percentile latency is 4.336us </t>
  </si>
  <si>
    <t xml:space="preserve">Mix 99th percentile latency is 7.271us </t>
  </si>
  <si>
    <t xml:space="preserve">Mix 99th percentile latency is 5.36us </t>
  </si>
  <si>
    <t xml:space="preserve">Mix 99th percentile latency is 8.049us </t>
  </si>
  <si>
    <t xml:space="preserve">Mix 99th percentile latency is 5.523us </t>
  </si>
  <si>
    <t>thread_id0 send_num_ 150 sum write latency: 471 avg latency : 3.14us</t>
  </si>
  <si>
    <t>thread_id0 send_num_ 150 sum write latency: 475 avg latency : 3.16667us</t>
  </si>
  <si>
    <t>thread_id0 send_num_ 150 sum write latency: 492 avg latency : 3.28us</t>
  </si>
  <si>
    <t>thread_id0 sum Mix latency: 471 avg Mix latency : 3.14us</t>
  </si>
  <si>
    <t>thread_id0 sum Mix latency: 475 avg Mix latency : 3.16667us</t>
  </si>
  <si>
    <t>thread_id0 sum Mix latency: 492 avg Mix latency : 3.28us</t>
  </si>
  <si>
    <t>Send 30000 15443 us collision 0</t>
  </si>
  <si>
    <t>Send 30000 15825 us collision 0</t>
  </si>
  <si>
    <t>Throughput: 2771.54 mbps</t>
  </si>
  <si>
    <t>Throughput: 2704.64 mbps</t>
  </si>
  <si>
    <t>Throughput: 1.85263 mops</t>
  </si>
  <si>
    <t>Throughput: 1.80791 mops</t>
  </si>
  <si>
    <t xml:space="preserve">write 90th percentile latency is 3.799us </t>
  </si>
  <si>
    <t xml:space="preserve">write 90th percentile latency is 3.806us </t>
  </si>
  <si>
    <t xml:space="preserve">write 95th percentile latency is 3.908us </t>
  </si>
  <si>
    <t xml:space="preserve">write 95th percentile latency is 3.94us </t>
  </si>
  <si>
    <t xml:space="preserve">write 99th percentile latency is 7.33us </t>
  </si>
  <si>
    <t xml:space="preserve">write 99th percentile latency is 6.234us </t>
  </si>
  <si>
    <t xml:space="preserve">Mix 90th percentile latency is 3.799us </t>
  </si>
  <si>
    <t xml:space="preserve">Mix 90th percentile latency is 3.806us </t>
  </si>
  <si>
    <t xml:space="preserve">Mix 95th percentile latency is 3.908us </t>
  </si>
  <si>
    <t xml:space="preserve">Mix 95th percentile latency is 3.94us </t>
  </si>
  <si>
    <t xml:space="preserve">Mix 99th percentile latency is 7.33us </t>
  </si>
  <si>
    <t xml:space="preserve">Mix 99th percentile latency is 6.234us </t>
  </si>
  <si>
    <t>thread_id0 send_num_ 150 sum write latency: 476 avg latency : 3.17333us</t>
  </si>
  <si>
    <t>thread_id0 sum Mix latency: 476 avg Mix latency : 3.17333us</t>
  </si>
  <si>
    <t>ZIPIFAN</t>
  </si>
  <si>
    <t>Warm up.. edSwitchAGTRcount : 16</t>
  </si>
  <si>
    <t>Warm up.. edSwitchAGTRcount : 32</t>
  </si>
  <si>
    <t>Warm up.. edSwitchAGTRcount : 64</t>
  </si>
  <si>
    <t>Warm up.. edSwitchAGTRcount : 128</t>
  </si>
  <si>
    <t>Warm up.. edSwitchAGTRcount : 256</t>
  </si>
  <si>
    <t>Warm up.. edSwitchAGTRcount : 512</t>
  </si>
  <si>
    <t>Warm up.. edSwitchAGTRcount : 1024</t>
  </si>
  <si>
    <t>Warm up.. edSwitchAGTRcount : 2048</t>
  </si>
  <si>
    <t>Warm up.. UsedSwitchAGTRcount : 512</t>
  </si>
  <si>
    <t>Send 40000 26468  collision 58941</t>
  </si>
  <si>
    <t>Send 40000 19679  collision 28285</t>
  </si>
  <si>
    <t>Send 40000 15013  collision 20217</t>
  </si>
  <si>
    <t>Send 40000 16410  collision 8832</t>
  </si>
  <si>
    <t>Send 40000 14970  collision 4354</t>
  </si>
  <si>
    <t>Send 40000 13659  collision 2360</t>
  </si>
  <si>
    <t>Send 40000 13420  collision 1240</t>
  </si>
  <si>
    <t>Send 40000 12086  collision 611</t>
  </si>
  <si>
    <t>Send 40000 12440 us collision 619</t>
  </si>
  <si>
    <t>4721.82 mbps</t>
  </si>
  <si>
    <t xml:space="preserve">write 90th percentile latency is 14.33 </t>
  </si>
  <si>
    <t xml:space="preserve">write 90th percentile latency is 5.52 </t>
  </si>
  <si>
    <t xml:space="preserve">write 90th percentile latency is 4.265 </t>
  </si>
  <si>
    <t xml:space="preserve">write 90th percentile latency is 4.879 </t>
  </si>
  <si>
    <t xml:space="preserve">write 90th percentile latency is 4.729 </t>
  </si>
  <si>
    <t xml:space="preserve">write 90th percentile latency is 4.585 </t>
  </si>
  <si>
    <t xml:space="preserve">write 90th percentile latency is 5.082 </t>
  </si>
  <si>
    <t xml:space="preserve">write 90th percentile latency is 4.906us </t>
  </si>
  <si>
    <t xml:space="preserve">write 95th percentile latency is 20.585 </t>
  </si>
  <si>
    <t xml:space="preserve">write 95th percentile latency is 11.953 </t>
  </si>
  <si>
    <t xml:space="preserve">write 95th percentile latency is 8.297 </t>
  </si>
  <si>
    <t xml:space="preserve">write 95th percentile latency is 5.49 </t>
  </si>
  <si>
    <t xml:space="preserve">write 95th percentile latency is 4.955 </t>
  </si>
  <si>
    <t xml:space="preserve">write 95th percentile latency is 4.992 </t>
  </si>
  <si>
    <t xml:space="preserve">write 95th percentile latency is 4.812 </t>
  </si>
  <si>
    <t xml:space="preserve">write 95th percentile latency is 5.301 </t>
  </si>
  <si>
    <t xml:space="preserve">write 95th percentile latency is 5.137us </t>
  </si>
  <si>
    <t xml:space="preserve">write 99th percentile latency is 26.857 </t>
  </si>
  <si>
    <t xml:space="preserve">write 99th percentile latency is 20.729 </t>
  </si>
  <si>
    <t xml:space="preserve">write 99th percentile latency is 13.378 </t>
  </si>
  <si>
    <t xml:space="preserve">write 99th percentile latency is 11.058 </t>
  </si>
  <si>
    <t xml:space="preserve">write 99th percentile latency is 10.628 </t>
  </si>
  <si>
    <t xml:space="preserve">write 99th percentile latency is 13.259 </t>
  </si>
  <si>
    <t xml:space="preserve">write 99th percentile latency is 8.552 </t>
  </si>
  <si>
    <t xml:space="preserve">write 99th percentile latency is 7.869 </t>
  </si>
  <si>
    <t xml:space="preserve">write 99th percentile latency is 11.468us </t>
  </si>
  <si>
    <t>thread_id0 send_num_ 400 sum write latency: 2107 avg latency : 5.2675</t>
  </si>
  <si>
    <t>thread_id0 send_num_ 400 sum write latency: 1690 avg latency : 4.225</t>
  </si>
  <si>
    <t>thread_id0 send_num_ 400 sum write latency: 1250 avg latency : 3.125</t>
  </si>
  <si>
    <t>thread_id0 send_num_ 400 sum write latency: 1471 avg latency : 3.6775</t>
  </si>
  <si>
    <t>thread_id0 send_num_ 400 sum write latency: 1456 avg latency : 3.64</t>
  </si>
  <si>
    <t>thread_id0 send_num_ 400 sum write latency: 1477 avg latency : 3.6925</t>
  </si>
  <si>
    <t>thread_id0 send_num_ 400 sum write latency: 1437 avg latency : 3.5925</t>
  </si>
  <si>
    <t>thread_id0 send_num_ 400 sum write latency: 1604 avg latency : 4.01</t>
  </si>
  <si>
    <t>thread_id0 send_num_ 400 sum write latency: 1598 avg latency : 3.995</t>
  </si>
  <si>
    <t>Warm up.. edSwitchAGTRcount : 4096</t>
  </si>
  <si>
    <t>Send 40000 25505  collision 53901</t>
  </si>
  <si>
    <t>Send 40000 19606  collision 29911</t>
  </si>
  <si>
    <t>Send 40000 17287  collision 17414</t>
  </si>
  <si>
    <t>Send 40000 16098  collision 9044</t>
  </si>
  <si>
    <t>Send 40000 15764  collision 4836</t>
  </si>
  <si>
    <t>Send 40000 13410  collision 2325</t>
  </si>
  <si>
    <t>Send 40000 13308  collision 1248</t>
  </si>
  <si>
    <t>Send 40000 12653  collision 806</t>
  </si>
  <si>
    <t>Send 40000 12959  collision 373</t>
  </si>
  <si>
    <t xml:space="preserve">write 90th percentile latency is 13.793 </t>
  </si>
  <si>
    <t xml:space="preserve">write 90th percentile latency is 5.58 </t>
  </si>
  <si>
    <t xml:space="preserve">write 90th percentile latency is 5.262 </t>
  </si>
  <si>
    <t xml:space="preserve">write 90th percentile latency is 4.651 </t>
  </si>
  <si>
    <t xml:space="preserve">write 90th percentile latency is 4.698 </t>
  </si>
  <si>
    <t xml:space="preserve">write 90th percentile latency is 4.571 </t>
  </si>
  <si>
    <t xml:space="preserve">write 90th percentile latency is 4.748 </t>
  </si>
  <si>
    <t xml:space="preserve">write 90th percentile latency is 4.636 </t>
  </si>
  <si>
    <t xml:space="preserve">write 90th percentile latency is 4.724 </t>
  </si>
  <si>
    <t xml:space="preserve">write 95th percentile latency is 21.578 </t>
  </si>
  <si>
    <t xml:space="preserve">write 95th percentile latency is 13.814 </t>
  </si>
  <si>
    <t xml:space="preserve">write 95th percentile latency is 9.548 </t>
  </si>
  <si>
    <t xml:space="preserve">write 95th percentile latency is 5.175 </t>
  </si>
  <si>
    <t xml:space="preserve">write 95th percentile latency is 5.135 </t>
  </si>
  <si>
    <t xml:space="preserve">write 95th percentile latency is 4.826 </t>
  </si>
  <si>
    <t xml:space="preserve">write 95th percentile latency is 4.95 </t>
  </si>
  <si>
    <t xml:space="preserve">write 95th percentile latency is 4.764 </t>
  </si>
  <si>
    <t xml:space="preserve">write 95th percentile latency is 4.889 </t>
  </si>
  <si>
    <t xml:space="preserve">write 99th percentile latency is 27.848 </t>
  </si>
  <si>
    <t xml:space="preserve">write 99th percentile latency is 21.448 </t>
  </si>
  <si>
    <t xml:space="preserve">write 99th percentile latency is 21.932 </t>
  </si>
  <si>
    <t xml:space="preserve">write 99th percentile latency is 12.961 </t>
  </si>
  <si>
    <t xml:space="preserve">write 99th percentile latency is 17.666 </t>
  </si>
  <si>
    <t xml:space="preserve">write 99th percentile latency is 8.208 </t>
  </si>
  <si>
    <t xml:space="preserve">write 99th percentile latency is 7.096 </t>
  </si>
  <si>
    <t xml:space="preserve">write 99th percentile latency is 8.616 </t>
  </si>
  <si>
    <t xml:space="preserve">write 99th percentile latency is 5.354 </t>
  </si>
  <si>
    <t>thread_id0 send_num_ 400 sum write latency: 2126 avg latency : 5.315</t>
  </si>
  <si>
    <t>thread_id0 send_num_ 400 sum write latency: 1694 avg latency : 4.235</t>
  </si>
  <si>
    <t>thread_id0 send_num_ 400 sum write latency: 1720 avg latency : 4.3</t>
  </si>
  <si>
    <t>thread_id0 send_num_ 400 sum write latency: 1435 avg latency : 3.5875</t>
  </si>
  <si>
    <t>thread_id0 send_num_ 400 sum write latency: 1434 avg latency : 3.585</t>
  </si>
  <si>
    <t>thread_id0 send_num_ 400 sum write latency: 1427 avg latency : 3.5675</t>
  </si>
  <si>
    <t>thread_id0 send_num_ 400 sum write latency: 1452 avg latency : 3.63</t>
  </si>
  <si>
    <t>thread_id0 send_num_ 400 sum write latency: 1416 avg latency : 3.54</t>
  </si>
  <si>
    <t>Send 40000 25730  collision 54912</t>
  </si>
  <si>
    <t>Send 40000 19909  collision 30341</t>
  </si>
  <si>
    <t>Send 40000 16737  collision 17447</t>
  </si>
  <si>
    <t>Send 40000 16275  collision 9391</t>
  </si>
  <si>
    <t>Send 40000 15138  collision 4943</t>
  </si>
  <si>
    <t>Send 40000 13991  collision 2614</t>
  </si>
  <si>
    <t>Send 40000 13295  collision 1415</t>
  </si>
  <si>
    <t>Send 30000 9489  collision 0</t>
  </si>
  <si>
    <t>Send 40000 12022  collision 649</t>
  </si>
  <si>
    <t>4510.58 mbps</t>
  </si>
  <si>
    <t>4746.95 mbps</t>
  </si>
  <si>
    <t xml:space="preserve">write 90th percentile latency is 15.039 </t>
  </si>
  <si>
    <t xml:space="preserve">write 90th percentile latency is 5.788 </t>
  </si>
  <si>
    <t xml:space="preserve">write 90th percentile latency is 4.868 </t>
  </si>
  <si>
    <t xml:space="preserve">write 90th percentile latency is 4.634 </t>
  </si>
  <si>
    <t xml:space="preserve">write 90th percentile latency is 4.734 </t>
  </si>
  <si>
    <t xml:space="preserve">write 90th percentile latency is 4.824 </t>
  </si>
  <si>
    <t xml:space="preserve">write 90th percentile latency is 4.767 </t>
  </si>
  <si>
    <t xml:space="preserve">write 90th percentile latency is 4.814 </t>
  </si>
  <si>
    <t xml:space="preserve">write 90th percentile latency is 5.122 </t>
  </si>
  <si>
    <t xml:space="preserve">write 95th percentile latency is 21.841 </t>
  </si>
  <si>
    <t xml:space="preserve">write 95th percentile latency is 12.991 </t>
  </si>
  <si>
    <t xml:space="preserve">write 95th percentile latency is 7.601 </t>
  </si>
  <si>
    <t xml:space="preserve">write 95th percentile latency is 4.958 </t>
  </si>
  <si>
    <t xml:space="preserve">write 95th percentile latency is 5.036 </t>
  </si>
  <si>
    <t xml:space="preserve">write 95th percentile latency is 5.189 </t>
  </si>
  <si>
    <t xml:space="preserve">write 95th percentile latency is 5.362 </t>
  </si>
  <si>
    <t xml:space="preserve">write 95th percentile latency is 4.985 </t>
  </si>
  <si>
    <t xml:space="preserve">write 95th percentile latency is 5.343 </t>
  </si>
  <si>
    <t xml:space="preserve">write 99th percentile latency is 27.464 </t>
  </si>
  <si>
    <t xml:space="preserve">write 99th percentile latency is 18.972 </t>
  </si>
  <si>
    <t xml:space="preserve">write 99th percentile latency is 16.945 </t>
  </si>
  <si>
    <t xml:space="preserve">write 99th percentile latency is 9.454 </t>
  </si>
  <si>
    <t xml:space="preserve">write 99th percentile latency is 10.444 </t>
  </si>
  <si>
    <t xml:space="preserve">write 99th percentile latency is 14.149 </t>
  </si>
  <si>
    <t xml:space="preserve">write 99th percentile latency is 10.703 </t>
  </si>
  <si>
    <t xml:space="preserve">write 99th percentile latency is 6.094 </t>
  </si>
  <si>
    <t xml:space="preserve">write 99th percentile latency is 6.892 </t>
  </si>
  <si>
    <t>thread_id0 send_num_ 400 sum write latency: 2153 avg latency : 5.3825</t>
  </si>
  <si>
    <t>thread_id0 send_num_ 400 sum write latency: 1669 avg latency : 4.1725</t>
  </si>
  <si>
    <t>thread_id0 send_num_ 400 sum write latency: 1582 avg latency : 3.955</t>
  </si>
  <si>
    <t>thread_id0 send_num_ 400 sum write latency: 1397 avg latency : 3.4925</t>
  </si>
  <si>
    <t>thread_id0 send_num_ 400 sum write latency: 1462 avg latency : 3.655</t>
  </si>
  <si>
    <t>thread_id0 send_num_ 400 sum write latency: 1512 avg latency : 3.78</t>
  </si>
  <si>
    <t>thread_id0 send_num_ 400 sum write latency: 1556 avg latency : 3.89</t>
  </si>
  <si>
    <t>thread_id0 send_num_ 300 sum write latency: 1109 avg latency : 3.69667</t>
  </si>
  <si>
    <t>thread_id0 send_num_ 400 sum write latency: 1560 avg latency : 3.9</t>
  </si>
  <si>
    <t>Send 30000 9083  collision 0</t>
  </si>
  <si>
    <t>Send 30000 9474  collision 0</t>
  </si>
  <si>
    <t>Send 30000 9180  collision 0</t>
  </si>
  <si>
    <t>4662.41 mbps</t>
  </si>
  <si>
    <t xml:space="preserve">write 90th percentile latency is 4.852 </t>
  </si>
  <si>
    <t xml:space="preserve">write 90th percentile latency is 4.839 </t>
  </si>
  <si>
    <t xml:space="preserve">write 95th percentile latency is 4.987 </t>
  </si>
  <si>
    <t xml:space="preserve">write 95th percentile latency is 4.871 </t>
  </si>
  <si>
    <t xml:space="preserve">write 95th percentile latency is 4.962 </t>
  </si>
  <si>
    <t xml:space="preserve">write 99th percentile latency is 6.239 </t>
  </si>
  <si>
    <t xml:space="preserve">write 99th percentile latency is 5.456 </t>
  </si>
  <si>
    <t xml:space="preserve">write 99th percentile latency is 8.049 </t>
  </si>
  <si>
    <t>thread_id0 send_num_ 300 sum write latency: 1161 avg latency : 3.87</t>
  </si>
  <si>
    <t>thread_id0 send_num_ 300 sum write latency: 1094 avg latency : 3.64667</t>
  </si>
  <si>
    <t>thread_id0 send_num_ 300 sum write latency: 1183 avg latency : 3.94333</t>
  </si>
  <si>
    <t>Send 30000 9842  collision 0</t>
  </si>
  <si>
    <t>Send 30000 9194  collision 0</t>
  </si>
  <si>
    <t>Send 30000 9432  collision 0</t>
  </si>
  <si>
    <t xml:space="preserve">write 90th percentile latency is 4.872 </t>
  </si>
  <si>
    <t xml:space="preserve">write 90th percentile latency is 4.768 </t>
  </si>
  <si>
    <t xml:space="preserve">write 95th percentile latency is 5.005 </t>
  </si>
  <si>
    <t xml:space="preserve">write 95th percentile latency is 4.87 </t>
  </si>
  <si>
    <t xml:space="preserve">write 95th percentile latency is 4.905 </t>
  </si>
  <si>
    <t xml:space="preserve">write 99th percentile latency is 5.451 </t>
  </si>
  <si>
    <t xml:space="preserve">write 99th percentile latency is 5.519 </t>
  </si>
  <si>
    <t xml:space="preserve">write 99th percentile latency is 5.359 </t>
  </si>
  <si>
    <t>thread_id0 send_num_ 300 sum write latency: 1150 avg latency : 3.83333</t>
  </si>
  <si>
    <t>thread_id0 send_num_ 300 sum write latency: 1154 avg latency : 3.84667</t>
  </si>
  <si>
    <t>thread_id0 send_num_ 300 sum write latency: 1165 avg latency : 3.88333</t>
  </si>
  <si>
    <t>Send 30000 9279  collision 0</t>
  </si>
  <si>
    <t>Send 30000 9412  collision 0</t>
  </si>
  <si>
    <t>4579.11 mbps</t>
  </si>
  <si>
    <t xml:space="preserve">write 90th percentile latency is 4.849 </t>
  </si>
  <si>
    <t xml:space="preserve">write 90th percentile latency is 4.731 </t>
  </si>
  <si>
    <t xml:space="preserve">write 90th percentile latency is 4.738 </t>
  </si>
  <si>
    <t xml:space="preserve">write 95th percentile latency is 4.984 </t>
  </si>
  <si>
    <t xml:space="preserve">write 95th percentile latency is 4.922 </t>
  </si>
  <si>
    <t xml:space="preserve">write 95th percentile latency is 4.951 </t>
  </si>
  <si>
    <t xml:space="preserve">write 99th percentile latency is 5.227 </t>
  </si>
  <si>
    <t xml:space="preserve">write 99th percentile latency is 6.2 </t>
  </si>
  <si>
    <t xml:space="preserve">write 99th percentile latency is 5.856 </t>
  </si>
  <si>
    <t>thread_id0 send_num_ 300 sum write latency: 1137 avg latency : 3.79</t>
  </si>
  <si>
    <t>thread_id0 send_num_ 300 sum write latency: 1117 avg latency : 3.72333</t>
  </si>
  <si>
    <t>thread_id0 send_num_ 300 sum write latency: 1110 avg latency : 3.7</t>
  </si>
  <si>
    <t xml:space="preserve">410 write_latency 3339 </t>
  </si>
  <si>
    <t xml:space="preserve">410 write_latency 3403 </t>
  </si>
  <si>
    <t xml:space="preserve">410 write_latency 3249 </t>
  </si>
  <si>
    <t xml:space="preserve">410 write_latency 3196 </t>
  </si>
  <si>
    <t xml:space="preserve">411 write_latency 3210 </t>
  </si>
  <si>
    <t xml:space="preserve">411 write_latency 3346 </t>
  </si>
  <si>
    <t xml:space="preserve">411 write_latency 3445 </t>
  </si>
  <si>
    <t xml:space="preserve">411 write_latency 3459 </t>
  </si>
  <si>
    <t xml:space="preserve">412 write_latency 3412 </t>
  </si>
  <si>
    <t xml:space="preserve">412 write_latency 3495 </t>
  </si>
  <si>
    <t xml:space="preserve">412 write_latency 3493 </t>
  </si>
  <si>
    <t xml:space="preserve">412 write_latency 3150 </t>
  </si>
  <si>
    <t xml:space="preserve">413 write_latency 3216 </t>
  </si>
  <si>
    <t xml:space="preserve">413 write_latency 3447 </t>
  </si>
  <si>
    <t xml:space="preserve">413 write_latency 3256 </t>
  </si>
  <si>
    <t xml:space="preserve">413 write_latency 3008 </t>
  </si>
  <si>
    <t xml:space="preserve">414 write_latency 3455 </t>
  </si>
  <si>
    <t xml:space="preserve">414 write_latency 3431 </t>
  </si>
  <si>
    <t xml:space="preserve">414 write_latency 3345 </t>
  </si>
  <si>
    <t xml:space="preserve">414 write_latency 3415 </t>
  </si>
  <si>
    <t xml:space="preserve">415 write_latency 3159 </t>
  </si>
  <si>
    <t xml:space="preserve">415 write_latency 3511 </t>
  </si>
  <si>
    <t xml:space="preserve">415 write_latency 2930 </t>
  </si>
  <si>
    <t xml:space="preserve">415 write_latency 3072 </t>
  </si>
  <si>
    <t xml:space="preserve">416 write_latency 3369 </t>
  </si>
  <si>
    <t xml:space="preserve">416 write_latency 3769 </t>
  </si>
  <si>
    <t xml:space="preserve">416 write_latency 3602 </t>
  </si>
  <si>
    <t xml:space="preserve">416 write_latency 3567 </t>
  </si>
  <si>
    <t xml:space="preserve">417 write_latency 3443 </t>
  </si>
  <si>
    <t xml:space="preserve">417 write_latency 3451 </t>
  </si>
  <si>
    <t xml:space="preserve">417 write_latency 3407 </t>
  </si>
  <si>
    <t xml:space="preserve">417 write_latency 3583 </t>
  </si>
  <si>
    <t xml:space="preserve">418 write_latency 13781 </t>
  </si>
  <si>
    <t xml:space="preserve">418 write_latency 15870 </t>
  </si>
  <si>
    <t xml:space="preserve">418 write_latency 9351 </t>
  </si>
  <si>
    <t xml:space="preserve">418 write_latency 7558 </t>
  </si>
  <si>
    <t xml:space="preserve">419 write_latency 14513 </t>
  </si>
  <si>
    <t xml:space="preserve">419 write_latency 8787 </t>
  </si>
  <si>
    <t xml:space="preserve">419 write_latency 8782 </t>
  </si>
  <si>
    <t xml:space="preserve">419 write_latency 7677 </t>
  </si>
  <si>
    <t xml:space="preserve">420 write_latency 3644 </t>
  </si>
  <si>
    <t xml:space="preserve">420 write_latency 3368 </t>
  </si>
  <si>
    <t xml:space="preserve">420 write_latency 3474 </t>
  </si>
  <si>
    <t xml:space="preserve">420 write_latency 3325 </t>
  </si>
  <si>
    <t xml:space="preserve">421 write_latency 3583 </t>
  </si>
  <si>
    <t xml:space="preserve">421 write_latency 9597 </t>
  </si>
  <si>
    <t xml:space="preserve">421 write_latency 3045 </t>
  </si>
  <si>
    <t xml:space="preserve">421 write_latency 3248 </t>
  </si>
  <si>
    <t xml:space="preserve">422 write_latency 3740 </t>
  </si>
  <si>
    <t xml:space="preserve">422 write_latency 3197 </t>
  </si>
  <si>
    <t xml:space="preserve">422 write_latency 4346 </t>
  </si>
  <si>
    <t xml:space="preserve">422 write_latency 3502 </t>
  </si>
  <si>
    <t xml:space="preserve">423 write_latency 3180 </t>
  </si>
  <si>
    <t xml:space="preserve">423 write_latency 3217 </t>
  </si>
  <si>
    <t xml:space="preserve">423 write_latency 3489 </t>
  </si>
  <si>
    <t xml:space="preserve">423 write_latency 3140 </t>
  </si>
  <si>
    <t xml:space="preserve">424 write_latency 3393 </t>
  </si>
  <si>
    <t xml:space="preserve">424 write_latency 3779 </t>
  </si>
  <si>
    <t xml:space="preserve">424 write_latency 3140 </t>
  </si>
  <si>
    <t xml:space="preserve">424 write_latency 3776 </t>
  </si>
  <si>
    <t xml:space="preserve">425 write_latency 8941 </t>
  </si>
  <si>
    <t xml:space="preserve">425 write_latency 3417 </t>
  </si>
  <si>
    <t xml:space="preserve">425 write_latency 3634 </t>
  </si>
  <si>
    <t xml:space="preserve">425 write_latency 3409 </t>
  </si>
  <si>
    <t xml:space="preserve">426 write_latency 15626 </t>
  </si>
  <si>
    <t xml:space="preserve">426 write_latency 3093 </t>
  </si>
  <si>
    <t xml:space="preserve">426 write_latency 3621 </t>
  </si>
  <si>
    <t xml:space="preserve">426 write_latency 3378 </t>
  </si>
  <si>
    <t xml:space="preserve">427 write_latency 3376 </t>
  </si>
  <si>
    <t xml:space="preserve">427 write_latency 3728 </t>
  </si>
  <si>
    <t xml:space="preserve">427 write_latency 3366 </t>
  </si>
  <si>
    <t xml:space="preserve">427 write_latency 3285 </t>
  </si>
  <si>
    <t xml:space="preserve">428 write_latency 3436 </t>
  </si>
  <si>
    <t xml:space="preserve">428 write_latency 3464 </t>
  </si>
  <si>
    <t xml:space="preserve">428 write_latency 3175 </t>
  </si>
  <si>
    <t xml:space="preserve">428 write_latency 3409 </t>
  </si>
  <si>
    <t xml:space="preserve">429 write_latency 21088 </t>
  </si>
  <si>
    <t xml:space="preserve">429 write_latency 3217 </t>
  </si>
  <si>
    <t xml:space="preserve">429 write_latency 3370 </t>
  </si>
  <si>
    <t xml:space="preserve">429 write_latency 3270 </t>
  </si>
  <si>
    <t xml:space="preserve">430 write_latency 3390 </t>
  </si>
  <si>
    <t xml:space="preserve">430 write_latency 3395 </t>
  </si>
  <si>
    <t xml:space="preserve">430 write_latency 3184 </t>
  </si>
  <si>
    <t xml:space="preserve">430 write_latency 3264 </t>
  </si>
  <si>
    <t xml:space="preserve">431 write_latency 3323 </t>
  </si>
  <si>
    <t xml:space="preserve">431 write_latency 3124 </t>
  </si>
  <si>
    <t xml:space="preserve">431 write_latency 3280 </t>
  </si>
  <si>
    <t xml:space="preserve">431 write_latency 10711 </t>
  </si>
  <si>
    <t xml:space="preserve">432 write_latency 3393 </t>
  </si>
  <si>
    <t xml:space="preserve">432 write_latency 3352 </t>
  </si>
  <si>
    <t xml:space="preserve">432 write_latency 3382 </t>
  </si>
  <si>
    <t xml:space="preserve">432 write_latency 3515 </t>
  </si>
  <si>
    <t xml:space="preserve">433 write_latency 7279 </t>
  </si>
  <si>
    <t xml:space="preserve">433 write_latency 19232 </t>
  </si>
  <si>
    <t xml:space="preserve">433 write_latency 3275 </t>
  </si>
  <si>
    <t xml:space="preserve">433 write_latency 3131 </t>
  </si>
  <si>
    <t xml:space="preserve">434 write_latency 3868 </t>
  </si>
  <si>
    <t xml:space="preserve">434 write_latency 4717 </t>
  </si>
  <si>
    <t xml:space="preserve">434 write_latency 3314 </t>
  </si>
  <si>
    <t xml:space="preserve">434 write_latency 3488 </t>
  </si>
  <si>
    <t xml:space="preserve">435 write_latency 3480 </t>
  </si>
  <si>
    <t xml:space="preserve">435 write_latency 3351 </t>
  </si>
  <si>
    <t xml:space="preserve">435 write_latency 3613 </t>
  </si>
  <si>
    <t xml:space="preserve">435 write_latency 3286 </t>
  </si>
  <si>
    <t xml:space="preserve">436 write_latency 3289 </t>
  </si>
  <si>
    <t xml:space="preserve">436 write_latency 3101 </t>
  </si>
  <si>
    <t xml:space="preserve">436 write_latency 11204 </t>
  </si>
  <si>
    <t xml:space="preserve">436 write_latency 3489 </t>
  </si>
  <si>
    <t xml:space="preserve">437 write_latency 3391 </t>
  </si>
  <si>
    <t xml:space="preserve">437 write_latency 3493 </t>
  </si>
  <si>
    <t xml:space="preserve">437 write_latency 3500 </t>
  </si>
  <si>
    <t xml:space="preserve">437 write_latency 3373 </t>
  </si>
  <si>
    <t xml:space="preserve">438 write_latency 3369 </t>
  </si>
  <si>
    <t xml:space="preserve">438 write_latency 3556 </t>
  </si>
  <si>
    <t xml:space="preserve">438 write_latency 3375 </t>
  </si>
  <si>
    <t xml:space="preserve">438 write_latency 3382 </t>
  </si>
  <si>
    <t xml:space="preserve">439 write_latency 3177 </t>
  </si>
  <si>
    <t xml:space="preserve">439 write_latency 3889 </t>
  </si>
  <si>
    <t xml:space="preserve">439 write_latency 3066 </t>
  </si>
  <si>
    <t xml:space="preserve">439 write_latency 3413 </t>
  </si>
  <si>
    <t xml:space="preserve">440 write_latency 3764 </t>
  </si>
  <si>
    <t xml:space="preserve">440 write_latency 3564 </t>
  </si>
  <si>
    <t xml:space="preserve">440 write_latency 3674 </t>
  </si>
  <si>
    <t xml:space="preserve">440 write_latency 3340 </t>
  </si>
  <si>
    <t xml:space="preserve">441 write_latency 4076 </t>
  </si>
  <si>
    <t xml:space="preserve">441 write_latency 3362 </t>
  </si>
  <si>
    <t xml:space="preserve">441 write_latency 3231 </t>
  </si>
  <si>
    <t xml:space="preserve">441 write_latency 3434 </t>
  </si>
  <si>
    <t xml:space="preserve">442 write_latency 18971 </t>
  </si>
  <si>
    <t xml:space="preserve">442 write_latency 17610 </t>
  </si>
  <si>
    <t xml:space="preserve">442 write_latency 13465 </t>
  </si>
  <si>
    <t xml:space="preserve">442 write_latency 3064 </t>
  </si>
  <si>
    <t xml:space="preserve">443 write_latency 4015 </t>
  </si>
  <si>
    <t xml:space="preserve">443 write_latency 3158 </t>
  </si>
  <si>
    <t xml:space="preserve">443 write_latency 12568 </t>
  </si>
  <si>
    <t xml:space="preserve">443 write_latency 3557 </t>
  </si>
  <si>
    <t xml:space="preserve">444 write_latency 3451 </t>
  </si>
  <si>
    <t xml:space="preserve">444 write_latency 3444 </t>
  </si>
  <si>
    <t xml:space="preserve">444 write_latency 4347 </t>
  </si>
  <si>
    <t xml:space="preserve">444 write_latency 3676 </t>
  </si>
  <si>
    <t xml:space="preserve">445 write_latency 3436 </t>
  </si>
  <si>
    <t xml:space="preserve">445 write_latency 3367 </t>
  </si>
  <si>
    <t xml:space="preserve">445 write_latency 3410 </t>
  </si>
  <si>
    <t xml:space="preserve">445 write_latency 4102 </t>
  </si>
  <si>
    <t xml:space="preserve">446 write_latency 3657 </t>
  </si>
  <si>
    <t xml:space="preserve">446 write_latency 3446 </t>
  </si>
  <si>
    <t xml:space="preserve">446 write_latency 3246 </t>
  </si>
  <si>
    <t xml:space="preserve">447 write_latency 3441 </t>
  </si>
  <si>
    <t xml:space="preserve">447 write_latency 3731 </t>
  </si>
  <si>
    <t xml:space="preserve">447 write_latency 3450 </t>
  </si>
  <si>
    <t xml:space="preserve">447 write_latency 3418 </t>
  </si>
  <si>
    <t xml:space="preserve">448 write_latency 3150 </t>
  </si>
  <si>
    <t xml:space="preserve">448 write_latency 3350 </t>
  </si>
  <si>
    <t xml:space="preserve">448 write_latency 3089 </t>
  </si>
  <si>
    <t xml:space="preserve">448 write_latency 3455 </t>
  </si>
  <si>
    <t xml:space="preserve">449 write_latency 3490 </t>
  </si>
  <si>
    <t xml:space="preserve">449 write_latency 4181 </t>
  </si>
  <si>
    <t xml:space="preserve">449 write_latency 3428 </t>
  </si>
  <si>
    <t xml:space="preserve">449 write_latency 3373 </t>
  </si>
  <si>
    <t xml:space="preserve">450 write_latency 3271 </t>
  </si>
  <si>
    <t xml:space="preserve">450 write_latency 4673 </t>
  </si>
  <si>
    <t xml:space="preserve">450 write_latency 3171 </t>
  </si>
  <si>
    <t xml:space="preserve">450 write_latency 3152 </t>
  </si>
  <si>
    <t xml:space="preserve">451 write_latency 3351 </t>
  </si>
  <si>
    <t xml:space="preserve">451 write_latency 3402 </t>
  </si>
  <si>
    <t xml:space="preserve">451 write_latency 3597 </t>
  </si>
  <si>
    <t xml:space="preserve">451 write_latency 3336 </t>
  </si>
  <si>
    <t xml:space="preserve">452 write_latency 3479 </t>
  </si>
  <si>
    <t xml:space="preserve">452 write_latency 3332 </t>
  </si>
  <si>
    <t xml:space="preserve">452 write_latency 3255 </t>
  </si>
  <si>
    <t xml:space="preserve">452 write_latency 3224 </t>
  </si>
  <si>
    <t xml:space="preserve">453 write_latency 3457 </t>
  </si>
  <si>
    <t xml:space="preserve">453 write_latency 3255 </t>
  </si>
  <si>
    <t xml:space="preserve">453 write_latency 3810 </t>
  </si>
  <si>
    <t xml:space="preserve">453 write_latency 3495 </t>
  </si>
  <si>
    <t xml:space="preserve">454 write_latency 3244 </t>
  </si>
  <si>
    <t xml:space="preserve">454 write_latency 3461 </t>
  </si>
  <si>
    <t xml:space="preserve">454 write_latency 2926 </t>
  </si>
  <si>
    <t xml:space="preserve">454 write_latency 3678 </t>
  </si>
  <si>
    <t xml:space="preserve">455 write_latency 3413 </t>
  </si>
  <si>
    <t xml:space="preserve">455 write_latency 3510 </t>
  </si>
  <si>
    <t xml:space="preserve">455 write_latency 3238 </t>
  </si>
  <si>
    <t xml:space="preserve">455 write_latency 3319 </t>
  </si>
  <si>
    <t xml:space="preserve">456 write_latency 33923 </t>
  </si>
  <si>
    <t xml:space="preserve">456 write_latency 3260 </t>
  </si>
  <si>
    <t xml:space="preserve">456 write_latency 2870 </t>
  </si>
  <si>
    <t xml:space="preserve">456 write_latency 3460 </t>
  </si>
  <si>
    <t xml:space="preserve">457 write_latency 3388 </t>
  </si>
  <si>
    <t xml:space="preserve">457 write_latency 3877 </t>
  </si>
  <si>
    <t xml:space="preserve">457 write_latency 3284 </t>
  </si>
  <si>
    <t xml:space="preserve">457 write_latency 3644 </t>
  </si>
  <si>
    <t xml:space="preserve">458 write_latency 3348 </t>
  </si>
  <si>
    <t xml:space="preserve">458 write_latency 3200 </t>
  </si>
  <si>
    <t xml:space="preserve">458 write_latency 3830 </t>
  </si>
  <si>
    <t xml:space="preserve">458 write_latency 3389 </t>
  </si>
  <si>
    <t xml:space="preserve">459 write_latency 3360 </t>
  </si>
  <si>
    <t xml:space="preserve">459 write_latency 3914 </t>
  </si>
  <si>
    <t xml:space="preserve">459 write_latency 3798 </t>
  </si>
  <si>
    <t xml:space="preserve">459 write_latency 3592 </t>
  </si>
  <si>
    <t xml:space="preserve">460 write_latency 3860 </t>
  </si>
  <si>
    <t xml:space="preserve">460 write_latency 3340 </t>
  </si>
  <si>
    <t xml:space="preserve">460 write_latency 3487 </t>
  </si>
  <si>
    <t xml:space="preserve">460 write_latency 3325 </t>
  </si>
  <si>
    <t xml:space="preserve">461 write_latency 3374 </t>
  </si>
  <si>
    <t xml:space="preserve">461 write_latency 3247 </t>
  </si>
  <si>
    <t xml:space="preserve">461 write_latency 7704 </t>
  </si>
  <si>
    <t xml:space="preserve">461 write_latency 3920 </t>
  </si>
  <si>
    <t xml:space="preserve">462 write_latency 3200 </t>
  </si>
  <si>
    <t xml:space="preserve">462 write_latency 3471 </t>
  </si>
  <si>
    <t xml:space="preserve">462 write_latency 3052 </t>
  </si>
  <si>
    <t xml:space="preserve">462 write_latency 3800 </t>
  </si>
  <si>
    <t xml:space="preserve">463 write_latency 3089 </t>
  </si>
  <si>
    <t xml:space="preserve">463 write_latency 3815 </t>
  </si>
  <si>
    <t xml:space="preserve">463 write_latency 3253 </t>
  </si>
  <si>
    <t xml:space="preserve">463 write_latency 3227 </t>
  </si>
  <si>
    <t xml:space="preserve">464 write_latency 15608 </t>
  </si>
  <si>
    <t xml:space="preserve">464 write_latency 3411 </t>
  </si>
  <si>
    <t xml:space="preserve">464 write_latency 3349 </t>
  </si>
  <si>
    <t xml:space="preserve">464 write_latency 3520 </t>
  </si>
  <si>
    <t xml:space="preserve">465 write_latency 3517 </t>
  </si>
  <si>
    <t xml:space="preserve">465 write_latency 3357 </t>
  </si>
  <si>
    <t xml:space="preserve">465 write_latency 3368 </t>
  </si>
  <si>
    <t xml:space="preserve">465 write_latency 3454 </t>
  </si>
  <si>
    <t xml:space="preserve">466 write_latency 3082 </t>
  </si>
  <si>
    <t xml:space="preserve">466 write_latency 3819 </t>
  </si>
  <si>
    <t xml:space="preserve">466 write_latency 3814 </t>
  </si>
  <si>
    <t xml:space="preserve">466 write_latency 3641 </t>
  </si>
  <si>
    <t xml:space="preserve">467 write_latency 3084 </t>
  </si>
  <si>
    <t xml:space="preserve">467 write_latency 3503 </t>
  </si>
  <si>
    <t xml:space="preserve">467 write_latency 3499 </t>
  </si>
  <si>
    <t xml:space="preserve">467 write_latency 3163 </t>
  </si>
  <si>
    <t xml:space="preserve">468 write_latency 3415 </t>
  </si>
  <si>
    <t xml:space="preserve">468 write_latency 3355 </t>
  </si>
  <si>
    <t xml:space="preserve">468 write_latency 3402 </t>
  </si>
  <si>
    <t xml:space="preserve">468 write_latency 3505 </t>
  </si>
  <si>
    <t xml:space="preserve">469 write_latency 3457 </t>
  </si>
  <si>
    <t xml:space="preserve">469 write_latency 3131 </t>
  </si>
  <si>
    <t xml:space="preserve">469 write_latency 3782 </t>
  </si>
  <si>
    <t xml:space="preserve">469 write_latency 3658 </t>
  </si>
  <si>
    <t xml:space="preserve">470 write_latency 3386 </t>
  </si>
  <si>
    <t xml:space="preserve">470 write_latency 3647 </t>
  </si>
  <si>
    <t xml:space="preserve">470 write_latency 3293 </t>
  </si>
  <si>
    <t xml:space="preserve">470 write_latency 4034 </t>
  </si>
  <si>
    <t xml:space="preserve">471 write_latency 21091 </t>
  </si>
  <si>
    <t xml:space="preserve">471 write_latency 3227 </t>
  </si>
  <si>
    <t xml:space="preserve">471 write_latency 2938 </t>
  </si>
  <si>
    <t xml:space="preserve">471 write_latency 3408 </t>
  </si>
  <si>
    <t xml:space="preserve">472 write_latency 3524 </t>
  </si>
  <si>
    <t xml:space="preserve">472 write_latency 3792 </t>
  </si>
  <si>
    <t xml:space="preserve">472 write_latency 3466 </t>
  </si>
  <si>
    <t xml:space="preserve">472 write_latency 3371 </t>
  </si>
  <si>
    <t xml:space="preserve">473 write_latency 15429 </t>
  </si>
  <si>
    <t xml:space="preserve">473 write_latency 12658 </t>
  </si>
  <si>
    <t xml:space="preserve">473 write_latency 3530 </t>
  </si>
  <si>
    <t xml:space="preserve">473 write_latency 3807 </t>
  </si>
  <si>
    <t xml:space="preserve">474 write_latency 3518 </t>
  </si>
  <si>
    <t xml:space="preserve">474 write_latency 3395 </t>
  </si>
  <si>
    <t xml:space="preserve">474 write_latency 3287 </t>
  </si>
  <si>
    <t xml:space="preserve">474 write_latency 4122 </t>
  </si>
  <si>
    <t xml:space="preserve">475 write_latency 25610 </t>
  </si>
  <si>
    <t xml:space="preserve">475 write_latency 3186 </t>
  </si>
  <si>
    <t xml:space="preserve">475 write_latency 3376 </t>
  </si>
  <si>
    <t xml:space="preserve">475 write_latency 3326 </t>
  </si>
  <si>
    <t xml:space="preserve">476 write_latency 3697 </t>
  </si>
  <si>
    <t xml:space="preserve">476 write_latency 3139 </t>
  </si>
  <si>
    <t xml:space="preserve">476 write_latency 3550 </t>
  </si>
  <si>
    <t xml:space="preserve">476 write_latency 3275 </t>
  </si>
  <si>
    <t xml:space="preserve">477 write_latency 3388 </t>
  </si>
  <si>
    <t xml:space="preserve">477 write_latency 3223 </t>
  </si>
  <si>
    <t xml:space="preserve">477 write_latency 3501 </t>
  </si>
  <si>
    <t xml:space="preserve">477 write_latency 3497 </t>
  </si>
  <si>
    <t xml:space="preserve">478 write_latency 25539 </t>
  </si>
  <si>
    <t xml:space="preserve">478 write_latency 3877 </t>
  </si>
  <si>
    <t xml:space="preserve">478 write_latency 3132 </t>
  </si>
  <si>
    <t xml:space="preserve">478 write_latency 3189 </t>
  </si>
  <si>
    <t xml:space="preserve">479 write_latency 3395 </t>
  </si>
  <si>
    <t xml:space="preserve">479 write_latency 3441 </t>
  </si>
  <si>
    <t xml:space="preserve">479 write_latency 3351 </t>
  </si>
  <si>
    <t xml:space="preserve">479 write_latency 3634 </t>
  </si>
  <si>
    <t xml:space="preserve">480 write_latency 3456 </t>
  </si>
  <si>
    <t xml:space="preserve">480 write_latency 3595 </t>
  </si>
  <si>
    <t xml:space="preserve">480 write_latency 3408 </t>
  </si>
  <si>
    <t xml:space="preserve">480 write_latency 3484 </t>
  </si>
  <si>
    <t xml:space="preserve">481 write_latency 25392 </t>
  </si>
  <si>
    <t xml:space="preserve">481 write_latency 9323 </t>
  </si>
  <si>
    <t xml:space="preserve">481 write_latency 8138 </t>
  </si>
  <si>
    <t xml:space="preserve">481 write_latency 3434 </t>
  </si>
  <si>
    <t xml:space="preserve">482 write_latency 3340 </t>
  </si>
  <si>
    <t xml:space="preserve">482 write_latency 3487 </t>
  </si>
  <si>
    <t xml:space="preserve">482 write_latency 3346 </t>
  </si>
  <si>
    <t xml:space="preserve">482 write_latency 4018 </t>
  </si>
  <si>
    <t xml:space="preserve">483 write_latency 3145 </t>
  </si>
  <si>
    <t xml:space="preserve">483 write_latency 3512 </t>
  </si>
  <si>
    <t xml:space="preserve">483 write_latency 3613 </t>
  </si>
  <si>
    <t xml:space="preserve">483 write_latency 3460 </t>
  </si>
  <si>
    <t xml:space="preserve">484 write_latency 3339 </t>
  </si>
  <si>
    <t xml:space="preserve">484 write_latency 3096 </t>
  </si>
  <si>
    <t xml:space="preserve">484 write_latency 3239 </t>
  </si>
  <si>
    <t xml:space="preserve">484 write_latency 3359 </t>
  </si>
  <si>
    <t xml:space="preserve">485 write_latency 4254 </t>
  </si>
  <si>
    <t xml:space="preserve">485 write_latency 4030 </t>
  </si>
  <si>
    <t xml:space="preserve">485 write_latency 3307 </t>
  </si>
  <si>
    <t xml:space="preserve">485 write_latency 3446 </t>
  </si>
  <si>
    <t xml:space="preserve">486 write_latency 3451 </t>
  </si>
  <si>
    <t xml:space="preserve">486 write_latency 3319 </t>
  </si>
  <si>
    <t xml:space="preserve">486 write_latency 3296 </t>
  </si>
  <si>
    <t xml:space="preserve">486 write_latency 3336 </t>
  </si>
  <si>
    <t xml:space="preserve">487 write_latency 19323 </t>
  </si>
  <si>
    <t xml:space="preserve">487 write_latency 14425 </t>
  </si>
  <si>
    <t xml:space="preserve">487 write_latency 3577 </t>
  </si>
  <si>
    <t xml:space="preserve">487 write_latency 3441 </t>
  </si>
  <si>
    <t xml:space="preserve">488 write_latency 3488 </t>
  </si>
  <si>
    <t xml:space="preserve">488 write_latency 3115 </t>
  </si>
  <si>
    <t xml:space="preserve">488 write_latency 3388 </t>
  </si>
  <si>
    <t xml:space="preserve">488 write_latency 3435 </t>
  </si>
  <si>
    <t xml:space="preserve">489 write_latency 3425 </t>
  </si>
  <si>
    <t xml:space="preserve">489 write_latency 3506 </t>
  </si>
  <si>
    <t xml:space="preserve">489 write_latency 3273 </t>
  </si>
  <si>
    <t xml:space="preserve">489 write_latency 3680 </t>
  </si>
  <si>
    <t xml:space="preserve">490 write_latency 3508 </t>
  </si>
  <si>
    <t xml:space="preserve">490 write_latency 3498 </t>
  </si>
  <si>
    <t xml:space="preserve">490 write_latency 2974 </t>
  </si>
  <si>
    <t xml:space="preserve">490 write_latency 3302 </t>
  </si>
  <si>
    <t xml:space="preserve">491 write_latency 3046 </t>
  </si>
  <si>
    <t xml:space="preserve">491 write_latency 3257 </t>
  </si>
  <si>
    <t xml:space="preserve">491 write_latency 3164 </t>
  </si>
  <si>
    <t xml:space="preserve">491 write_latency 3291 </t>
  </si>
  <si>
    <t xml:space="preserve">492 write_latency 16771 </t>
  </si>
  <si>
    <t xml:space="preserve">492 write_latency 3418 </t>
  </si>
  <si>
    <t xml:space="preserve">492 write_latency 3521 </t>
  </si>
  <si>
    <t xml:space="preserve">492 write_latency 3115 </t>
  </si>
  <si>
    <t xml:space="preserve">493 write_latency 3168 </t>
  </si>
  <si>
    <t xml:space="preserve">493 write_latency 4552 </t>
  </si>
  <si>
    <t xml:space="preserve">493 write_latency 3091 </t>
  </si>
  <si>
    <t xml:space="preserve">493 write_latency 3291 </t>
  </si>
  <si>
    <t xml:space="preserve">494 write_latency 3274 </t>
  </si>
  <si>
    <t xml:space="preserve">494 write_latency 3687 </t>
  </si>
  <si>
    <t xml:space="preserve">494 write_latency 3260 </t>
  </si>
  <si>
    <t xml:space="preserve">494 write_latency 3384 </t>
  </si>
  <si>
    <t xml:space="preserve">495 write_latency 3212 </t>
  </si>
  <si>
    <t xml:space="preserve">495 write_latency 3183 </t>
  </si>
  <si>
    <t xml:space="preserve">495 write_latency 3312 </t>
  </si>
  <si>
    <t xml:space="preserve">495 write_latency 3163 </t>
  </si>
  <si>
    <t xml:space="preserve">496 write_latency 3433 </t>
  </si>
  <si>
    <t xml:space="preserve">496 write_latency 3370 </t>
  </si>
  <si>
    <t xml:space="preserve">496 write_latency 3181 </t>
  </si>
  <si>
    <t xml:space="preserve">496 write_latency 3295 </t>
  </si>
  <si>
    <t xml:space="preserve">497 write_latency 3589 </t>
  </si>
  <si>
    <t xml:space="preserve">497 write_latency 3799 </t>
  </si>
  <si>
    <t xml:space="preserve">497 write_latency 3282 </t>
  </si>
  <si>
    <t xml:space="preserve">497 write_latency 3457 </t>
  </si>
  <si>
    <t xml:space="preserve">498 write_latency 3109 </t>
  </si>
  <si>
    <t xml:space="preserve">498 write_latency 3337 </t>
  </si>
  <si>
    <t xml:space="preserve">498 write_latency 3336 </t>
  </si>
  <si>
    <t xml:space="preserve">498 write_latency 3471 </t>
  </si>
  <si>
    <t xml:space="preserve">499 write_latency 3183 </t>
  </si>
  <si>
    <t xml:space="preserve">499 write_latency 3698 </t>
  </si>
  <si>
    <t xml:space="preserve">499 write_latency 3246 </t>
  </si>
  <si>
    <t xml:space="preserve">499 write_latency 3663 </t>
  </si>
  <si>
    <t xml:space="preserve">500 write_latency 3108 </t>
  </si>
  <si>
    <t xml:space="preserve">500 write_latency 3587 </t>
  </si>
  <si>
    <t xml:space="preserve">500 write_latency 3365 </t>
  </si>
  <si>
    <t xml:space="preserve">500 write_latency 3459 </t>
  </si>
  <si>
    <t xml:space="preserve">501 write_latency 3852 </t>
  </si>
  <si>
    <t xml:space="preserve">501 write_latency 3655 </t>
  </si>
  <si>
    <t xml:space="preserve">501 write_latency 3331 </t>
  </si>
  <si>
    <t xml:space="preserve">501 write_latency 3448 </t>
  </si>
  <si>
    <t xml:space="preserve">502 write_latency 3785 </t>
  </si>
  <si>
    <t xml:space="preserve">502 write_latency 3868 </t>
  </si>
  <si>
    <t xml:space="preserve">502 write_latency 3407 </t>
  </si>
  <si>
    <t xml:space="preserve">502 write_latency 3314 </t>
  </si>
  <si>
    <t xml:space="preserve">503 write_latency 16399 </t>
  </si>
  <si>
    <t xml:space="preserve">503 write_latency 12339 </t>
  </si>
  <si>
    <t xml:space="preserve">503 write_latency 8284 </t>
  </si>
  <si>
    <t xml:space="preserve">503 write_latency 3482 </t>
  </si>
  <si>
    <t xml:space="preserve">504 write_latency 3435 </t>
  </si>
  <si>
    <t xml:space="preserve">504 write_latency 4283 </t>
  </si>
  <si>
    <t xml:space="preserve">504 write_latency 3348 </t>
  </si>
  <si>
    <t xml:space="preserve">505 write_latency 15620 </t>
  </si>
  <si>
    <t xml:space="preserve">505 write_latency 3338 </t>
  </si>
  <si>
    <t xml:space="preserve">505 write_latency 3533 </t>
  </si>
  <si>
    <t xml:space="preserve">505 write_latency 3685 </t>
  </si>
  <si>
    <t xml:space="preserve">506 write_latency 3316 </t>
  </si>
  <si>
    <t xml:space="preserve">506 write_latency 3510 </t>
  </si>
  <si>
    <t xml:space="preserve">506 write_latency 3537 </t>
  </si>
  <si>
    <t xml:space="preserve">506 write_latency 3414 </t>
  </si>
  <si>
    <t xml:space="preserve">507 write_latency 3221 </t>
  </si>
  <si>
    <t xml:space="preserve">507 write_latency 3303 </t>
  </si>
  <si>
    <t xml:space="preserve">507 write_latency 3296 </t>
  </si>
  <si>
    <t xml:space="preserve">507 write_latency 3478 </t>
  </si>
  <si>
    <t xml:space="preserve">508 write_latency 3257 </t>
  </si>
  <si>
    <t xml:space="preserve">508 write_latency 3320 </t>
  </si>
  <si>
    <t xml:space="preserve">508 write_latency 3003 </t>
  </si>
  <si>
    <t xml:space="preserve">508 write_latency 3580 </t>
  </si>
  <si>
    <t xml:space="preserve">509 write_latency 3440 </t>
  </si>
  <si>
    <t xml:space="preserve">509 write_latency 3351 </t>
  </si>
  <si>
    <t xml:space="preserve">509 write_latency 3259 </t>
  </si>
  <si>
    <t xml:space="preserve">509 write_latency 3626 </t>
  </si>
  <si>
    <t xml:space="preserve">510 write_latency 3501 </t>
  </si>
  <si>
    <t xml:space="preserve">510 write_latency 3491 </t>
  </si>
  <si>
    <t xml:space="preserve">510 write_latency 16930 </t>
  </si>
  <si>
    <t xml:space="preserve">510 write_latency 3204 </t>
  </si>
  <si>
    <t xml:space="preserve">511 write_latency 25296 </t>
  </si>
  <si>
    <t xml:space="preserve">511 write_latency 16523 </t>
  </si>
  <si>
    <t xml:space="preserve">511 write_latency 21029 </t>
  </si>
  <si>
    <t xml:space="preserve">511 write_latency 25589 </t>
  </si>
  <si>
    <t xml:space="preserve">512 write_latency 3259 </t>
  </si>
  <si>
    <t xml:space="preserve">512 write_latency 3797 </t>
  </si>
  <si>
    <t xml:space="preserve">512 write_latency 3298 </t>
  </si>
  <si>
    <t xml:space="preserve">512 write_latency 3391 </t>
  </si>
  <si>
    <t xml:space="preserve">513 write_latency 4085 </t>
  </si>
  <si>
    <t xml:space="preserve">513 write_latency 3510 </t>
  </si>
  <si>
    <t xml:space="preserve">513 write_latency 3571 </t>
  </si>
  <si>
    <t xml:space="preserve">513 write_latency 3330 </t>
  </si>
  <si>
    <t xml:space="preserve">514 write_latency 3130 </t>
  </si>
  <si>
    <t xml:space="preserve">514 write_latency 3555 </t>
  </si>
  <si>
    <t xml:space="preserve">514 write_latency 3191 </t>
  </si>
  <si>
    <t xml:space="preserve">514 write_latency 3339 </t>
  </si>
  <si>
    <t xml:space="preserve">515 write_latency 3598 </t>
  </si>
  <si>
    <t xml:space="preserve">515 write_latency 3291 </t>
  </si>
  <si>
    <t xml:space="preserve">515 write_latency 2849 </t>
  </si>
  <si>
    <t xml:space="preserve">515 write_latency 3355 </t>
  </si>
  <si>
    <t xml:space="preserve">516 write_latency 3303 </t>
  </si>
  <si>
    <t xml:space="preserve">516 write_latency 3396 </t>
  </si>
  <si>
    <t xml:space="preserve">516 write_latency 3784 </t>
  </si>
  <si>
    <t xml:space="preserve">516 write_latency 3109 </t>
  </si>
  <si>
    <t xml:space="preserve">517 write_latency 3179 </t>
  </si>
  <si>
    <t xml:space="preserve">517 write_latency 3611 </t>
  </si>
  <si>
    <t xml:space="preserve">517 write_latency 5149 </t>
  </si>
  <si>
    <t xml:space="preserve">517 write_latency 3958 </t>
  </si>
  <si>
    <t xml:space="preserve">518 write_latency 3434 </t>
  </si>
  <si>
    <t xml:space="preserve">518 write_latency 3150 </t>
  </si>
  <si>
    <t xml:space="preserve">518 write_latency 3536 </t>
  </si>
  <si>
    <t xml:space="preserve">518 write_latency 3354 </t>
  </si>
  <si>
    <t xml:space="preserve">519 write_latency 14950 </t>
  </si>
  <si>
    <t xml:space="preserve">519 write_latency 8632 </t>
  </si>
  <si>
    <t xml:space="preserve">519 write_latency 3772 </t>
  </si>
  <si>
    <t xml:space="preserve">519 write_latency 3410 </t>
  </si>
  <si>
    <t xml:space="preserve">520 write_latency 3749 </t>
  </si>
  <si>
    <t xml:space="preserve">520 write_latency 3362 </t>
  </si>
  <si>
    <t xml:space="preserve">520 write_latency 3151 </t>
  </si>
  <si>
    <t xml:space="preserve">520 write_latency 3480 </t>
  </si>
  <si>
    <t xml:space="preserve">521 write_latency 3457 </t>
  </si>
  <si>
    <t xml:space="preserve">521 write_latency 3107 </t>
  </si>
  <si>
    <t xml:space="preserve">521 write_latency 3247 </t>
  </si>
  <si>
    <t xml:space="preserve">521 write_latency 3336 </t>
  </si>
  <si>
    <t xml:space="preserve">522 write_latency 3654 </t>
  </si>
  <si>
    <t xml:space="preserve">522 write_latency 3514 </t>
  </si>
  <si>
    <t xml:space="preserve">522 write_latency 4263 </t>
  </si>
  <si>
    <t xml:space="preserve">522 write_latency 3361 </t>
  </si>
  <si>
    <t xml:space="preserve">523 write_latency 3329 </t>
  </si>
  <si>
    <t xml:space="preserve">523 write_latency 3232 </t>
  </si>
  <si>
    <t xml:space="preserve">523 write_latency 3271 </t>
  </si>
  <si>
    <t xml:space="preserve">523 write_latency 3350 </t>
  </si>
  <si>
    <t xml:space="preserve">524 write_latency 23514 </t>
  </si>
  <si>
    <t xml:space="preserve">524 write_latency 3339 </t>
  </si>
  <si>
    <t xml:space="preserve">524 write_latency 3353 </t>
  </si>
  <si>
    <t xml:space="preserve">524 write_latency 3686 </t>
  </si>
  <si>
    <t xml:space="preserve">525 write_latency 3655 </t>
  </si>
  <si>
    <t xml:space="preserve">525 write_latency 3427 </t>
  </si>
  <si>
    <t xml:space="preserve">525 write_latency 3495 </t>
  </si>
  <si>
    <t xml:space="preserve">525 write_latency 3744 </t>
  </si>
  <si>
    <t xml:space="preserve">526 write_latency 3547 </t>
  </si>
  <si>
    <t xml:space="preserve">526 write_latency 3287 </t>
  </si>
  <si>
    <t xml:space="preserve">526 write_latency 2941 </t>
  </si>
  <si>
    <t xml:space="preserve">526 write_latency 3329 </t>
  </si>
  <si>
    <t xml:space="preserve">527 write_latency 3420 </t>
  </si>
  <si>
    <t xml:space="preserve">527 write_latency 3287 </t>
  </si>
  <si>
    <t xml:space="preserve">527 write_latency 3427 </t>
  </si>
  <si>
    <t xml:space="preserve">527 write_latency 3595 </t>
  </si>
  <si>
    <t xml:space="preserve">528 write_latency 3507 </t>
  </si>
  <si>
    <t xml:space="preserve">528 write_latency 3394 </t>
  </si>
  <si>
    <t xml:space="preserve">528 write_latency 3294 </t>
  </si>
  <si>
    <t xml:space="preserve">528 write_latency 3467 </t>
  </si>
  <si>
    <t xml:space="preserve">529 write_latency 3230 </t>
  </si>
  <si>
    <t xml:space="preserve">529 write_latency 4030 </t>
  </si>
  <si>
    <t xml:space="preserve">529 write_latency 3351 </t>
  </si>
  <si>
    <t xml:space="preserve">529 write_latency 3698 </t>
  </si>
  <si>
    <t xml:space="preserve">530 write_latency 3477 </t>
  </si>
  <si>
    <t xml:space="preserve">530 write_latency 3297 </t>
  </si>
  <si>
    <t xml:space="preserve">530 write_latency 3381 </t>
  </si>
  <si>
    <t xml:space="preserve">531 write_latency 3625 </t>
  </si>
  <si>
    <t xml:space="preserve">531 write_latency 3473 </t>
  </si>
  <si>
    <t xml:space="preserve">531 write_latency 23102 </t>
  </si>
  <si>
    <t xml:space="preserve">531 write_latency 3464 </t>
  </si>
  <si>
    <t xml:space="preserve">532 write_latency 3043 </t>
  </si>
  <si>
    <t xml:space="preserve">532 write_latency 3716 </t>
  </si>
  <si>
    <t xml:space="preserve">532 write_latency 3407 </t>
  </si>
  <si>
    <t xml:space="preserve">532 write_latency 3408 </t>
  </si>
  <si>
    <t xml:space="preserve">533 write_latency 3303 </t>
  </si>
  <si>
    <t xml:space="preserve">533 write_latency 3403 </t>
  </si>
  <si>
    <t xml:space="preserve">533 write_latency 3535 </t>
  </si>
  <si>
    <t xml:space="preserve">533 write_latency 3418 </t>
  </si>
  <si>
    <t xml:space="preserve">534 write_latency 3429 </t>
  </si>
  <si>
    <t xml:space="preserve">534 write_latency 3670 </t>
  </si>
  <si>
    <t xml:space="preserve">534 write_latency 3312 </t>
  </si>
  <si>
    <t xml:space="preserve">534 write_latency 3559 </t>
  </si>
  <si>
    <t xml:space="preserve">535 write_latency 3398 </t>
  </si>
  <si>
    <t xml:space="preserve">535 write_latency 3700 </t>
  </si>
  <si>
    <t xml:space="preserve">535 write_latency 3421 </t>
  </si>
  <si>
    <t xml:space="preserve">535 write_latency 3341 </t>
  </si>
  <si>
    <t xml:space="preserve">536 write_latency 3451 </t>
  </si>
  <si>
    <t xml:space="preserve">536 write_latency 4402 </t>
  </si>
  <si>
    <t xml:space="preserve">536 write_latency 8183 </t>
  </si>
  <si>
    <t xml:space="preserve">536 write_latency 3429 </t>
  </si>
  <si>
    <t xml:space="preserve">537 write_latency 3508 </t>
  </si>
  <si>
    <t xml:space="preserve">537 write_latency 3439 </t>
  </si>
  <si>
    <t xml:space="preserve">537 write_latency 3915 </t>
  </si>
  <si>
    <t xml:space="preserve">537 write_latency 3357 </t>
  </si>
  <si>
    <t xml:space="preserve">538 write_latency 3447 </t>
  </si>
  <si>
    <t xml:space="preserve">538 write_latency 3349 </t>
  </si>
  <si>
    <t xml:space="preserve">538 write_latency 3599 </t>
  </si>
  <si>
    <t xml:space="preserve">538 write_latency 3425 </t>
  </si>
  <si>
    <t xml:space="preserve">539 write_latency 3766 </t>
  </si>
  <si>
    <t xml:space="preserve">539 write_latency 3586 </t>
  </si>
  <si>
    <t xml:space="preserve">539 write_latency 3372 </t>
  </si>
  <si>
    <t xml:space="preserve">539 write_latency 3300 </t>
  </si>
  <si>
    <t xml:space="preserve">540 write_latency 3368 </t>
  </si>
  <si>
    <t xml:space="preserve">540 write_latency 3509 </t>
  </si>
  <si>
    <t xml:space="preserve">540 write_latency 3321 </t>
  </si>
  <si>
    <t xml:space="preserve">540 write_latency 3493 </t>
  </si>
  <si>
    <t xml:space="preserve">541 write_latency 3126 </t>
  </si>
  <si>
    <t xml:space="preserve">541 write_latency 3659 </t>
  </si>
  <si>
    <t xml:space="preserve">541 write_latency 3725 </t>
  </si>
  <si>
    <t xml:space="preserve">541 write_latency 3569 </t>
  </si>
  <si>
    <t xml:space="preserve">542 write_latency 3215 </t>
  </si>
  <si>
    <t xml:space="preserve">542 write_latency 3734 </t>
  </si>
  <si>
    <t xml:space="preserve">542 write_latency 3282 </t>
  </si>
  <si>
    <t xml:space="preserve">542 write_latency 3502 </t>
  </si>
  <si>
    <t xml:space="preserve">543 write_latency 3643 </t>
  </si>
  <si>
    <t xml:space="preserve">543 write_latency 3517 </t>
  </si>
  <si>
    <t xml:space="preserve">543 write_latency 3401 </t>
  </si>
  <si>
    <t xml:space="preserve">543 write_latency 3368 </t>
  </si>
  <si>
    <t xml:space="preserve">544 write_latency 3578 </t>
  </si>
  <si>
    <t xml:space="preserve">544 write_latency 3604 </t>
  </si>
  <si>
    <t xml:space="preserve">544 write_latency 3382 </t>
  </si>
  <si>
    <t xml:space="preserve">544 write_latency 3463 </t>
  </si>
  <si>
    <t xml:space="preserve">545 write_latency 8152 </t>
  </si>
  <si>
    <t xml:space="preserve">545 write_latency 3431 </t>
  </si>
  <si>
    <t xml:space="preserve">545 write_latency 4200 </t>
  </si>
  <si>
    <t xml:space="preserve">545 write_latency 3602 </t>
  </si>
  <si>
    <t xml:space="preserve">546 write_latency 3318 </t>
  </si>
  <si>
    <t xml:space="preserve">546 write_latency 3496 </t>
  </si>
  <si>
    <t xml:space="preserve">546 write_latency 3481 </t>
  </si>
  <si>
    <t xml:space="preserve">546 write_latency 3466 </t>
  </si>
  <si>
    <t xml:space="preserve">547 write_latency 3458 </t>
  </si>
  <si>
    <t xml:space="preserve">547 write_latency 3384 </t>
  </si>
  <si>
    <t xml:space="preserve">547 write_latency 3412 </t>
  </si>
  <si>
    <t xml:space="preserve">547 write_latency 3377 </t>
  </si>
  <si>
    <t xml:space="preserve">548 write_latency 3224 </t>
  </si>
  <si>
    <t xml:space="preserve">548 write_latency 3558 </t>
  </si>
  <si>
    <t xml:space="preserve">548 write_latency 3608 </t>
  </si>
  <si>
    <t xml:space="preserve">548 write_latency 3344 </t>
  </si>
  <si>
    <t xml:space="preserve">549 write_latency 21568 </t>
  </si>
  <si>
    <t xml:space="preserve">549 write_latency 3422 </t>
  </si>
  <si>
    <t xml:space="preserve">549 write_latency 3687 </t>
  </si>
  <si>
    <t xml:space="preserve">549 write_latency 3411 </t>
  </si>
  <si>
    <t xml:space="preserve">550 write_latency 3156 </t>
  </si>
  <si>
    <t xml:space="preserve">550 write_latency 3412 </t>
  </si>
  <si>
    <t xml:space="preserve">550 write_latency 3369 </t>
  </si>
  <si>
    <t xml:space="preserve">550 write_latency 3225 </t>
  </si>
  <si>
    <t xml:space="preserve">551 write_latency 3452 </t>
  </si>
  <si>
    <t xml:space="preserve">551 write_latency 3485 </t>
  </si>
  <si>
    <t xml:space="preserve">551 write_latency 3708 </t>
  </si>
  <si>
    <t xml:space="preserve">551 write_latency 3107 </t>
  </si>
  <si>
    <t xml:space="preserve">552 write_latency 3263 </t>
  </si>
  <si>
    <t xml:space="preserve">552 write_latency 3180 </t>
  </si>
  <si>
    <t xml:space="preserve">552 write_latency 16484 </t>
  </si>
  <si>
    <t xml:space="preserve">552 write_latency 3820 </t>
  </si>
  <si>
    <t xml:space="preserve">553 write_latency 3094 </t>
  </si>
  <si>
    <t xml:space="preserve">553 write_latency 3351 </t>
  </si>
  <si>
    <t xml:space="preserve">553 write_latency 4225 </t>
  </si>
  <si>
    <t xml:space="preserve">553 write_latency 3635 </t>
  </si>
  <si>
    <t xml:space="preserve">554 write_latency 3467 </t>
  </si>
  <si>
    <t xml:space="preserve">554 write_latency 3476 </t>
  </si>
  <si>
    <t xml:space="preserve">554 write_latency 3285 </t>
  </si>
  <si>
    <t xml:space="preserve">554 write_latency 3310 </t>
  </si>
  <si>
    <t xml:space="preserve">555 write_latency 3609 </t>
  </si>
  <si>
    <t xml:space="preserve">555 write_latency 4794 </t>
  </si>
  <si>
    <t xml:space="preserve">555 write_latency 3390 </t>
  </si>
  <si>
    <t xml:space="preserve">555 write_latency 3419 </t>
  </si>
  <si>
    <t xml:space="preserve">556 write_latency 3387 </t>
  </si>
  <si>
    <t xml:space="preserve">556 write_latency 3205 </t>
  </si>
  <si>
    <t xml:space="preserve">556 write_latency 3479 </t>
  </si>
  <si>
    <t xml:space="preserve">556 write_latency 3311 </t>
  </si>
  <si>
    <t xml:space="preserve">557 write_latency 3062 </t>
  </si>
  <si>
    <t xml:space="preserve">557 write_latency 3271 </t>
  </si>
  <si>
    <t xml:space="preserve">557 write_latency 3703 </t>
  </si>
  <si>
    <t xml:space="preserve">557 write_latency 3529 </t>
  </si>
  <si>
    <t xml:space="preserve">558 write_latency 3223 </t>
  </si>
  <si>
    <t xml:space="preserve">558 write_latency 3538 </t>
  </si>
  <si>
    <t xml:space="preserve">558 write_latency 3519 </t>
  </si>
  <si>
    <t xml:space="preserve">558 write_latency 3390 </t>
  </si>
  <si>
    <t xml:space="preserve">559 write_latency 3337 </t>
  </si>
  <si>
    <t xml:space="preserve">559 write_latency 3403 </t>
  </si>
  <si>
    <t xml:space="preserve">559 write_latency 3648 </t>
  </si>
  <si>
    <t xml:space="preserve">559 write_latency 3404 </t>
  </si>
  <si>
    <t xml:space="preserve">560 write_latency 3627 </t>
  </si>
  <si>
    <t xml:space="preserve">560 write_latency 3096 </t>
  </si>
  <si>
    <t xml:space="preserve">560 write_latency 3422 </t>
  </si>
  <si>
    <t xml:space="preserve">560 write_latency 3574 </t>
  </si>
  <si>
    <t xml:space="preserve">561 write_latency 3640 </t>
  </si>
  <si>
    <t xml:space="preserve">561 write_latency 3360 </t>
  </si>
  <si>
    <t xml:space="preserve">561 write_latency 3624 </t>
  </si>
  <si>
    <t xml:space="preserve">561 write_latency 3504 </t>
  </si>
  <si>
    <t xml:space="preserve">562 write_latency 3600 </t>
  </si>
  <si>
    <t xml:space="preserve">562 write_latency 3770 </t>
  </si>
  <si>
    <t xml:space="preserve">562 write_latency 3343 </t>
  </si>
  <si>
    <t xml:space="preserve">562 write_latency 3413 </t>
  </si>
  <si>
    <t xml:space="preserve">563 write_latency 3077 </t>
  </si>
  <si>
    <t xml:space="preserve">563 write_latency 3451 </t>
  </si>
  <si>
    <t xml:space="preserve">563 write_latency 3533 </t>
  </si>
  <si>
    <t xml:space="preserve">563 write_latency 3045 </t>
  </si>
  <si>
    <t xml:space="preserve">564 write_latency 3148 </t>
  </si>
  <si>
    <t xml:space="preserve">564 write_latency 3370 </t>
  </si>
  <si>
    <t xml:space="preserve">564 write_latency 3466 </t>
  </si>
  <si>
    <t xml:space="preserve">564 write_latency 3365 </t>
  </si>
  <si>
    <t xml:space="preserve">565 write_latency 3709 </t>
  </si>
  <si>
    <t xml:space="preserve">565 write_latency 3109 </t>
  </si>
  <si>
    <t xml:space="preserve">565 write_latency 3473 </t>
  </si>
  <si>
    <t xml:space="preserve">565 write_latency 3139 </t>
  </si>
  <si>
    <t xml:space="preserve">566 write_latency 3382 </t>
  </si>
  <si>
    <t xml:space="preserve">566 write_latency 3869 </t>
  </si>
  <si>
    <t xml:space="preserve">566 write_latency 3184 </t>
  </si>
  <si>
    <t xml:space="preserve">566 write_latency 3383 </t>
  </si>
  <si>
    <t xml:space="preserve">567 write_latency 3913 </t>
  </si>
  <si>
    <t xml:space="preserve">567 write_latency 3458 </t>
  </si>
  <si>
    <t xml:space="preserve">567 write_latency 3365 </t>
  </si>
  <si>
    <t xml:space="preserve">567 write_latency 3322 </t>
  </si>
  <si>
    <t xml:space="preserve">568 write_latency 29440 </t>
  </si>
  <si>
    <t xml:space="preserve">568 write_latency 13503 </t>
  </si>
  <si>
    <t xml:space="preserve">568 write_latency 12148 </t>
  </si>
  <si>
    <t xml:space="preserve">568 write_latency 3381 </t>
  </si>
  <si>
    <t xml:space="preserve">569 write_latency 3267 </t>
  </si>
  <si>
    <t xml:space="preserve">569 write_latency 3470 </t>
  </si>
  <si>
    <t xml:space="preserve">569 write_latency 3383 </t>
  </si>
  <si>
    <t xml:space="preserve">569 write_latency 3356 </t>
  </si>
  <si>
    <t xml:space="preserve">570 write_latency 3436 </t>
  </si>
  <si>
    <t xml:space="preserve">570 write_latency 3833 </t>
  </si>
  <si>
    <t xml:space="preserve">570 write_latency 3115 </t>
  </si>
  <si>
    <t xml:space="preserve">570 write_latency 3366 </t>
  </si>
  <si>
    <t xml:space="preserve">571 write_latency 3373 </t>
  </si>
  <si>
    <t xml:space="preserve">571 write_latency 3439 </t>
  </si>
  <si>
    <t xml:space="preserve">571 write_latency 3435 </t>
  </si>
  <si>
    <t xml:space="preserve">571 write_latency 3292 </t>
  </si>
  <si>
    <t xml:space="preserve">572 write_latency 14846 </t>
  </si>
  <si>
    <t xml:space="preserve">572 write_latency 3455 </t>
  </si>
  <si>
    <t xml:space="preserve">572 write_latency 2806 </t>
  </si>
  <si>
    <t xml:space="preserve">572 write_latency 3323 </t>
  </si>
  <si>
    <t xml:space="preserve">573 write_latency 3254 </t>
  </si>
  <si>
    <t xml:space="preserve">573 write_latency 3380 </t>
  </si>
  <si>
    <t xml:space="preserve">573 write_latency 3071 </t>
  </si>
  <si>
    <t xml:space="preserve">573 write_latency 3569 </t>
  </si>
  <si>
    <t xml:space="preserve">574 write_latency 3781 </t>
  </si>
  <si>
    <t xml:space="preserve">574 write_latency 3303 </t>
  </si>
  <si>
    <t xml:space="preserve">574 write_latency 3373 </t>
  </si>
  <si>
    <t xml:space="preserve">574 write_latency 3215 </t>
  </si>
  <si>
    <t xml:space="preserve">575 write_latency 3436 </t>
  </si>
  <si>
    <t xml:space="preserve">575 write_latency 3501 </t>
  </si>
  <si>
    <t xml:space="preserve">575 write_latency 3303 </t>
  </si>
  <si>
    <t xml:space="preserve">575 write_latency 3290 </t>
  </si>
  <si>
    <t xml:space="preserve">576 write_latency 3403 </t>
  </si>
  <si>
    <t xml:space="preserve">576 write_latency 3616 </t>
  </si>
  <si>
    <t xml:space="preserve">576 write_latency 3491 </t>
  </si>
  <si>
    <t xml:space="preserve">576 write_latency 3295 </t>
  </si>
  <si>
    <t xml:space="preserve">577 write_latency 3593 </t>
  </si>
  <si>
    <t xml:space="preserve">577 write_latency 3656 </t>
  </si>
  <si>
    <t xml:space="preserve">577 write_latency 4154 </t>
  </si>
  <si>
    <t xml:space="preserve">577 write_latency 3293 </t>
  </si>
  <si>
    <t xml:space="preserve">578 write_latency 3296 </t>
  </si>
  <si>
    <t xml:space="preserve">578 write_latency 3159 </t>
  </si>
  <si>
    <t xml:space="preserve">578 write_latency 2809 </t>
  </si>
  <si>
    <t xml:space="preserve">578 write_latency 3431 </t>
  </si>
  <si>
    <t xml:space="preserve">579 write_latency 3199 </t>
  </si>
  <si>
    <t xml:space="preserve">579 write_latency 3676 </t>
  </si>
  <si>
    <t xml:space="preserve">579 write_latency 4232 </t>
  </si>
  <si>
    <t xml:space="preserve">579 write_latency 3207 </t>
  </si>
  <si>
    <t xml:space="preserve">580 write_latency 3214 </t>
  </si>
  <si>
    <t xml:space="preserve">580 write_latency 3413 </t>
  </si>
  <si>
    <t xml:space="preserve">580 write_latency 3762 </t>
  </si>
  <si>
    <t xml:space="preserve">580 write_latency 3229 </t>
  </si>
  <si>
    <t xml:space="preserve">581 write_latency 3403 </t>
  </si>
  <si>
    <t xml:space="preserve">581 write_latency 3489 </t>
  </si>
  <si>
    <t xml:space="preserve">581 write_latency 3232 </t>
  </si>
  <si>
    <t xml:space="preserve">581 write_latency 3724 </t>
  </si>
  <si>
    <t xml:space="preserve">582 write_latency 3299 </t>
  </si>
  <si>
    <t xml:space="preserve">582 write_latency 3491 </t>
  </si>
  <si>
    <t xml:space="preserve">582 write_latency 3421 </t>
  </si>
  <si>
    <t xml:space="preserve">582 write_latency 3185 </t>
  </si>
  <si>
    <t xml:space="preserve">583 write_latency 3416 </t>
  </si>
  <si>
    <t xml:space="preserve">583 write_latency 3405 </t>
  </si>
  <si>
    <t xml:space="preserve">583 write_latency 3361 </t>
  </si>
  <si>
    <t xml:space="preserve">583 write_latency 3427 </t>
  </si>
  <si>
    <t xml:space="preserve">584 write_latency 3399 </t>
  </si>
  <si>
    <t xml:space="preserve">584 write_latency 3520 </t>
  </si>
  <si>
    <t xml:space="preserve">584 write_latency 3313 </t>
  </si>
  <si>
    <t xml:space="preserve">584 write_latency 3263 </t>
  </si>
  <si>
    <t xml:space="preserve">585 write_latency 3443 </t>
  </si>
  <si>
    <t xml:space="preserve">585 write_latency 3366 </t>
  </si>
  <si>
    <t xml:space="preserve">585 write_latency 2883 </t>
  </si>
  <si>
    <t xml:space="preserve">585 write_latency 3382 </t>
  </si>
  <si>
    <t xml:space="preserve">586 write_latency 3669 </t>
  </si>
  <si>
    <t xml:space="preserve">586 write_latency 3456 </t>
  </si>
  <si>
    <t xml:space="preserve">586 write_latency 3314 </t>
  </si>
  <si>
    <t xml:space="preserve">586 write_latency 3366 </t>
  </si>
  <si>
    <t xml:space="preserve">587 write_latency 3308 </t>
  </si>
  <si>
    <t xml:space="preserve">587 write_latency 3469 </t>
  </si>
  <si>
    <t xml:space="preserve">587 write_latency 3931 </t>
  </si>
  <si>
    <t xml:space="preserve">587 write_latency 3305 </t>
  </si>
  <si>
    <t xml:space="preserve">588 write_latency 19136 </t>
  </si>
  <si>
    <t xml:space="preserve">588 write_latency 3431 </t>
  </si>
  <si>
    <t xml:space="preserve">588 write_latency 3320 </t>
  </si>
  <si>
    <t xml:space="preserve">588 write_latency 3563 </t>
  </si>
  <si>
    <t xml:space="preserve">589 write_latency 3826 </t>
  </si>
  <si>
    <t xml:space="preserve">589 write_latency 3491 </t>
  </si>
  <si>
    <t xml:space="preserve">589 write_latency 3380 </t>
  </si>
  <si>
    <t xml:space="preserve">589 write_latency 3337 </t>
  </si>
  <si>
    <t xml:space="preserve">590 write_latency 3216 </t>
  </si>
  <si>
    <t xml:space="preserve">590 write_latency 3995 </t>
  </si>
  <si>
    <t xml:space="preserve">590 write_latency 3699 </t>
  </si>
  <si>
    <t xml:space="preserve">590 write_latency 3545 </t>
  </si>
  <si>
    <t xml:space="preserve">591 write_latency 23225 </t>
  </si>
  <si>
    <t xml:space="preserve">591 write_latency 3523 </t>
  </si>
  <si>
    <t xml:space="preserve">591 write_latency 3509 </t>
  </si>
  <si>
    <t xml:space="preserve">591 write_latency 3280 </t>
  </si>
  <si>
    <t xml:space="preserve">592 write_latency 3270 </t>
  </si>
  <si>
    <t xml:space="preserve">592 write_latency 3549 </t>
  </si>
  <si>
    <t xml:space="preserve">592 write_latency 3454 </t>
  </si>
  <si>
    <t xml:space="preserve">592 write_latency 3469 </t>
  </si>
  <si>
    <t xml:space="preserve">593 write_latency 19765 </t>
  </si>
  <si>
    <t xml:space="preserve">593 write_latency 3492 </t>
  </si>
  <si>
    <t xml:space="preserve">593 write_latency 3772 </t>
  </si>
  <si>
    <t xml:space="preserve">593 write_latency 3304 </t>
  </si>
  <si>
    <t xml:space="preserve">594 write_latency 3762 </t>
  </si>
  <si>
    <t xml:space="preserve">594 write_latency 3373 </t>
  </si>
  <si>
    <t xml:space="preserve">594 write_latency 3149 </t>
  </si>
  <si>
    <t xml:space="preserve">594 write_latency 3433 </t>
  </si>
  <si>
    <t xml:space="preserve">595 write_latency 8242 </t>
  </si>
  <si>
    <t xml:space="preserve">595 write_latency 3668 </t>
  </si>
  <si>
    <t xml:space="preserve">595 write_latency 3482 </t>
  </si>
  <si>
    <t xml:space="preserve">595 write_latency 12252 </t>
  </si>
  <si>
    <t xml:space="preserve">596 write_latency 3338 </t>
  </si>
  <si>
    <t xml:space="preserve">596 write_latency 3914 </t>
  </si>
  <si>
    <t xml:space="preserve">596 write_latency 3348 </t>
  </si>
  <si>
    <t xml:space="preserve">596 write_latency 3433 </t>
  </si>
  <si>
    <t xml:space="preserve">597 write_latency 3061 </t>
  </si>
  <si>
    <t xml:space="preserve">597 write_latency 3661 </t>
  </si>
  <si>
    <t xml:space="preserve">597 write_latency 3409 </t>
  </si>
  <si>
    <t xml:space="preserve">597 write_latency 3132 </t>
  </si>
  <si>
    <t xml:space="preserve">598 write_latency 3704 </t>
  </si>
  <si>
    <t xml:space="preserve">598 write_latency 3278 </t>
  </si>
  <si>
    <t xml:space="preserve">598 write_latency 3290 </t>
  </si>
  <si>
    <t xml:space="preserve">598 write_latency 3106 </t>
  </si>
  <si>
    <t xml:space="preserve">599 write_latency 3196 </t>
  </si>
  <si>
    <t xml:space="preserve">599 write_latency 3856 </t>
  </si>
  <si>
    <t xml:space="preserve">599 write_latency 3417 </t>
  </si>
  <si>
    <t xml:space="preserve">599 write_latency 3201 </t>
  </si>
  <si>
    <t xml:space="preserve">write 90th percentile latency is 14.979 </t>
  </si>
  <si>
    <t xml:space="preserve">write 90th percentile latency is 5.287 </t>
  </si>
  <si>
    <t xml:space="preserve">write 90th percentile latency is 5.005 </t>
  </si>
  <si>
    <t xml:space="preserve">write 90th percentile latency is 4.568 </t>
  </si>
  <si>
    <t xml:space="preserve">write 95th percentile latency is 22.055 </t>
  </si>
  <si>
    <t xml:space="preserve">write 95th percentile latency is 11.768 </t>
  </si>
  <si>
    <t xml:space="preserve">write 95th percentile latency is 11.279 </t>
  </si>
  <si>
    <t xml:space="preserve">write 95th percentile latency is 4.921 </t>
  </si>
  <si>
    <t xml:space="preserve">write 99th percentile latency is 30.713 </t>
  </si>
  <si>
    <t xml:space="preserve">write 99th percentile latency is 19.337 </t>
  </si>
  <si>
    <t xml:space="preserve">write 99th percentile latency is 21.029 </t>
  </si>
  <si>
    <t xml:space="preserve">write 99th percentile latency is 12.252 </t>
  </si>
  <si>
    <t>thread_id0 send_num_ 600 sum write latency: 3255 avg latency : 5.425</t>
  </si>
  <si>
    <t>thread_id0 send_num_ 600 sum write latency: 2422 avg latency : 4.03667</t>
  </si>
  <si>
    <t>thread_id0 send_num_ 600 sum write latency: 2363 avg latency : 3.93833</t>
  </si>
  <si>
    <t>thread_id0 send_num_ 600 sum write latency: 2109 avg latency : 3.515</t>
  </si>
  <si>
    <t>Warm up..</t>
  </si>
  <si>
    <t xml:space="preserve">Send 40000 18091 </t>
  </si>
  <si>
    <t xml:space="preserve">Send 40000 16399 </t>
  </si>
  <si>
    <t xml:space="preserve">Send 40000 15871 </t>
  </si>
  <si>
    <t xml:space="preserve">Send 40000 15657 </t>
  </si>
  <si>
    <t xml:space="preserve">Send 40000 15425 </t>
  </si>
  <si>
    <t xml:space="preserve">Send 40000 15534 </t>
  </si>
  <si>
    <t xml:space="preserve">Send 40000 15355 </t>
  </si>
  <si>
    <t xml:space="preserve">Send 40000 14689 </t>
  </si>
  <si>
    <t xml:space="preserve">Send 40000 14702 </t>
  </si>
  <si>
    <t xml:space="preserve">Send 40000 13680 </t>
  </si>
  <si>
    <t xml:space="preserve">Send 40000 12915 </t>
  </si>
  <si>
    <t xml:space="preserve">write 90th percentile latency is 4.087 </t>
  </si>
  <si>
    <t xml:space="preserve">write 90th percentile latency is 4.605 </t>
  </si>
  <si>
    <t xml:space="preserve">write 90th percentile latency is 4.563 </t>
  </si>
  <si>
    <t xml:space="preserve">write 90th percentile latency is 4.7 </t>
  </si>
  <si>
    <t xml:space="preserve">write 90th percentile latency is 4.589 </t>
  </si>
  <si>
    <t xml:space="preserve">write 90th percentile latency is 4.413 </t>
  </si>
  <si>
    <t xml:space="preserve">write 90th percentile latency is 4.652 </t>
  </si>
  <si>
    <t xml:space="preserve">write 90th percentile latency is 4.685 </t>
  </si>
  <si>
    <t xml:space="preserve">write 95th percentile latency is 4.299 </t>
  </si>
  <si>
    <t xml:space="preserve">write 95th percentile latency is 4.546 </t>
  </si>
  <si>
    <t xml:space="preserve">write 95th percentile latency is 5.079 </t>
  </si>
  <si>
    <t xml:space="preserve">write 95th percentile latency is 4.892 </t>
  </si>
  <si>
    <t xml:space="preserve">write 95th percentile latency is 4.746 </t>
  </si>
  <si>
    <t xml:space="preserve">write 95th percentile latency is 4.714 </t>
  </si>
  <si>
    <t xml:space="preserve">write 95th percentile latency is 4.917 </t>
  </si>
  <si>
    <t xml:space="preserve">write 95th percentile latency is 4.899 </t>
  </si>
  <si>
    <t xml:space="preserve">write 95th percentile latency is 4.819 </t>
  </si>
  <si>
    <t xml:space="preserve">write 99th percentile latency is 4.47 </t>
  </si>
  <si>
    <t xml:space="preserve">write 99th percentile latency is 22.603 </t>
  </si>
  <si>
    <t xml:space="preserve">write 99th percentile latency is 20.605 </t>
  </si>
  <si>
    <t xml:space="preserve">write 99th percentile latency is 19.078 </t>
  </si>
  <si>
    <t xml:space="preserve">write 99th percentile latency is 6.087 </t>
  </si>
  <si>
    <t xml:space="preserve">write 99th percentile latency is 5.348 </t>
  </si>
  <si>
    <t xml:space="preserve">write 99th percentile latency is 4.937 </t>
  </si>
  <si>
    <t xml:space="preserve">write 99th percentile latency is 8.731 </t>
  </si>
  <si>
    <t xml:space="preserve">write 99th percentile latency is 5.663 </t>
  </si>
  <si>
    <t xml:space="preserve">write 99th percentile latency is 22.158 </t>
  </si>
  <si>
    <t>thread_id0 send_num_ 25 sum write latency: 79 avg latency : 3.16</t>
  </si>
  <si>
    <t>thread_id0 send_num_ 65 sum write latency: 251 avg latency : 3.86154</t>
  </si>
  <si>
    <t>thread_id0 send_num_ 83 sum write latency: 306 avg latency : 3.68675</t>
  </si>
  <si>
    <t>thread_id0 send_num_ 91 sum write latency: 320 avg latency : 3.51648</t>
  </si>
  <si>
    <t>thread_id0 send_num_ 119 sum write latency: 425 avg latency : 3.57143</t>
  </si>
  <si>
    <t>thread_id0 send_num_ 139 sum write latency: 466 avg latency : 3.35252</t>
  </si>
  <si>
    <t>thread_id0 send_num_ 145 sum write latency: 519 avg latency : 3.57931</t>
  </si>
  <si>
    <t>thread_id0 send_num_ 181 sum write latency: 637 avg latency : 3.51934</t>
  </si>
  <si>
    <t>thread_id0 send_num_ 200 sum write latency: 721 avg latency : 3.605</t>
  </si>
  <si>
    <t>thread_id0read_num_ 200 sum read latency: 1432 avg latency : 7.16</t>
  </si>
  <si>
    <t>thread_id0read_num_ 175 sum read latency: 1237 avg latency : 7.06857</t>
  </si>
  <si>
    <t>thread_id0read_num_ 158 sum read latency: 1188 avg latency : 7.51899</t>
  </si>
  <si>
    <t>thread_id0read_num_ 135 sum read latency: 1099 avg latency : 8.14074</t>
  </si>
  <si>
    <t>thread_id0read_num_ 117 sum read latency: 978 avg latency : 8.35897</t>
  </si>
  <si>
    <t>thread_id0read_num_ 109 sum read latency: 940 avg latency : 8.62385</t>
  </si>
  <si>
    <t>thread_id0read_num_ 81 sum read latency: 711 avg latency : 8.77778</t>
  </si>
  <si>
    <t>thread_id0read_num_ 61 sum read latency: 571 avg latency : 9.36066</t>
  </si>
  <si>
    <t>thread_id0read_num_ 55 sum read latency: 682 avg latency : 12.4</t>
  </si>
  <si>
    <t>thread_id0read_num_ 19 sum read latency: 226 avg latency : 11.8947</t>
  </si>
  <si>
    <t xml:space="preserve">Send 40000 18400 </t>
  </si>
  <si>
    <t xml:space="preserve">Send 40000 16360 </t>
  </si>
  <si>
    <t xml:space="preserve">Send 40000 15870 </t>
  </si>
  <si>
    <t xml:space="preserve">Send 40000 16047 </t>
  </si>
  <si>
    <t xml:space="preserve">Send 40000 15640 </t>
  </si>
  <si>
    <t xml:space="preserve">Send 40000 15682 </t>
  </si>
  <si>
    <t xml:space="preserve">Send 40000 15019 </t>
  </si>
  <si>
    <t xml:space="preserve">Send 40000 15067 </t>
  </si>
  <si>
    <t xml:space="preserve">Send 40000 14260 </t>
  </si>
  <si>
    <t xml:space="preserve">Send 40000 14222 </t>
  </si>
  <si>
    <t xml:space="preserve">Send 40000 13348 </t>
  </si>
  <si>
    <t xml:space="preserve">write 90th percentile latency is 4.321 </t>
  </si>
  <si>
    <t xml:space="preserve">write 90th percentile latency is 4.267 </t>
  </si>
  <si>
    <t xml:space="preserve">write 90th percentile latency is 4.446 </t>
  </si>
  <si>
    <t xml:space="preserve">write 90th percentile latency is 4.641 </t>
  </si>
  <si>
    <t xml:space="preserve">write 90th percentile latency is 4.57 </t>
  </si>
  <si>
    <t xml:space="preserve">write 90th percentile latency is 4.615 </t>
  </si>
  <si>
    <t xml:space="preserve">write 90th percentile latency is 3.895 </t>
  </si>
  <si>
    <t xml:space="preserve">write 90th percentile latency is 4.55 </t>
  </si>
  <si>
    <t xml:space="preserve">write 95th percentile latency is 4.551 </t>
  </si>
  <si>
    <t xml:space="preserve">write 95th percentile latency is 4.505 </t>
  </si>
  <si>
    <t xml:space="preserve">write 95th percentile latency is 4.908 </t>
  </si>
  <si>
    <t xml:space="preserve">write 95th percentile latency is 4.573 </t>
  </si>
  <si>
    <t xml:space="preserve">write 95th percentile latency is 4.707 </t>
  </si>
  <si>
    <t xml:space="preserve">write 95th percentile latency is 4.758 </t>
  </si>
  <si>
    <t xml:space="preserve">write 95th percentile latency is 4.741 </t>
  </si>
  <si>
    <t xml:space="preserve">write 95th percentile latency is 3.973 </t>
  </si>
  <si>
    <t xml:space="preserve">write 95th percentile latency is 4.671 </t>
  </si>
  <si>
    <t xml:space="preserve">write 95th percentile latency is 4.79 </t>
  </si>
  <si>
    <t xml:space="preserve">write 99th percentile latency is 4.568 </t>
  </si>
  <si>
    <t xml:space="preserve">write 99th percentile latency is 21.241 </t>
  </si>
  <si>
    <t xml:space="preserve">write 99th percentile latency is 21.24 </t>
  </si>
  <si>
    <t xml:space="preserve">write 99th percentile latency is 22.253 </t>
  </si>
  <si>
    <t xml:space="preserve">write 99th percentile latency is 5.666 </t>
  </si>
  <si>
    <t xml:space="preserve">write 99th percentile latency is 5.008 </t>
  </si>
  <si>
    <t xml:space="preserve">write 99th percentile latency is 8.31 </t>
  </si>
  <si>
    <t xml:space="preserve">write 99th percentile latency is 5.023 </t>
  </si>
  <si>
    <t xml:space="preserve">write 99th percentile latency is 8.424 </t>
  </si>
  <si>
    <t>thread_id0 send_num_ 25 sum write latency: 81 avg latency : 3.24</t>
  </si>
  <si>
    <t>thread_id0 send_num_ 42 sum write latency: 156 avg latency : 3.71429</t>
  </si>
  <si>
    <t>thread_id0 send_num_ 83 sum write latency: 298 avg latency : 3.59036</t>
  </si>
  <si>
    <t>thread_id0 send_num_ 83 sum write latency: 290 avg latency : 3.49398</t>
  </si>
  <si>
    <t>thread_id0 send_num_ 91 sum write latency: 308 avg latency : 3.38462</t>
  </si>
  <si>
    <t>thread_id0 send_num_ 134 sum write latency: 450 avg latency : 3.35821</t>
  </si>
  <si>
    <t>thread_id0 send_num_ 165 sum write latency: 522 avg latency : 3.16364</t>
  </si>
  <si>
    <t>thread_id0 send_num_ 181 sum write latency: 653 avg latency : 3.60773</t>
  </si>
  <si>
    <t>thread_id0 send_num_ 200 sum write latency: 695 avg latency : 3.475</t>
  </si>
  <si>
    <t>thread_id0read_num_ 200 sum read latency: 1410 avg latency : 7.05</t>
  </si>
  <si>
    <t>thread_id0read_num_ 175 sum read latency: 1268 avg latency : 7.24571</t>
  </si>
  <si>
    <t>thread_id0read_num_ 158 sum read latency: 1199 avg latency : 7.58861</t>
  </si>
  <si>
    <t>thread_id0read_num_ 117 sum read latency: 1025 avg latency : 8.76068</t>
  </si>
  <si>
    <t>thread_id0read_num_ 117 sum read latency: 1082 avg latency : 9.24786</t>
  </si>
  <si>
    <t>thread_id0read_num_ 81 sum read latency: 741 avg latency : 9.14815</t>
  </si>
  <si>
    <t>thread_id0read_num_ 66 sum read latency: 682 avg latency : 10.3333</t>
  </si>
  <si>
    <t>thread_id0read_num_ 35 sum read latency: 314 avg latency : 8.97143</t>
  </si>
  <si>
    <t>thread_id0read_num_ 19 sum read latency: 302 avg latency : 15.8947</t>
  </si>
  <si>
    <t xml:space="preserve">Send 40000 17525 </t>
  </si>
  <si>
    <t xml:space="preserve">Send 40000 16630 </t>
  </si>
  <si>
    <t xml:space="preserve">Send 40000 16510 </t>
  </si>
  <si>
    <t xml:space="preserve">Send 40000 15764 </t>
  </si>
  <si>
    <t xml:space="preserve">Send 40000 15453 </t>
  </si>
  <si>
    <t xml:space="preserve">Send 40000 15646 </t>
  </si>
  <si>
    <t xml:space="preserve">Send 40000 15048 </t>
  </si>
  <si>
    <t xml:space="preserve">Send 40000 14301 </t>
  </si>
  <si>
    <t xml:space="preserve">Send 40000 14496 </t>
  </si>
  <si>
    <t xml:space="preserve">Send 40000 13028 </t>
  </si>
  <si>
    <t xml:space="preserve">write 90th percentile latency is 4.493 </t>
  </si>
  <si>
    <t xml:space="preserve">write 90th percentile latency is 4.666 </t>
  </si>
  <si>
    <t xml:space="preserve">write 90th percentile latency is 4.554 </t>
  </si>
  <si>
    <t xml:space="preserve">write 90th percentile latency is 4.496 </t>
  </si>
  <si>
    <t xml:space="preserve">write 90th percentile latency is 4.561 </t>
  </si>
  <si>
    <t xml:space="preserve">write 95th percentile latency is 4.28 </t>
  </si>
  <si>
    <t xml:space="preserve">write 95th percentile latency is 4.609 </t>
  </si>
  <si>
    <t xml:space="preserve">write 95th percentile latency is 5.116 </t>
  </si>
  <si>
    <t xml:space="preserve">write 95th percentile latency is 4.726 </t>
  </si>
  <si>
    <t xml:space="preserve">write 95th percentile latency is 4.842 </t>
  </si>
  <si>
    <t xml:space="preserve">write 95th percentile latency is 4.785 </t>
  </si>
  <si>
    <t xml:space="preserve">write 95th percentile latency is 4.767 </t>
  </si>
  <si>
    <t xml:space="preserve">write 99th percentile latency is 4.48 </t>
  </si>
  <si>
    <t xml:space="preserve">write 99th percentile latency is 19.431 </t>
  </si>
  <si>
    <t xml:space="preserve">write 99th percentile latency is 21.8 </t>
  </si>
  <si>
    <t xml:space="preserve">write 99th percentile latency is 84.83 </t>
  </si>
  <si>
    <t xml:space="preserve">write 99th percentile latency is 4.878 </t>
  </si>
  <si>
    <t xml:space="preserve">write 99th percentile latency is 5.089 </t>
  </si>
  <si>
    <t xml:space="preserve">write 99th percentile latency is 5.292 </t>
  </si>
  <si>
    <t xml:space="preserve">write 99th percentile latency is 5.253 </t>
  </si>
  <si>
    <t xml:space="preserve">write 99th percentile latency is 5.397 </t>
  </si>
  <si>
    <t>thread_id0 send_num_ 25 sum write latency: 82 avg latency : 3.28</t>
  </si>
  <si>
    <t>thread_id0 send_num_ 42 sum write latency: 161 avg latency : 3.83333</t>
  </si>
  <si>
    <t>thread_id0 send_num_ 65 sum write latency: 250 avg latency : 3.84615</t>
  </si>
  <si>
    <t>thread_id0 send_num_ 91 sum write latency: 388 avg latency : 4.26374</t>
  </si>
  <si>
    <t>thread_id0 send_num_ 104 sum write latency: 366 avg latency : 3.51923</t>
  </si>
  <si>
    <t>thread_id0 send_num_ 134 sum write latency: 444 avg latency : 3.31343</t>
  </si>
  <si>
    <t>thread_id0 send_num_ 165 sum write latency: 568 avg latency : 3.44242</t>
  </si>
  <si>
    <t>thread_id0 send_num_ 181 sum write latency: 667 avg latency : 3.68508</t>
  </si>
  <si>
    <t>thread_id0 send_num_ 200 sum write latency: 742 avg latency : 3.71</t>
  </si>
  <si>
    <t>thread_id0read_num_ 200 sum read latency: 1425 avg latency : 7.125</t>
  </si>
  <si>
    <t>thread_id0read_num_ 175 sum read latency: 1316 avg latency : 7.52</t>
  </si>
  <si>
    <t>thread_id0read_num_ 158 sum read latency: 1277 avg latency : 8.08228</t>
  </si>
  <si>
    <t>thread_id0read_num_ 135 sum read latency: 1039 avg latency : 7.6963</t>
  </si>
  <si>
    <t>thread_id0read_num_ 109 sum read latency: 985 avg latency : 9.0367</t>
  </si>
  <si>
    <t>thread_id0read_num_ 96 sum read latency: 889 avg latency : 9.26042</t>
  </si>
  <si>
    <t>thread_id0read_num_ 66 sum read latency: 884 avg latency : 13.3939</t>
  </si>
  <si>
    <t>thread_id0read_num_ 35 sum read latency: 368 avg latency : 10.5143</t>
  </si>
  <si>
    <t>thread_id0read_num_ 19 sum read latency: 229 avg latency : 12.0526</t>
  </si>
  <si>
    <t>VLDB22</t>
  </si>
  <si>
    <t xml:space="preserve">Send 30000 13227 </t>
  </si>
  <si>
    <t xml:space="preserve">Send 30000 14568 </t>
  </si>
  <si>
    <t xml:space="preserve">Send 30000 14709 </t>
  </si>
  <si>
    <t xml:space="preserve">Send 30000 15611 </t>
  </si>
  <si>
    <t xml:space="preserve">Send 30000 15086 </t>
  </si>
  <si>
    <t xml:space="preserve">Send 30000 15824 </t>
  </si>
  <si>
    <t xml:space="preserve">Send 30000 16290 </t>
  </si>
  <si>
    <t xml:space="preserve">Send 30000 17155 </t>
  </si>
  <si>
    <t xml:space="preserve">Send 30000 17921 </t>
  </si>
  <si>
    <t xml:space="preserve">Send 30000 23047 </t>
  </si>
  <si>
    <t xml:space="preserve">write 90th percentile latency is 7.908 </t>
  </si>
  <si>
    <t xml:space="preserve">write 90th percentile latency is 14.601 </t>
  </si>
  <si>
    <t xml:space="preserve">write 90th percentile latency is 25.66 </t>
  </si>
  <si>
    <t xml:space="preserve">write 90th percentile latency is 8.65 </t>
  </si>
  <si>
    <t xml:space="preserve">write 90th percentile latency is 12.041 </t>
  </si>
  <si>
    <t xml:space="preserve">write 90th percentile latency is 23.422 </t>
  </si>
  <si>
    <t xml:space="preserve">write 90th percentile latency is 25.731 </t>
  </si>
  <si>
    <t xml:space="preserve">write 90th percentile latency is 26.514 </t>
  </si>
  <si>
    <t xml:space="preserve">write 90th percentile latency is 25.45 </t>
  </si>
  <si>
    <t xml:space="preserve">write 95th percentile latency is 19.017 </t>
  </si>
  <si>
    <t xml:space="preserve">write 95th percentile latency is 28.081 </t>
  </si>
  <si>
    <t xml:space="preserve">write 95th percentile latency is 28.903 </t>
  </si>
  <si>
    <t xml:space="preserve">write 95th percentile latency is 8.942 </t>
  </si>
  <si>
    <t xml:space="preserve">write 95th percentile latency is 25.639 </t>
  </si>
  <si>
    <t xml:space="preserve">write 95th percentile latency is 27.785 </t>
  </si>
  <si>
    <t xml:space="preserve">write 95th percentile latency is 27.578 </t>
  </si>
  <si>
    <t xml:space="preserve">write 95th percentile latency is 28.305 </t>
  </si>
  <si>
    <t xml:space="preserve">write 95th percentile latency is 28.32 </t>
  </si>
  <si>
    <t xml:space="preserve">write 99th percentile latency is 19.017 </t>
  </si>
  <si>
    <t xml:space="preserve">write 99th percentile latency is 46.333 </t>
  </si>
  <si>
    <t xml:space="preserve">write 99th percentile latency is 31.539 </t>
  </si>
  <si>
    <t xml:space="preserve">write 99th percentile latency is 29.282 </t>
  </si>
  <si>
    <t xml:space="preserve">write 99th percentile latency is 28.307 </t>
  </si>
  <si>
    <t xml:space="preserve">write 99th percentile latency is 47.802 </t>
  </si>
  <si>
    <t xml:space="preserve">write 99th percentile latency is 57.618 </t>
  </si>
  <si>
    <t xml:space="preserve">write 99th percentile latency is 35.382 </t>
  </si>
  <si>
    <t xml:space="preserve">write 99th percentile latency is 48.584 </t>
  </si>
  <si>
    <t>thread_id0 send_num_ 11 sum write latency: 84 avg latency : 7.63636</t>
  </si>
  <si>
    <t>thread_id0 send_num_ 32 sum write latency: 300 avg latency : 9.375</t>
  </si>
  <si>
    <t>thread_id0 send_num_ 48 sum write latency: 515 avg latency : 10.7292</t>
  </si>
  <si>
    <t>thread_id0 send_num_ 44 sum write latency: 343 avg latency : 7.79545</t>
  </si>
  <si>
    <t>thread_id0 send_num_ 60 sum write latency: 507 avg latency : 8.45</t>
  </si>
  <si>
    <t>thread_id0 send_num_ 76 sum write latency: 840 avg latency : 11.0526</t>
  </si>
  <si>
    <t>thread_id0 send_num_ 99 sum write latency: 1039 avg latency : 10.4949</t>
  </si>
  <si>
    <t>thread_id0 send_num_ 115 sum write latency: 1331 avg latency : 11.5739</t>
  </si>
  <si>
    <t>thread_id0 send_num_ 150 sum write latency: 1833 avg latency : 12.22</t>
  </si>
  <si>
    <t>thread_id0read_num_ 150 sum read latency: 1053 avg latency : 7.02</t>
  </si>
  <si>
    <t>thread_id0read_num_ 139 sum read latency: 1173 avg latency : 8.43885</t>
  </si>
  <si>
    <t>thread_id0read_num_ 118 sum read latency: 988 avg latency : 8.37288</t>
  </si>
  <si>
    <t>thread_id0read_num_ 102 sum read latency: 1011 avg latency : 9.91176</t>
  </si>
  <si>
    <t>thread_id0read_num_ 106 sum read latency: 839 avg latency : 7.91509</t>
  </si>
  <si>
    <t>thread_id0read_num_ 90 sum read latency: 725 avg latency : 8.05556</t>
  </si>
  <si>
    <t>thread_id0read_num_ 74 sum read latency: 602 avg latency : 8.13514</t>
  </si>
  <si>
    <t>thread_id0read_num_ 51 sum read latency: 376 avg latency : 7.37255</t>
  </si>
  <si>
    <t>thread_id0read_num_ 35 sum read latency: 316 avg latency : 9.02857</t>
  </si>
  <si>
    <t xml:space="preserve">Send 30000 12428 </t>
  </si>
  <si>
    <t xml:space="preserve">Send 30000 14657 </t>
  </si>
  <si>
    <t xml:space="preserve">Send 30000 14899 </t>
  </si>
  <si>
    <t xml:space="preserve">Send 30000 15578 </t>
  </si>
  <si>
    <t xml:space="preserve">Send 30000 15414 </t>
  </si>
  <si>
    <t xml:space="preserve">Send 30000 15776 </t>
  </si>
  <si>
    <t xml:space="preserve">Send 30000 16138 </t>
  </si>
  <si>
    <t xml:space="preserve">Send 30000 16536 </t>
  </si>
  <si>
    <t xml:space="preserve">Send 30000 18200 </t>
  </si>
  <si>
    <t xml:space="preserve">Send 30000 23436 </t>
  </si>
  <si>
    <t xml:space="preserve">write 90th percentile latency is 12.685 </t>
  </si>
  <si>
    <t xml:space="preserve">write 90th percentile latency is 26.577 </t>
  </si>
  <si>
    <t xml:space="preserve">write 90th percentile latency is 8.625 </t>
  </si>
  <si>
    <t xml:space="preserve">write 90th percentile latency is 8.516 </t>
  </si>
  <si>
    <t xml:space="preserve">write 90th percentile latency is 20.99 </t>
  </si>
  <si>
    <t xml:space="preserve">write 90th percentile latency is 18.886 </t>
  </si>
  <si>
    <t xml:space="preserve">write 90th percentile latency is 26.878 </t>
  </si>
  <si>
    <t xml:space="preserve">write 90th percentile latency is 15.484 </t>
  </si>
  <si>
    <t xml:space="preserve">write 90th percentile latency is 26.356 </t>
  </si>
  <si>
    <t xml:space="preserve">write 95th percentile latency is 14.966 </t>
  </si>
  <si>
    <t xml:space="preserve">write 95th percentile latency is 31.141 </t>
  </si>
  <si>
    <t xml:space="preserve">write 95th percentile latency is 13.054 </t>
  </si>
  <si>
    <t xml:space="preserve">write 95th percentile latency is 29.888 </t>
  </si>
  <si>
    <t xml:space="preserve">write 95th percentile latency is 26.897 </t>
  </si>
  <si>
    <t xml:space="preserve">write 95th percentile latency is 27.404 </t>
  </si>
  <si>
    <t xml:space="preserve">write 95th percentile latency is 30.043 </t>
  </si>
  <si>
    <t xml:space="preserve">write 95th percentile latency is 23.614 </t>
  </si>
  <si>
    <t xml:space="preserve">write 95th percentile latency is 28.431 </t>
  </si>
  <si>
    <t xml:space="preserve">write 99th percentile latency is 14.966 </t>
  </si>
  <si>
    <t xml:space="preserve">write 99th percentile latency is 44.273 </t>
  </si>
  <si>
    <t xml:space="preserve">write 99th percentile latency is 31.31 </t>
  </si>
  <si>
    <t xml:space="preserve">write 99th percentile latency is 33.363 </t>
  </si>
  <si>
    <t xml:space="preserve">write 99th percentile latency is 30.442 </t>
  </si>
  <si>
    <t xml:space="preserve">write 99th percentile latency is 51.382 </t>
  </si>
  <si>
    <t xml:space="preserve">write 99th percentile latency is 59.733 </t>
  </si>
  <si>
    <t xml:space="preserve">write 99th percentile latency is 32.475 </t>
  </si>
  <si>
    <t xml:space="preserve">write 99th percentile latency is 46.636 </t>
  </si>
  <si>
    <t>thread_id0 send_num_ 32 sum write latency: 335 avg latency : 10.4688</t>
  </si>
  <si>
    <t>thread_id0 send_num_ 48 sum write latency: 374 avg latency : 7.79167</t>
  </si>
  <si>
    <t>thread_id0 send_num_ 44 sum write latency: 401 avg latency : 9.11364</t>
  </si>
  <si>
    <t>thread_id0 send_num_ 60 sum write latency: 574 avg latency : 9.56667</t>
  </si>
  <si>
    <t>thread_id0 send_num_ 76 sum write latency: 773 avg latency : 10.1711</t>
  </si>
  <si>
    <t>thread_id0 send_num_ 99 sum write latency: 1045 avg latency : 10.5556</t>
  </si>
  <si>
    <t>thread_id0 send_num_ 118 sum write latency: 1083 avg latency : 9.17797</t>
  </si>
  <si>
    <t>thread_id0 send_num_ 150 sum write latency: 1895 avg latency : 12.6333</t>
  </si>
  <si>
    <t>thread_id0read_num_ 150 sum read latency: 1098 avg latency : 7.32</t>
  </si>
  <si>
    <t>thread_id0read_num_ 139 sum read latency: 1080 avg latency : 7.76978</t>
  </si>
  <si>
    <t>thread_id0read_num_ 102 sum read latency: 919 avg latency : 9.0098</t>
  </si>
  <si>
    <t>thread_id0read_num_ 106 sum read latency: 898 avg latency : 8.4717</t>
  </si>
  <si>
    <t>thread_id0read_num_ 90 sum read latency: 763 avg latency : 8.47778</t>
  </si>
  <si>
    <t>thread_id0read_num_ 74 sum read latency: 581 avg latency : 7.85135</t>
  </si>
  <si>
    <t>thread_id0read_num_ 51 sum read latency: 436 avg latency : 8.54902</t>
  </si>
  <si>
    <t>thread_id0read_num_ 32 sum read latency: 360 avg latency : 11.25</t>
  </si>
  <si>
    <t xml:space="preserve">Send 30000 13495 </t>
  </si>
  <si>
    <t xml:space="preserve">Send 30000 14608 </t>
  </si>
  <si>
    <t xml:space="preserve">Send 30000 14495 </t>
  </si>
  <si>
    <t xml:space="preserve">Send 30000 14713 </t>
  </si>
  <si>
    <t xml:space="preserve">Send 30000 15080 </t>
  </si>
  <si>
    <t xml:space="preserve">Send 30000 16088 </t>
  </si>
  <si>
    <t xml:space="preserve">Send 30000 15957 </t>
  </si>
  <si>
    <t xml:space="preserve">Send 30000 16303 </t>
  </si>
  <si>
    <t xml:space="preserve">Send 30000 17492 </t>
  </si>
  <si>
    <t xml:space="preserve">Send 30000 22797 </t>
  </si>
  <si>
    <t xml:space="preserve">write 90th percentile latency is 8.066 </t>
  </si>
  <si>
    <t xml:space="preserve">write 90th percentile latency is 20.445 </t>
  </si>
  <si>
    <t xml:space="preserve">write 90th percentile latency is 7.989 </t>
  </si>
  <si>
    <t xml:space="preserve">write 90th percentile latency is 25.821 </t>
  </si>
  <si>
    <t xml:space="preserve">write 90th percentile latency is 16.193 </t>
  </si>
  <si>
    <t xml:space="preserve">write 90th percentile latency is 21.929 </t>
  </si>
  <si>
    <t xml:space="preserve">write 90th percentile latency is 21.767 </t>
  </si>
  <si>
    <t xml:space="preserve">write 90th percentile latency is 18.644 </t>
  </si>
  <si>
    <t xml:space="preserve">write 90th percentile latency is 25.984 </t>
  </si>
  <si>
    <t xml:space="preserve">write 95th percentile latency is 8.38 </t>
  </si>
  <si>
    <t xml:space="preserve">write 95th percentile latency is 26.774 </t>
  </si>
  <si>
    <t xml:space="preserve">write 95th percentile latency is 8.636 </t>
  </si>
  <si>
    <t xml:space="preserve">write 95th percentile latency is 32.033 </t>
  </si>
  <si>
    <t xml:space="preserve">write 95th percentile latency is 27.264 </t>
  </si>
  <si>
    <t xml:space="preserve">write 95th percentile latency is 27.669 </t>
  </si>
  <si>
    <t xml:space="preserve">write 95th percentile latency is 27.59 </t>
  </si>
  <si>
    <t xml:space="preserve">write 95th percentile latency is 27.623 </t>
  </si>
  <si>
    <t xml:space="preserve">write 95th percentile latency is 27.99 </t>
  </si>
  <si>
    <t xml:space="preserve">write 99th percentile latency is 8.38 </t>
  </si>
  <si>
    <t xml:space="preserve">write 99th percentile latency is 50.799 </t>
  </si>
  <si>
    <t xml:space="preserve">write 99th percentile latency is 9.017 </t>
  </si>
  <si>
    <t xml:space="preserve">write 99th percentile latency is 42.29 </t>
  </si>
  <si>
    <t xml:space="preserve">write 99th percentile latency is 32.75 </t>
  </si>
  <si>
    <t xml:space="preserve">write 99th percentile latency is 32.213 </t>
  </si>
  <si>
    <t xml:space="preserve">write 99th percentile latency is 53.145 </t>
  </si>
  <si>
    <t xml:space="preserve">write 99th percentile latency is 35.324 </t>
  </si>
  <si>
    <t xml:space="preserve">write 99th percentile latency is 49.578 </t>
  </si>
  <si>
    <t>thread_id0 send_num_ 11 sum write latency: 74 avg latency : 6.72727</t>
  </si>
  <si>
    <t>thread_id0 send_num_ 32 sum write latency: 322 avg latency : 10.0625</t>
  </si>
  <si>
    <t>thread_id0 send_num_ 34 sum write latency: 225 avg latency : 6.61765</t>
  </si>
  <si>
    <t>thread_id0 send_num_ 32 sum write latency: 329 avg latency : 10.2812</t>
  </si>
  <si>
    <t>thread_id0 send_num_ 60 sum write latency: 565 avg latency : 9.41667</t>
  </si>
  <si>
    <t>thread_id0 send_num_ 85 sum write latency: 853 avg latency : 10.0353</t>
  </si>
  <si>
    <t>thread_id0 send_num_ 99 sum write latency: 1014 avg latency : 10.2424</t>
  </si>
  <si>
    <t>thread_id0 send_num_ 118 sum write latency: 1091 avg latency : 9.24576</t>
  </si>
  <si>
    <t>thread_id0 send_num_ 150 sum write latency: 1911 avg latency : 12.74</t>
  </si>
  <si>
    <t>thread_id0read_num_ 150 sum read latency: 1798 avg latency : 11.9867</t>
  </si>
  <si>
    <t>thread_id0read_num_ 139 sum read latency: 1148 avg latency : 8.25899</t>
  </si>
  <si>
    <t>thread_id0read_num_ 118 sum read latency: 956 avg latency : 8.10169</t>
  </si>
  <si>
    <t>thread_id0read_num_ 116 sum read latency: 967 avg latency : 8.33621</t>
  </si>
  <si>
    <t>thread_id0read_num_ 118 sum read latency: 950 avg latency : 8.05085</t>
  </si>
  <si>
    <t>thread_id0read_num_ 90 sum read latency: 716 avg latency : 7.95556</t>
  </si>
  <si>
    <t>thread_id0read_num_ 65 sum read latency: 565 avg latency : 8.69231</t>
  </si>
  <si>
    <t>thread_id0read_num_ 51 sum read latency: 368 avg latency : 7.21569</t>
  </si>
  <si>
    <t>thread_id0read_num_ 32 sum read latency: 384 avg latency : 12</t>
  </si>
  <si>
    <t xml:space="preserve">Send 30000 20029 </t>
  </si>
  <si>
    <t xml:space="preserve">Send 30000 19013 </t>
  </si>
  <si>
    <t xml:space="preserve">Send 30000 17722 </t>
  </si>
  <si>
    <t xml:space="preserve">Send 30000 16533 </t>
  </si>
  <si>
    <t xml:space="preserve">Send 30000 15978 </t>
  </si>
  <si>
    <t xml:space="preserve">Send 30000 14929 </t>
  </si>
  <si>
    <t xml:space="preserve">Send 30000 14607 </t>
  </si>
  <si>
    <t xml:space="preserve">Send 30000 13345 </t>
  </si>
  <si>
    <t xml:space="preserve">Send 30000 12782 </t>
  </si>
  <si>
    <t xml:space="preserve">Send 30000 11991 </t>
  </si>
  <si>
    <t xml:space="preserve">Send 30000 9194 </t>
  </si>
  <si>
    <t xml:space="preserve">Read 90th percentile latency is 21.505 </t>
  </si>
  <si>
    <t xml:space="preserve">write 90th percentile latency is 4.691 </t>
  </si>
  <si>
    <t xml:space="preserve">write 90th percentile latency is 4.303 </t>
  </si>
  <si>
    <t xml:space="preserve">write 90th percentile latency is 4.675 </t>
  </si>
  <si>
    <t xml:space="preserve">write 90th percentile latency is 4.539 </t>
  </si>
  <si>
    <t xml:space="preserve">write 90th percentile latency is 4.43 </t>
  </si>
  <si>
    <t xml:space="preserve">write 90th percentile latency is 4.594 </t>
  </si>
  <si>
    <t xml:space="preserve">write 90th percentile latency is 4.72 </t>
  </si>
  <si>
    <t xml:space="preserve">write 90th percentile latency is 4.771 </t>
  </si>
  <si>
    <t xml:space="preserve">Read 95th percentile latency is 24.205 </t>
  </si>
  <si>
    <t xml:space="preserve">write 95th percentile latency is 4.757 </t>
  </si>
  <si>
    <t xml:space="preserve">write 95th percentile latency is 4.303 </t>
  </si>
  <si>
    <t xml:space="preserve">write 95th percentile latency is 4.72 </t>
  </si>
  <si>
    <t xml:space="preserve">write 95th percentile latency is 4.777 </t>
  </si>
  <si>
    <t xml:space="preserve">write 95th percentile latency is 4.771 </t>
  </si>
  <si>
    <t xml:space="preserve">write 95th percentile latency is 4.65 </t>
  </si>
  <si>
    <t xml:space="preserve">write 95th percentile latency is 4.936 </t>
  </si>
  <si>
    <t xml:space="preserve">Read 99th percentile latency is 28.57 </t>
  </si>
  <si>
    <t xml:space="preserve">write 99th percentile latency is 4.757 </t>
  </si>
  <si>
    <t xml:space="preserve">write 99th percentile latency is 5.825 </t>
  </si>
  <si>
    <t xml:space="preserve">write 99th percentile latency is 4.791 </t>
  </si>
  <si>
    <t xml:space="preserve">write 99th percentile latency is 5.009 </t>
  </si>
  <si>
    <t xml:space="preserve">write 99th percentile latency is 20.448 </t>
  </si>
  <si>
    <t xml:space="preserve">write 99th percentile latency is 21.741 </t>
  </si>
  <si>
    <t xml:space="preserve">write 99th percentile latency is 4.799 </t>
  </si>
  <si>
    <t xml:space="preserve">write 99th percentile latency is 5.18 </t>
  </si>
  <si>
    <t xml:space="preserve">write 99th percentile latency is 5.047 </t>
  </si>
  <si>
    <t xml:space="preserve">write 99th percentile latency is 5.45 </t>
  </si>
  <si>
    <t xml:space="preserve">Read 90th percentile latency is 20.414 </t>
  </si>
  <si>
    <t xml:space="preserve">Read 90th percentile latency is 21.428 </t>
  </si>
  <si>
    <t xml:space="preserve">Read 90th percentile latency is 17.201 </t>
  </si>
  <si>
    <t xml:space="preserve">Read 90th percentile latency is 19.065 </t>
  </si>
  <si>
    <t xml:space="preserve">Read 90th percentile latency is 19.453 </t>
  </si>
  <si>
    <t xml:space="preserve">Read 90th percentile latency is 19.473 </t>
  </si>
  <si>
    <t xml:space="preserve">Read 90th percentile latency is 22.264 </t>
  </si>
  <si>
    <t xml:space="preserve">Read 90th percentile latency is 19.95 </t>
  </si>
  <si>
    <t xml:space="preserve">Read 90th percentile latency is 26.446 </t>
  </si>
  <si>
    <t xml:space="preserve">Read 95th percentile latency is 23.56 </t>
  </si>
  <si>
    <t xml:space="preserve">Read 95th percentile latency is 22.214 </t>
  </si>
  <si>
    <t xml:space="preserve">Read 95th percentile latency is 19.903 </t>
  </si>
  <si>
    <t xml:space="preserve">Read 95th percentile latency is 22.576 </t>
  </si>
  <si>
    <t xml:space="preserve">Read 95th percentile latency is 19.915 </t>
  </si>
  <si>
    <t xml:space="preserve">Read 95th percentile latency is 29.424 </t>
  </si>
  <si>
    <t xml:space="preserve">Read 95th percentile latency is 24.498 </t>
  </si>
  <si>
    <t xml:space="preserve">Read 95th percentile latency is 44.887 </t>
  </si>
  <si>
    <t xml:space="preserve">Read 99th percentile latency is 42.204 </t>
  </si>
  <si>
    <t xml:space="preserve">Read 99th percentile latency is 34.007 </t>
  </si>
  <si>
    <t xml:space="preserve">Read 99th percentile latency is 32.033 </t>
  </si>
  <si>
    <t xml:space="preserve">Read 99th percentile latency is 241.163 </t>
  </si>
  <si>
    <t xml:space="preserve">Read 99th percentile latency is 30.638 </t>
  </si>
  <si>
    <t xml:space="preserve">Read 99th percentile latency is 36.186 </t>
  </si>
  <si>
    <t xml:space="preserve">Read 99th percentile latency is 93.099 </t>
  </si>
  <si>
    <t xml:space="preserve">Read 99th percentile latency is 86.591 </t>
  </si>
  <si>
    <t xml:space="preserve">Read 99th percentile latency is 44.887 </t>
  </si>
  <si>
    <t>thread_id0 send_num_ 18 sum write latency: 61 avg latency : 3.38889</t>
  </si>
  <si>
    <t>thread_id0 send_num_ 30 sum write latency: 98 avg latency : 3.26667</t>
  </si>
  <si>
    <t>thread_id0 send_num_ 46 sum write latency: 156 avg latency : 3.3913</t>
  </si>
  <si>
    <t>thread_id0 send_num_ 56 sum write latency: 192 avg latency : 3.42857</t>
  </si>
  <si>
    <t>thread_id0 send_num_ 62 sum write latency: 225 avg latency : 3.62903</t>
  </si>
  <si>
    <t>thread_id0 send_num_ 81 sum write latency: 289 avg latency : 3.5679</t>
  </si>
  <si>
    <t>thread_id0 send_num_ 107 sum write latency: 364 avg latency : 3.40187</t>
  </si>
  <si>
    <t>thread_id0 send_num_ 107 sum write latency: 382 avg latency : 3.57009</t>
  </si>
  <si>
    <t>thread_id0 send_num_ 137 sum write latency: 492 avg latency : 3.59124</t>
  </si>
  <si>
    <t>thread_id0 send_num_ 150 sum write latency: 560 avg latency : 3.73333</t>
  </si>
  <si>
    <t>thread_id0read_num_ 150 sum read latency: 2048 avg latency : 13.6533</t>
  </si>
  <si>
    <t>thread_id0read_num_ 132 sum read latency: 1851 avg latency : 14.0227</t>
  </si>
  <si>
    <t>thread_id0read_num_ 120 sum read latency: 1607 avg latency : 13.3917</t>
  </si>
  <si>
    <t>thread_id0read_num_ 104 sum read latency: 1192 avg latency : 11.4615</t>
  </si>
  <si>
    <t>thread_id0read_num_ 94 sum read latency: 1313 avg latency : 13.9681</t>
  </si>
  <si>
    <t>thread_id0read_num_ 88 sum read latency: 1008 avg latency : 11.4545</t>
  </si>
  <si>
    <t>thread_id0read_num_ 69 sum read latency: 808 avg latency : 11.7101</t>
  </si>
  <si>
    <t>thread_id0read_num_ 43 sum read latency: 634 avg latency : 14.7442</t>
  </si>
  <si>
    <t>thread_id0read_num_ 43 sum read latency: 538 avg latency : 12.5116</t>
  </si>
  <si>
    <t>thread_id0read_num_ 13 sum read latency: 194 avg latency : 14.9231</t>
  </si>
  <si>
    <t xml:space="preserve">Send 30000 19784 </t>
  </si>
  <si>
    <t xml:space="preserve">Send 30000 18952 </t>
  </si>
  <si>
    <t xml:space="preserve">Send 30000 17769 </t>
  </si>
  <si>
    <t xml:space="preserve">Send 30000 16078 </t>
  </si>
  <si>
    <t xml:space="preserve">Send 30000 15428 </t>
  </si>
  <si>
    <t xml:space="preserve">Send 30000 14817 </t>
  </si>
  <si>
    <t xml:space="preserve">Send 30000 14340 </t>
  </si>
  <si>
    <t xml:space="preserve">Send 30000 13752 </t>
  </si>
  <si>
    <t xml:space="preserve">Send 30000 12459 </t>
  </si>
  <si>
    <t xml:space="preserve">Send 30000 11839 </t>
  </si>
  <si>
    <t xml:space="preserve">Send 30000 8860 </t>
  </si>
  <si>
    <t xml:space="preserve">Read 90th percentile latency is 21.93 </t>
  </si>
  <si>
    <t xml:space="preserve">write 90th percentile latency is 4.349 </t>
  </si>
  <si>
    <t xml:space="preserve">write 90th percentile latency is 4.625 </t>
  </si>
  <si>
    <t xml:space="preserve">write 90th percentile latency is 4.54 </t>
  </si>
  <si>
    <t xml:space="preserve">write 90th percentile latency is 4.714 </t>
  </si>
  <si>
    <t xml:space="preserve">write 90th percentile latency is 4.778 </t>
  </si>
  <si>
    <t xml:space="preserve">write 90th percentile latency is 4.613 </t>
  </si>
  <si>
    <t xml:space="preserve">write 90th percentile latency is 4.831 </t>
  </si>
  <si>
    <t xml:space="preserve">write 90th percentile latency is 4.815 </t>
  </si>
  <si>
    <t xml:space="preserve">write 90th percentile latency is 4.751 </t>
  </si>
  <si>
    <t xml:space="preserve">Read 95th percentile latency is 23.684 </t>
  </si>
  <si>
    <t xml:space="preserve">write 95th percentile latency is 4.675 </t>
  </si>
  <si>
    <t xml:space="preserve">write 95th percentile latency is 4.649 </t>
  </si>
  <si>
    <t xml:space="preserve">write 95th percentile latency is 4.645 </t>
  </si>
  <si>
    <t xml:space="preserve">write 95th percentile latency is 4.919 </t>
  </si>
  <si>
    <t xml:space="preserve">write 95th percentile latency is 5.006 </t>
  </si>
  <si>
    <t xml:space="preserve">write 95th percentile latency is 4.694 </t>
  </si>
  <si>
    <t xml:space="preserve">write 95th percentile latency is 4.879 </t>
  </si>
  <si>
    <t xml:space="preserve">write 95th percentile latency is 4.973 </t>
  </si>
  <si>
    <t xml:space="preserve">write 95th percentile latency is 4.851 </t>
  </si>
  <si>
    <t xml:space="preserve">Read 99th percentile latency is 34.16 </t>
  </si>
  <si>
    <t xml:space="preserve">write 99th percentile latency is 4.675 </t>
  </si>
  <si>
    <t xml:space="preserve">write 99th percentile latency is 4.665 </t>
  </si>
  <si>
    <t xml:space="preserve">write 99th percentile latency is 4.879 </t>
  </si>
  <si>
    <t xml:space="preserve">write 99th percentile latency is 21.153 </t>
  </si>
  <si>
    <t xml:space="preserve">write 99th percentile latency is 20.918 </t>
  </si>
  <si>
    <t xml:space="preserve">write 99th percentile latency is 4.934 </t>
  </si>
  <si>
    <t xml:space="preserve">write 99th percentile latency is 5.188 </t>
  </si>
  <si>
    <t xml:space="preserve">write 99th percentile latency is 5.178 </t>
  </si>
  <si>
    <t xml:space="preserve">write 99th percentile latency is 5.278 </t>
  </si>
  <si>
    <t xml:space="preserve">Read 90th percentile latency is 22.149 </t>
  </si>
  <si>
    <t xml:space="preserve">Read 90th percentile latency is 18.223 </t>
  </si>
  <si>
    <t xml:space="preserve">Read 90th percentile latency is 16.93 </t>
  </si>
  <si>
    <t xml:space="preserve">Read 90th percentile latency is 18.252 </t>
  </si>
  <si>
    <t xml:space="preserve">Read 90th percentile latency is 18.999 </t>
  </si>
  <si>
    <t xml:space="preserve">Read 90th percentile latency is 17.508 </t>
  </si>
  <si>
    <t xml:space="preserve">Read 90th percentile latency is 19.109 </t>
  </si>
  <si>
    <t xml:space="preserve">Read 90th percentile latency is 19.936 </t>
  </si>
  <si>
    <t xml:space="preserve">Read 90th percentile latency is 29.497 </t>
  </si>
  <si>
    <t xml:space="preserve">Read 95th percentile latency is 24.545 </t>
  </si>
  <si>
    <t xml:space="preserve">Read 95th percentile latency is 22.673 </t>
  </si>
  <si>
    <t xml:space="preserve">Read 95th percentile latency is 21.253 </t>
  </si>
  <si>
    <t xml:space="preserve">Read 95th percentile latency is 18.847 </t>
  </si>
  <si>
    <t xml:space="preserve">Read 95th percentile latency is 20.987 </t>
  </si>
  <si>
    <t xml:space="preserve">Read 95th percentile latency is 19.494 </t>
  </si>
  <si>
    <t xml:space="preserve">Read 95th percentile latency is 21.041 </t>
  </si>
  <si>
    <t xml:space="preserve">Read 95th percentile latency is 26.403 </t>
  </si>
  <si>
    <t xml:space="preserve">Read 95th percentile latency is 37.021 </t>
  </si>
  <si>
    <t xml:space="preserve">Read 99th percentile latency is 48.374 </t>
  </si>
  <si>
    <t xml:space="preserve">Read 99th percentile latency is 26.271 </t>
  </si>
  <si>
    <t xml:space="preserve">Read 99th percentile latency is 24.491 </t>
  </si>
  <si>
    <t xml:space="preserve">Read 99th percentile latency is 224.251 </t>
  </si>
  <si>
    <t xml:space="preserve">Read 99th percentile latency is 24.28 </t>
  </si>
  <si>
    <t xml:space="preserve">Read 99th percentile latency is 26.346 </t>
  </si>
  <si>
    <t xml:space="preserve">Read 99th percentile latency is 94.006 </t>
  </si>
  <si>
    <t xml:space="preserve">Read 99th percentile latency is 84.279 </t>
  </si>
  <si>
    <t xml:space="preserve">Read 99th percentile latency is 37.021 </t>
  </si>
  <si>
    <t>thread_id0 send_num_ 18 sum write latency: 59 avg latency : 3.27778</t>
  </si>
  <si>
    <t>thread_id0 send_num_ 30 sum write latency: 102 avg latency : 3.4</t>
  </si>
  <si>
    <t>thread_id0 send_num_ 46 sum write latency: 155 avg latency : 3.36957</t>
  </si>
  <si>
    <t>thread_id0 send_num_ 56 sum write latency: 194 avg latency : 3.46429</t>
  </si>
  <si>
    <t>thread_id0 send_num_ 62 sum write latency: 232 avg latency : 3.74194</t>
  </si>
  <si>
    <t>thread_id0 send_num_ 81 sum write latency: 300 avg latency : 3.7037</t>
  </si>
  <si>
    <t>thread_id0 send_num_ 107 sum write latency: 386 avg latency : 3.60748</t>
  </si>
  <si>
    <t>thread_id0 send_num_ 107 sum write latency: 395 avg latency : 3.69159</t>
  </si>
  <si>
    <t>thread_id0 send_num_ 137 sum write latency: 508 avg latency : 3.70803</t>
  </si>
  <si>
    <t>thread_id0 send_num_ 150 sum write latency: 550 avg latency : 3.66667</t>
  </si>
  <si>
    <t>thread_id0read_num_ 150 sum read latency: 2167 avg latency : 14.4467</t>
  </si>
  <si>
    <t>thread_id0read_num_ 132 sum read latency: 1903 avg latency : 14.4167</t>
  </si>
  <si>
    <t>thread_id0read_num_ 120 sum read latency: 1550 avg latency : 12.9167</t>
  </si>
  <si>
    <t>thread_id0read_num_ 104 sum read latency: 1271 avg latency : 12.2212</t>
  </si>
  <si>
    <t>thread_id0read_num_ 94 sum read latency: 1253 avg latency : 13.3298</t>
  </si>
  <si>
    <t>thread_id0read_num_ 88 sum read latency: 1054 avg latency : 11.9773</t>
  </si>
  <si>
    <t>thread_id0read_num_ 69 sum read latency: 740 avg latency : 10.7246</t>
  </si>
  <si>
    <t>thread_id0read_num_ 43 sum read latency: 529 avg latency : 12.3023</t>
  </si>
  <si>
    <t>thread_id0read_num_ 43 sum read latency: 531 avg latency : 12.3488</t>
  </si>
  <si>
    <t>thread_id0read_num_ 13 sum read latency: 242 avg latency : 18.6154</t>
  </si>
  <si>
    <t xml:space="preserve">Send 30000 19955 </t>
  </si>
  <si>
    <t xml:space="preserve">Send 30000 18905 </t>
  </si>
  <si>
    <t xml:space="preserve">Send 30000 17075 </t>
  </si>
  <si>
    <t xml:space="preserve">Send 30000 16246 </t>
  </si>
  <si>
    <t xml:space="preserve">Send 30000 15502 </t>
  </si>
  <si>
    <t xml:space="preserve">Send 30000 15082 </t>
  </si>
  <si>
    <t xml:space="preserve">Send 30000 14164 </t>
  </si>
  <si>
    <t xml:space="preserve">Send 30000 13554 </t>
  </si>
  <si>
    <t xml:space="preserve">Send 30000 12808 </t>
  </si>
  <si>
    <t xml:space="preserve">Send 30000 11533 </t>
  </si>
  <si>
    <t xml:space="preserve">Send 30000 9302 </t>
  </si>
  <si>
    <t xml:space="preserve">Read 90th percentile latency is 21.19 </t>
  </si>
  <si>
    <t xml:space="preserve">write 90th percentile latency is 4.19 </t>
  </si>
  <si>
    <t xml:space="preserve">write 90th percentile latency is 4.415 </t>
  </si>
  <si>
    <t xml:space="preserve">write 90th percentile latency is 4.36 </t>
  </si>
  <si>
    <t xml:space="preserve">write 90th percentile latency is 4.393 </t>
  </si>
  <si>
    <t xml:space="preserve">write 90th percentile latency is 4.718 </t>
  </si>
  <si>
    <t xml:space="preserve">write 90th percentile latency is 4.602 </t>
  </si>
  <si>
    <t xml:space="preserve">write 90th percentile latency is 4.757 </t>
  </si>
  <si>
    <t xml:space="preserve">write 90th percentile latency is 4.678 </t>
  </si>
  <si>
    <t xml:space="preserve">Read 95th percentile latency is 23.355 </t>
  </si>
  <si>
    <t xml:space="preserve">write 95th percentile latency is 4.201 </t>
  </si>
  <si>
    <t xml:space="preserve">write 95th percentile latency is 4.492 </t>
  </si>
  <si>
    <t xml:space="preserve">write 95th percentile latency is 4.605 </t>
  </si>
  <si>
    <t xml:space="preserve">write 95th percentile latency is 4.567 </t>
  </si>
  <si>
    <t xml:space="preserve">write 95th percentile latency is 4.727 </t>
  </si>
  <si>
    <t xml:space="preserve">write 95th percentile latency is 4.696 </t>
  </si>
  <si>
    <t xml:space="preserve">write 95th percentile latency is 4.865 </t>
  </si>
  <si>
    <t xml:space="preserve">write 95th percentile latency is 4.858 </t>
  </si>
  <si>
    <t xml:space="preserve">Read 99th percentile latency is 31.518 </t>
  </si>
  <si>
    <t xml:space="preserve">write 99th percentile latency is 4.201 </t>
  </si>
  <si>
    <t xml:space="preserve">write 99th percentile latency is 4.642 </t>
  </si>
  <si>
    <t xml:space="preserve">write 99th percentile latency is 4.842 </t>
  </si>
  <si>
    <t xml:space="preserve">write 99th percentile latency is 5.112 </t>
  </si>
  <si>
    <t xml:space="preserve">write 99th percentile latency is 19.812 </t>
  </si>
  <si>
    <t xml:space="preserve">write 99th percentile latency is 18.112 </t>
  </si>
  <si>
    <t xml:space="preserve">write 99th percentile latency is 4.987 </t>
  </si>
  <si>
    <t xml:space="preserve">write 99th percentile latency is 5.102 </t>
  </si>
  <si>
    <t xml:space="preserve">write 99th percentile latency is 5.046 </t>
  </si>
  <si>
    <t xml:space="preserve">write 99th percentile latency is 5.425 </t>
  </si>
  <si>
    <t xml:space="preserve">Read 90th percentile latency is 19.821 </t>
  </si>
  <si>
    <t xml:space="preserve">Read 90th percentile latency is 21.473 </t>
  </si>
  <si>
    <t xml:space="preserve">Read 90th percentile latency is 20.819 </t>
  </si>
  <si>
    <t xml:space="preserve">Read 90th percentile latency is 18.491 </t>
  </si>
  <si>
    <t xml:space="preserve">Read 90th percentile latency is 18.771 </t>
  </si>
  <si>
    <t xml:space="preserve">Read 90th percentile latency is 18.584 </t>
  </si>
  <si>
    <t xml:space="preserve">Read 90th percentile latency is 25.365 </t>
  </si>
  <si>
    <t xml:space="preserve">Read 90th percentile latency is 23.783 </t>
  </si>
  <si>
    <t xml:space="preserve">Read 90th percentile latency is 21.156 </t>
  </si>
  <si>
    <t xml:space="preserve">Read 95th percentile latency is 23.859 </t>
  </si>
  <si>
    <t xml:space="preserve">Read 95th percentile latency is 24.202 </t>
  </si>
  <si>
    <t xml:space="preserve">Read 95th percentile latency is 22.385 </t>
  </si>
  <si>
    <t xml:space="preserve">Read 95th percentile latency is 20.322 </t>
  </si>
  <si>
    <t xml:space="preserve">Read 95th percentile latency is 20.458 </t>
  </si>
  <si>
    <t xml:space="preserve">Read 95th percentile latency is 22.141 </t>
  </si>
  <si>
    <t xml:space="preserve">Read 95th percentile latency is 27.786 </t>
  </si>
  <si>
    <t xml:space="preserve">Read 95th percentile latency is 29.318 </t>
  </si>
  <si>
    <t xml:space="preserve">Read 95th percentile latency is 25.44 </t>
  </si>
  <si>
    <t xml:space="preserve">Read 99th percentile latency is 42.04 </t>
  </si>
  <si>
    <t xml:space="preserve">Read 99th percentile latency is 31.106 </t>
  </si>
  <si>
    <t xml:space="preserve">Read 99th percentile latency is 26.166 </t>
  </si>
  <si>
    <t xml:space="preserve">Read 99th percentile latency is 257.81 </t>
  </si>
  <si>
    <t xml:space="preserve">Read 99th percentile latency is 23.623 </t>
  </si>
  <si>
    <t xml:space="preserve">Read 99th percentile latency is 26.19 </t>
  </si>
  <si>
    <t xml:space="preserve">Read 99th percentile latency is 96.774 </t>
  </si>
  <si>
    <t xml:space="preserve">Read 99th percentile latency is 108.265 </t>
  </si>
  <si>
    <t xml:space="preserve">Read 99th percentile latency is 25.44 </t>
  </si>
  <si>
    <t>thread_id0 send_num_ 18 sum write latency: 57 avg latency : 3.16667</t>
  </si>
  <si>
    <t>thread_id0 send_num_ 30 sum write latency: 97 avg latency : 3.23333</t>
  </si>
  <si>
    <t>thread_id0 send_num_ 56 sum write latency: 183 avg latency : 3.26786</t>
  </si>
  <si>
    <t>thread_id0 send_num_ 62 sum write latency: 216 avg latency : 3.48387</t>
  </si>
  <si>
    <t>thread_id0 send_num_ 81 sum write latency: 291 avg latency : 3.59259</t>
  </si>
  <si>
    <t>thread_id0 send_num_ 107 sum write latency: 379 avg latency : 3.54206</t>
  </si>
  <si>
    <t>thread_id0 send_num_ 107 sum write latency: 394 avg latency : 3.68224</t>
  </si>
  <si>
    <t>thread_id0 send_num_ 137 sum write latency: 520 avg latency : 3.79562</t>
  </si>
  <si>
    <t>thread_id0read_num_ 150 sum read latency: 2070 avg latency : 13.8</t>
  </si>
  <si>
    <t>thread_id0read_num_ 132 sum read latency: 1880 avg latency : 14.2424</t>
  </si>
  <si>
    <t>thread_id0read_num_ 120 sum read latency: 1655 avg latency : 13.7917</t>
  </si>
  <si>
    <t>thread_id0read_num_ 104 sum read latency: 1451 avg latency : 13.9519</t>
  </si>
  <si>
    <t>thread_id0read_num_ 94 sum read latency: 1259 avg latency : 13.3936</t>
  </si>
  <si>
    <t>thread_id0read_num_ 88 sum read latency: 1020 avg latency : 11.5909</t>
  </si>
  <si>
    <t>thread_id0read_num_ 69 sum read latency: 757 avg latency : 10.971</t>
  </si>
  <si>
    <t>thread_id0read_num_ 43 sum read latency: 583 avg latency : 13.5581</t>
  </si>
  <si>
    <t>thread_id0read_num_ 43 sum read latency: 530 avg latency : 12.3256</t>
  </si>
  <si>
    <t>thread_id0read_num_ 13 sum read latency: 143 avg latency : 11</t>
  </si>
  <si>
    <t>VLDB22-enable-rocksdb</t>
  </si>
  <si>
    <t>Zipfan</t>
  </si>
  <si>
    <t xml:space="preserve">Send 30000 30311 </t>
  </si>
  <si>
    <t xml:space="preserve">Send 30000 30338 </t>
  </si>
  <si>
    <t xml:space="preserve">Send 30000 36097 </t>
  </si>
  <si>
    <t xml:space="preserve">Send 30000 51068 </t>
  </si>
  <si>
    <t xml:space="preserve">Send 30000 62263 </t>
  </si>
  <si>
    <t xml:space="preserve">Send 30000 78850 </t>
  </si>
  <si>
    <t xml:space="preserve">Send 30000 92887 </t>
  </si>
  <si>
    <t xml:space="preserve">Send 30000 105845 </t>
  </si>
  <si>
    <t xml:space="preserve">Send 30000 120963 </t>
  </si>
  <si>
    <t xml:space="preserve">Send 30000 140131 </t>
  </si>
  <si>
    <t xml:space="preserve">Send 30000 153170 </t>
  </si>
  <si>
    <t xml:space="preserve">write 90th percentile latency is 24.824 </t>
  </si>
  <si>
    <t xml:space="preserve">write 90th percentile latency is 66.754 </t>
  </si>
  <si>
    <t xml:space="preserve">write 90th percentile latency is 104.057 </t>
  </si>
  <si>
    <t xml:space="preserve">write 90th percentile latency is 106.036 </t>
  </si>
  <si>
    <t xml:space="preserve">write 90th percentile latency is 110.982 </t>
  </si>
  <si>
    <t xml:space="preserve">write 90th percentile latency is 118.492 </t>
  </si>
  <si>
    <t xml:space="preserve">write 90th percentile latency is 110.394 </t>
  </si>
  <si>
    <t xml:space="preserve">write 90th percentile latency is 112.205 </t>
  </si>
  <si>
    <t xml:space="preserve">write 90th percentile latency is 112.493 </t>
  </si>
  <si>
    <t xml:space="preserve">write 90th percentile latency is 165.086 </t>
  </si>
  <si>
    <t xml:space="preserve">write 95th percentile latency is 32.714 </t>
  </si>
  <si>
    <t xml:space="preserve">write 95th percentile latency is 76.142 </t>
  </si>
  <si>
    <t xml:space="preserve">write 95th percentile latency is 110.169 </t>
  </si>
  <si>
    <t xml:space="preserve">write 95th percentile latency is 110.484 </t>
  </si>
  <si>
    <t xml:space="preserve">write 95th percentile latency is 126.087 </t>
  </si>
  <si>
    <t xml:space="preserve">write 95th percentile latency is 120.245 </t>
  </si>
  <si>
    <t xml:space="preserve">write 95th percentile latency is 123.003 </t>
  </si>
  <si>
    <t xml:space="preserve">write 95th percentile latency is 121.059 </t>
  </si>
  <si>
    <t xml:space="preserve">write 95th percentile latency is 115.558 </t>
  </si>
  <si>
    <t xml:space="preserve">write 95th percentile latency is 166.845 </t>
  </si>
  <si>
    <t xml:space="preserve">write 99th percentile latency is 32.714 </t>
  </si>
  <si>
    <t xml:space="preserve">write 99th percentile latency is 78.204 </t>
  </si>
  <si>
    <t xml:space="preserve">write 99th percentile latency is 243.808 </t>
  </si>
  <si>
    <t xml:space="preserve">write 99th percentile latency is 168.442 </t>
  </si>
  <si>
    <t xml:space="preserve">write 99th percentile latency is 301.46 </t>
  </si>
  <si>
    <t xml:space="preserve">write 99th percentile latency is 126.32 </t>
  </si>
  <si>
    <t xml:space="preserve">write 99th percentile latency is 124.844 </t>
  </si>
  <si>
    <t xml:space="preserve">write 99th percentile latency is 147.288 </t>
  </si>
  <si>
    <t xml:space="preserve">write 99th percentile latency is 134.8 </t>
  </si>
  <si>
    <t xml:space="preserve">write 99th percentile latency is 169.338 </t>
  </si>
  <si>
    <t>thread_id0 send_num_ 13 sum write latency: 196 avg latency : 15.0769</t>
  </si>
  <si>
    <t>thread_id0 send_num_ 29 sum write latency: 886 avg latency : 30.5517</t>
  </si>
  <si>
    <t>thread_id0 send_num_ 37 sum write latency: 1932 avg latency : 52.2162</t>
  </si>
  <si>
    <t>thread_id0 send_num_ 60 sum write latency: 4159 avg latency : 69.3167</t>
  </si>
  <si>
    <t>thread_id0 send_num_ 81 sum write latency: 6975 avg latency : 86.1111</t>
  </si>
  <si>
    <t>thread_id0 send_num_ 85 sum write latency: 7382 avg latency : 86.8471</t>
  </si>
  <si>
    <t>thread_id0 send_num_ 111 sum write latency: 10940 avg latency : 98.5586</t>
  </si>
  <si>
    <t>thread_id0 send_num_ 115 sum write latency: 11574 avg latency : 100.643</t>
  </si>
  <si>
    <t>thread_id0 send_num_ 138 sum write latency: 14742 avg latency : 106.826</t>
  </si>
  <si>
    <t>thread_id0 send_num_ 150 sum write latency: 16811 avg latency : 112.073</t>
  </si>
  <si>
    <t>thread_id0read_num_ 150 sum read latency: 2659 avg latency : 17.7267</t>
  </si>
  <si>
    <t>thread_id0read_num_ 137 sum read latency: 2418 avg latency : 17.6496</t>
  </si>
  <si>
    <t>thread_id0read_num_ 121 sum read latency: 2196 avg latency : 18.1488</t>
  </si>
  <si>
    <t>thread_id0read_num_ 113 sum read latency: 1743 avg latency : 15.4248</t>
  </si>
  <si>
    <t>thread_id0read_num_ 90 sum read latency: 1534 avg latency : 17.0444</t>
  </si>
  <si>
    <t>thread_id0read_num_ 69 sum read latency: 940 avg latency : 13.6232</t>
  </si>
  <si>
    <t>thread_id0read_num_ 65 sum read latency: 1041 avg latency : 16.0154</t>
  </si>
  <si>
    <t>thread_id0read_num_ 39 sum read latency: 612 avg latency : 15.6923</t>
  </si>
  <si>
    <t>thread_id0read_num_ 35 sum read latency: 395 avg latency : 11.2857</t>
  </si>
  <si>
    <t>thread_id0read_num_ 12 sum read latency: 78 avg latency : 6.5</t>
  </si>
  <si>
    <t xml:space="preserve">Send 30000 29795 </t>
  </si>
  <si>
    <t xml:space="preserve">Send 30000 33052 </t>
  </si>
  <si>
    <t xml:space="preserve">Send 30000 35286 </t>
  </si>
  <si>
    <t xml:space="preserve">Send 30000 50165 </t>
  </si>
  <si>
    <t xml:space="preserve">Send 30000 62198 </t>
  </si>
  <si>
    <t xml:space="preserve">Send 30000 78679 </t>
  </si>
  <si>
    <t xml:space="preserve">Send 30000 89046 </t>
  </si>
  <si>
    <t xml:space="preserve">Send 30000 112143 </t>
  </si>
  <si>
    <t xml:space="preserve">Send 30000 119648 </t>
  </si>
  <si>
    <t xml:space="preserve">Send 30000 135708 </t>
  </si>
  <si>
    <t xml:space="preserve">Send 30000 135146 </t>
  </si>
  <si>
    <t xml:space="preserve">write 90th percentile latency is 52.94 </t>
  </si>
  <si>
    <t xml:space="preserve">write 90th percentile latency is 67.308 </t>
  </si>
  <si>
    <t xml:space="preserve">write 90th percentile latency is 100.633 </t>
  </si>
  <si>
    <t xml:space="preserve">write 90th percentile latency is 107.102 </t>
  </si>
  <si>
    <t xml:space="preserve">write 90th percentile latency is 108.719 </t>
  </si>
  <si>
    <t xml:space="preserve">write 90th percentile latency is 110.089 </t>
  </si>
  <si>
    <t xml:space="preserve">write 90th percentile latency is 116.753 </t>
  </si>
  <si>
    <t xml:space="preserve">write 90th percentile latency is 110.847 </t>
  </si>
  <si>
    <t xml:space="preserve">write 90th percentile latency is 111.72 </t>
  </si>
  <si>
    <t xml:space="preserve">write 90th percentile latency is 100.945 </t>
  </si>
  <si>
    <t xml:space="preserve">write 95th percentile latency is 92.974 </t>
  </si>
  <si>
    <t xml:space="preserve">write 95th percentile latency is 76.286 </t>
  </si>
  <si>
    <t xml:space="preserve">write 95th percentile latency is 105.396 </t>
  </si>
  <si>
    <t xml:space="preserve">write 95th percentile latency is 108.747 </t>
  </si>
  <si>
    <t xml:space="preserve">write 95th percentile latency is 119.02 </t>
  </si>
  <si>
    <t xml:space="preserve">write 95th percentile latency is 121.861 </t>
  </si>
  <si>
    <t xml:space="preserve">write 95th percentile latency is 131.369 </t>
  </si>
  <si>
    <t xml:space="preserve">write 95th percentile latency is 115.442 </t>
  </si>
  <si>
    <t xml:space="preserve">write 95th percentile latency is 122.506 </t>
  </si>
  <si>
    <t xml:space="preserve">write 95th percentile latency is 114.668 </t>
  </si>
  <si>
    <t xml:space="preserve">write 99th percentile latency is 92.974 </t>
  </si>
  <si>
    <t xml:space="preserve">write 99th percentile latency is 82.432 </t>
  </si>
  <si>
    <t xml:space="preserve">write 99th percentile latency is 238.356 </t>
  </si>
  <si>
    <t xml:space="preserve">write 99th percentile latency is 251.155 </t>
  </si>
  <si>
    <t xml:space="preserve">write 99th percentile latency is 289.961 </t>
  </si>
  <si>
    <t xml:space="preserve">write 99th percentile latency is 143.119 </t>
  </si>
  <si>
    <t xml:space="preserve">write 99th percentile latency is 151.243 </t>
  </si>
  <si>
    <t xml:space="preserve">write 99th percentile latency is 124.569 </t>
  </si>
  <si>
    <t xml:space="preserve">write 99th percentile latency is 133.142 </t>
  </si>
  <si>
    <t xml:space="preserve">write 99th percentile latency is 134.881 </t>
  </si>
  <si>
    <t>thread_id0 send_num_ 11 sum write latency: 323 avg latency : 29.3636</t>
  </si>
  <si>
    <t>thread_id0 send_num_ 29 sum write latency: 847 avg latency : 29.2069</t>
  </si>
  <si>
    <t>thread_id0 send_num_ 37 sum write latency: 1808 avg latency : 48.8649</t>
  </si>
  <si>
    <t>thread_id0 send_num_ 60 sum write latency: 4057 avg latency : 67.6167</t>
  </si>
  <si>
    <t>thread_id0 send_num_ 81 sum write latency: 6831 avg latency : 84.3333</t>
  </si>
  <si>
    <t>thread_id0 send_num_ 85 sum write latency: 7421 avg latency : 87.3059</t>
  </si>
  <si>
    <t>thread_id0 send_num_ 111 sum write latency: 11619 avg latency : 104.676</t>
  </si>
  <si>
    <t>thread_id0 send_num_ 115 sum write latency: 11582 avg latency : 100.713</t>
  </si>
  <si>
    <t>thread_id0 send_num_ 138 sum write latency: 14394 avg latency : 104.304</t>
  </si>
  <si>
    <t>thread_id0 send_num_ 150 sum write latency: 14715 avg latency : 98.1</t>
  </si>
  <si>
    <t>thread_id0read_num_ 150 sum read latency: 2547 avg latency : 16.98</t>
  </si>
  <si>
    <t>thread_id0read_num_ 139 sum read latency: 2694 avg latency : 19.3813</t>
  </si>
  <si>
    <t>thread_id0read_num_ 121 sum read latency: 2111 avg latency : 17.4463</t>
  </si>
  <si>
    <t>thread_id0read_num_ 113 sum read latency: 1827 avg latency : 16.1681</t>
  </si>
  <si>
    <t>thread_id0read_num_ 90 sum read latency: 1650 avg latency : 18.3333</t>
  </si>
  <si>
    <t>thread_id0read_num_ 69 sum read latency: 1005 avg latency : 14.5652</t>
  </si>
  <si>
    <t>thread_id0read_num_ 65 sum read latency: 1086 avg latency : 16.7077</t>
  </si>
  <si>
    <t>thread_id0read_num_ 39 sum read latency: 594 avg latency : 15.2308</t>
  </si>
  <si>
    <t>thread_id0read_num_ 35 sum read latency: 347 avg latency : 9.91429</t>
  </si>
  <si>
    <t>thread_id0read_num_ 12 sum read latency: 73 avg latency : 6.08333</t>
  </si>
  <si>
    <t xml:space="preserve">Send 30000 29319 </t>
  </si>
  <si>
    <t xml:space="preserve">Send 30000 33267 </t>
  </si>
  <si>
    <t xml:space="preserve">Send 30000 39321 </t>
  </si>
  <si>
    <t xml:space="preserve">Send 30000 50665 </t>
  </si>
  <si>
    <t xml:space="preserve">Send 30000 63123 </t>
  </si>
  <si>
    <t xml:space="preserve">Send 30000 77514 </t>
  </si>
  <si>
    <t xml:space="preserve">Send 30000 90994 </t>
  </si>
  <si>
    <t xml:space="preserve">Send 30000 107556 </t>
  </si>
  <si>
    <t xml:space="preserve">Send 30000 130041 </t>
  </si>
  <si>
    <t xml:space="preserve">Send 30000 141983 </t>
  </si>
  <si>
    <t xml:space="preserve">write 90th percentile latency is 68.952 </t>
  </si>
  <si>
    <t xml:space="preserve">write 90th percentile latency is 69.575 </t>
  </si>
  <si>
    <t xml:space="preserve">write 90th percentile latency is 99.526 </t>
  </si>
  <si>
    <t xml:space="preserve">write 90th percentile latency is 109.066 </t>
  </si>
  <si>
    <t xml:space="preserve">write 90th percentile latency is 110.101 </t>
  </si>
  <si>
    <t xml:space="preserve">write 90th percentile latency is 108.724 </t>
  </si>
  <si>
    <t xml:space="preserve">write 90th percentile latency is 110.44 </t>
  </si>
  <si>
    <t xml:space="preserve">write 90th percentile latency is 112.306 </t>
  </si>
  <si>
    <t xml:space="preserve">write 90th percentile latency is 119.163 </t>
  </si>
  <si>
    <t xml:space="preserve">write 95th percentile latency is 81.462 </t>
  </si>
  <si>
    <t xml:space="preserve">write 95th percentile latency is 75.27 </t>
  </si>
  <si>
    <t xml:space="preserve">write 95th percentile latency is 106.141 </t>
  </si>
  <si>
    <t xml:space="preserve">write 95th percentile latency is 111.222 </t>
  </si>
  <si>
    <t xml:space="preserve">write 95th percentile latency is 119.459 </t>
  </si>
  <si>
    <t xml:space="preserve">write 95th percentile latency is 111.115 </t>
  </si>
  <si>
    <t xml:space="preserve">write 95th percentile latency is 114.35 </t>
  </si>
  <si>
    <t xml:space="preserve">write 95th percentile latency is 125.06 </t>
  </si>
  <si>
    <t xml:space="preserve">write 95th percentile latency is 130.58 </t>
  </si>
  <si>
    <t xml:space="preserve">write 99th percentile latency is 81.462 </t>
  </si>
  <si>
    <t xml:space="preserve">write 99th percentile latency is 78.696 </t>
  </si>
  <si>
    <t xml:space="preserve">write 99th percentile latency is 113.799 </t>
  </si>
  <si>
    <t xml:space="preserve">write 99th percentile latency is 261.684 </t>
  </si>
  <si>
    <t xml:space="preserve">write 99th percentile latency is 270.052 </t>
  </si>
  <si>
    <t xml:space="preserve">write 99th percentile latency is 143.051 </t>
  </si>
  <si>
    <t xml:space="preserve">write 99th percentile latency is 129.328 </t>
  </si>
  <si>
    <t xml:space="preserve">write 99th percentile latency is 146.068 </t>
  </si>
  <si>
    <t xml:space="preserve">write 99th percentile latency is 152.724 </t>
  </si>
  <si>
    <t>thread_id0 send_num_ 11 sum write latency: 329 avg latency : 29.9091</t>
  </si>
  <si>
    <t>thread_id0 send_num_ 29 sum write latency: 842 avg latency : 29.0345</t>
  </si>
  <si>
    <t>thread_id0 send_num_ 37 sum write latency: 1861 avg latency : 50.2973</t>
  </si>
  <si>
    <t>thread_id0 send_num_ 60 sum write latency: 4317 avg latency : 71.95</t>
  </si>
  <si>
    <t>thread_id0 send_num_ 81 sum write latency: 6942 avg latency : 85.7037</t>
  </si>
  <si>
    <t>thread_id0 send_num_ 94 sum write latency: 7989 avg latency : 84.9894</t>
  </si>
  <si>
    <t>thread_id0 send_num_ 111 sum write latency: 11266 avg latency : 101.495</t>
  </si>
  <si>
    <t>thread_id0 send_num_ 115 sum write latency: 16751 avg latency : 145.661</t>
  </si>
  <si>
    <t>thread_id0 send_num_ 138 sum write latency: 19887 avg latency : 144.109</t>
  </si>
  <si>
    <t>thread_id0read_num_ 139 sum read latency: 2875 avg latency : 20.6835</t>
  </si>
  <si>
    <t>thread_id0read_num_ 121 sum read latency: 2386 avg latency : 19.719</t>
  </si>
  <si>
    <t>thread_id0read_num_ 113 sum read latency: 1769 avg latency : 15.6549</t>
  </si>
  <si>
    <t>thread_id0read_num_ 90 sum read latency: 1406 avg latency : 15.6222</t>
  </si>
  <si>
    <t>thread_id0read_num_ 69 sum read latency: 1006 avg latency : 14.5797</t>
  </si>
  <si>
    <t>thread_id0read_num_ 56 sum read latency: 762 avg latency : 13.6071</t>
  </si>
  <si>
    <t>thread_id0read_num_ 39 sum read latency: 618 avg latency : 15.8462</t>
  </si>
  <si>
    <t>thread_id0read_num_ 35 sum read latency: 345 avg latency : 9.85714</t>
  </si>
  <si>
    <t>thread_id0read_num_ 12 sum read latency: 77 avg latency : 6.41667</t>
  </si>
  <si>
    <t>thread_id0read_num_ 150 sum read latency: 2726 avg latency : 18.1733</t>
  </si>
  <si>
    <t>FAST24-enable-rocksdb</t>
  </si>
  <si>
    <t xml:space="preserve">Send 30000 19422 </t>
  </si>
  <si>
    <t xml:space="preserve">Send 30000 19015 </t>
  </si>
  <si>
    <t xml:space="preserve">Send 30000 18016 </t>
  </si>
  <si>
    <t xml:space="preserve">Send 30000 18115 </t>
  </si>
  <si>
    <t xml:space="preserve">Send 30000 18076 </t>
  </si>
  <si>
    <t xml:space="preserve">Send 30000 18585 </t>
  </si>
  <si>
    <t xml:space="preserve">Send 30000 19190 </t>
  </si>
  <si>
    <t xml:space="preserve">Send 30000 18645 </t>
  </si>
  <si>
    <t xml:space="preserve">Send 30000 19851 </t>
  </si>
  <si>
    <t xml:space="preserve">Send 30000 19428 </t>
  </si>
  <si>
    <t xml:space="preserve">Send 30000 20052 </t>
  </si>
  <si>
    <t xml:space="preserve">Read 90th percentile latency is 21.382 </t>
  </si>
  <si>
    <t xml:space="preserve">write 90th percentile latency is 8.45 </t>
  </si>
  <si>
    <t xml:space="preserve">write 90th percentile latency is 9.007 </t>
  </si>
  <si>
    <t xml:space="preserve">write 90th percentile latency is 8.892 </t>
  </si>
  <si>
    <t xml:space="preserve">write 90th percentile latency is 9.571 </t>
  </si>
  <si>
    <t xml:space="preserve">write 90th percentile latency is 8.717 </t>
  </si>
  <si>
    <t xml:space="preserve">write 90th percentile latency is 9.17 </t>
  </si>
  <si>
    <t xml:space="preserve">write 90th percentile latency is 9.549 </t>
  </si>
  <si>
    <t xml:space="preserve">write 90th percentile latency is 9.635 </t>
  </si>
  <si>
    <t xml:space="preserve">write 90th percentile latency is 9.533 </t>
  </si>
  <si>
    <t xml:space="preserve">write 90th percentile latency is 10.938 </t>
  </si>
  <si>
    <t xml:space="preserve">Read 95th percentile latency is 23.808 </t>
  </si>
  <si>
    <t xml:space="preserve">write 95th percentile latency is 8.45 </t>
  </si>
  <si>
    <t xml:space="preserve">write 95th percentile latency is 12.215 </t>
  </si>
  <si>
    <t xml:space="preserve">write 95th percentile latency is 9.45 </t>
  </si>
  <si>
    <t xml:space="preserve">write 95th percentile latency is 10.291 </t>
  </si>
  <si>
    <t xml:space="preserve">write 95th percentile latency is 9.375 </t>
  </si>
  <si>
    <t xml:space="preserve">write 95th percentile latency is 9.696 </t>
  </si>
  <si>
    <t xml:space="preserve">write 95th percentile latency is 10.59 </t>
  </si>
  <si>
    <t xml:space="preserve">write 95th percentile latency is 10.175 </t>
  </si>
  <si>
    <t xml:space="preserve">write 95th percentile latency is 10.267 </t>
  </si>
  <si>
    <t xml:space="preserve">write 95th percentile latency is 11.905 </t>
  </si>
  <si>
    <t xml:space="preserve">Read 99th percentile latency is 33.767 </t>
  </si>
  <si>
    <t xml:space="preserve">write 99th percentile latency is 8.45 </t>
  </si>
  <si>
    <t xml:space="preserve">write 99th percentile latency is 45.136 </t>
  </si>
  <si>
    <t xml:space="preserve">write 99th percentile latency is 11.443 </t>
  </si>
  <si>
    <t xml:space="preserve">write 99th percentile latency is 49.253 </t>
  </si>
  <si>
    <t xml:space="preserve">write 99th percentile latency is 15.522 </t>
  </si>
  <si>
    <t xml:space="preserve">write 99th percentile latency is 44.317 </t>
  </si>
  <si>
    <t xml:space="preserve">write 99th percentile latency is 25.836 </t>
  </si>
  <si>
    <t xml:space="preserve">write 99th percentile latency is 20.007 </t>
  </si>
  <si>
    <t xml:space="preserve">write 99th percentile latency is 24.992 </t>
  </si>
  <si>
    <t xml:space="preserve">write 99th percentile latency is 26.073 </t>
  </si>
  <si>
    <t xml:space="preserve">Read 90th percentile latency is 23.262 </t>
  </si>
  <si>
    <t xml:space="preserve">Read 90th percentile latency is 20.37 </t>
  </si>
  <si>
    <t xml:space="preserve">Read 90th percentile latency is 22.059 </t>
  </si>
  <si>
    <t xml:space="preserve">Read 90th percentile latency is 21.752 </t>
  </si>
  <si>
    <t xml:space="preserve">Read 90th percentile latency is 18.661 </t>
  </si>
  <si>
    <t xml:space="preserve">Read 90th percentile latency is 29.078 </t>
  </si>
  <si>
    <t xml:space="preserve">Read 90th percentile latency is 13.898 </t>
  </si>
  <si>
    <t xml:space="preserve">Read 90th percentile latency is 15.341 </t>
  </si>
  <si>
    <t xml:space="preserve">Read 90th percentile latency is 33.238 </t>
  </si>
  <si>
    <t xml:space="preserve">Read 95th percentile latency is 27.31 </t>
  </si>
  <si>
    <t xml:space="preserve">Read 95th percentile latency is 22.387 </t>
  </si>
  <si>
    <t xml:space="preserve">Read 95th percentile latency is 27.833 </t>
  </si>
  <si>
    <t xml:space="preserve">Read 95th percentile latency is 25.63 </t>
  </si>
  <si>
    <t xml:space="preserve">Read 95th percentile latency is 28.11 </t>
  </si>
  <si>
    <t xml:space="preserve">Read 95th percentile latency is 33.265 </t>
  </si>
  <si>
    <t xml:space="preserve">Read 95th percentile latency is 22.691 </t>
  </si>
  <si>
    <t xml:space="preserve">Read 95th percentile latency is 23.293 </t>
  </si>
  <si>
    <t xml:space="preserve">Read 95th percentile latency is 85.113 </t>
  </si>
  <si>
    <t xml:space="preserve">Read 99th percentile latency is 65.924 </t>
  </si>
  <si>
    <t xml:space="preserve">Read 99th percentile latency is 30.154 </t>
  </si>
  <si>
    <t xml:space="preserve">Read 99th percentile latency is 34.952 </t>
  </si>
  <si>
    <t xml:space="preserve">Read 99th percentile latency is 35.288 </t>
  </si>
  <si>
    <t xml:space="preserve">Read 99th percentile latency is 72.472 </t>
  </si>
  <si>
    <t xml:space="preserve">Read 99th percentile latency is 38.961 </t>
  </si>
  <si>
    <t xml:space="preserve">Read 99th percentile latency is 42.17 </t>
  </si>
  <si>
    <t xml:space="preserve">Read 99th percentile latency is 27.998 </t>
  </si>
  <si>
    <t xml:space="preserve">Read 99th percentile latency is 85.113 </t>
  </si>
  <si>
    <t>thread_id0 send_num_ 10 sum write latency: 66 avg latency : 6.6</t>
  </si>
  <si>
    <t>thread_id0 send_num_ 21 sum write latency: 176 avg latency : 8.38095</t>
  </si>
  <si>
    <t>thread_id0 send_num_ 48 sum write latency: 321 avg latency : 6.6875</t>
  </si>
  <si>
    <t>thread_id0 send_num_ 54 sum write latency: 425 avg latency : 7.87037</t>
  </si>
  <si>
    <t>thread_id0 send_num_ 65 sum write latency: 448 avg latency : 6.89231</t>
  </si>
  <si>
    <t>thread_id0 send_num_ 91 sum write latency: 672 avg latency : 7.38462</t>
  </si>
  <si>
    <t>thread_id0 send_num_ 106 sum write latency: 820 avg latency : 7.73585</t>
  </si>
  <si>
    <t>thread_id0 send_num_ 121 sum write latency: 959 avg latency : 7.92562</t>
  </si>
  <si>
    <t>thread_id0 send_num_ 132 sum write latency: 1034 avg latency : 7.83333</t>
  </si>
  <si>
    <t>thread_id0 send_num_ 150 sum write latency: 1304 avg latency : 8.69333</t>
  </si>
  <si>
    <t>thread_id0read_num_ 150 sum read latency: 2062 avg latency : 13.7467</t>
  </si>
  <si>
    <t>thread_id0read_num_ 140 sum read latency: 2227 avg latency : 15.9071</t>
  </si>
  <si>
    <t>thread_id0read_num_ 129 sum read latency: 1548 avg latency : 12</t>
  </si>
  <si>
    <t>thread_id0read_num_ 102 sum read latency: 1471 avg latency : 14.4216</t>
  </si>
  <si>
    <t>thread_id0read_num_ 96 sum read latency: 1190 avg latency : 12.3958</t>
  </si>
  <si>
    <t>thread_id0read_num_ 85 sum read latency: 977 avg latency : 11.4941</t>
  </si>
  <si>
    <t>thread_id0read_num_ 59 sum read latency: 774 avg latency : 13.1186</t>
  </si>
  <si>
    <t>thread_id0read_num_ 44 sum read latency: 440 avg latency : 10</t>
  </si>
  <si>
    <t>thread_id0read_num_ 29 sum read latency: 277 avg latency : 9.55172</t>
  </si>
  <si>
    <t>thread_id0read_num_ 18 sum read latency: 236 avg latency : 13.1111</t>
  </si>
  <si>
    <t xml:space="preserve">Send 30000 48017 </t>
  </si>
  <si>
    <t xml:space="preserve">Send 30000 44432 </t>
  </si>
  <si>
    <t xml:space="preserve">Send 30000 40558 </t>
  </si>
  <si>
    <t xml:space="preserve">Send 30000 37150 </t>
  </si>
  <si>
    <t xml:space="preserve">Send 30000 33104 </t>
  </si>
  <si>
    <t xml:space="preserve">Send 30000 31367 </t>
  </si>
  <si>
    <t xml:space="preserve">Send 30000 28225 </t>
  </si>
  <si>
    <t xml:space="preserve">Send 30000 27268 </t>
  </si>
  <si>
    <t xml:space="preserve">Send 30000 26413 </t>
  </si>
  <si>
    <t xml:space="preserve">Send 30000 25115 </t>
  </si>
  <si>
    <t xml:space="preserve">Send 30000 19366 </t>
  </si>
  <si>
    <t xml:space="preserve">write 90th percentile latency is 8.731 </t>
  </si>
  <si>
    <t xml:space="preserve">write 90th percentile latency is 6.887 </t>
  </si>
  <si>
    <t xml:space="preserve">write 90th percentile latency is 7.448 </t>
  </si>
  <si>
    <t xml:space="preserve">write 90th percentile latency is 7.563 </t>
  </si>
  <si>
    <t xml:space="preserve">write 90th percentile latency is 7.386 </t>
  </si>
  <si>
    <t xml:space="preserve">write 90th percentile latency is 8.228 </t>
  </si>
  <si>
    <t xml:space="preserve">write 90th percentile latency is 7.773 </t>
  </si>
  <si>
    <t xml:space="preserve">write 90th percentile latency is 8.214 </t>
  </si>
  <si>
    <t xml:space="preserve">write 90th percentile latency is 8.996 </t>
  </si>
  <si>
    <t xml:space="preserve">write 90th percentile latency is 9.851 </t>
  </si>
  <si>
    <t xml:space="preserve">write 95th percentile latency is 11.592 </t>
  </si>
  <si>
    <t xml:space="preserve">write 95th percentile latency is 7.182 </t>
  </si>
  <si>
    <t xml:space="preserve">write 95th percentile latency is 7.609 </t>
  </si>
  <si>
    <t xml:space="preserve">write 95th percentile latency is 8.941 </t>
  </si>
  <si>
    <t xml:space="preserve">write 95th percentile latency is 7.733 </t>
  </si>
  <si>
    <t xml:space="preserve">write 95th percentile latency is 14.241 </t>
  </si>
  <si>
    <t xml:space="preserve">write 95th percentile latency is 8.458 </t>
  </si>
  <si>
    <t xml:space="preserve">write 95th percentile latency is 10.102 </t>
  </si>
  <si>
    <t xml:space="preserve">write 95th percentile latency is 13.53 </t>
  </si>
  <si>
    <t xml:space="preserve">write 95th percentile latency is 13.431 </t>
  </si>
  <si>
    <t xml:space="preserve">write 99th percentile latency is 11.592 </t>
  </si>
  <si>
    <t xml:space="preserve">write 99th percentile latency is 7.182 </t>
  </si>
  <si>
    <t xml:space="preserve">write 99th percentile latency is 7.822 </t>
  </si>
  <si>
    <t xml:space="preserve">write 99th percentile latency is 24.754 </t>
  </si>
  <si>
    <t xml:space="preserve">write 99th percentile latency is 28.165 </t>
  </si>
  <si>
    <t xml:space="preserve">write 99th percentile latency is 33.276 </t>
  </si>
  <si>
    <t xml:space="preserve">write 99th percentile latency is 9.367 </t>
  </si>
  <si>
    <t xml:space="preserve">write 99th percentile latency is 23.095 </t>
  </si>
  <si>
    <t xml:space="preserve">write 99th percentile latency is 37.802 </t>
  </si>
  <si>
    <t xml:space="preserve">write 99th percentile latency is 45.076 </t>
  </si>
  <si>
    <t>thread_id0 send_num_ 150 sum write latency: 1281 avg latency : 8.54</t>
  </si>
  <si>
    <t>thread_id0read_num_ 150 sum read latency: 5785 avg latency : 38.5667</t>
  </si>
  <si>
    <t>thread_id0 send_num_ 12 sum write latency: 72 avg latency : 6</t>
  </si>
  <si>
    <t>thread_id0 send_num_ 18 sum write latency: 101 avg latency : 5.61111</t>
  </si>
  <si>
    <t>thread_id0 send_num_ 42 sum write latency: 249 avg latency : 5.92857</t>
  </si>
  <si>
    <t>thread_id0 send_num_ 51 sum write latency: 334 avg latency : 6.54902</t>
  </si>
  <si>
    <t>thread_id0 send_num_ 72 sum write latency: 464 avg latency : 6.44444</t>
  </si>
  <si>
    <t>thread_id0 send_num_ 80 sum write latency: 574 avg latency : 7.175</t>
  </si>
  <si>
    <t>thread_id0 send_num_ 103 sum write latency: 675 avg latency : 6.5534</t>
  </si>
  <si>
    <t>thread_id0 send_num_ 118 sum write latency: 859 avg latency : 7.27966</t>
  </si>
  <si>
    <t>thread_id0 send_num_ 131 sum write latency: 1060 avg latency : 8.0916</t>
  </si>
  <si>
    <t>thread_id0read_num_ 138 sum read latency: 4918 avg latency : 35.6377</t>
  </si>
  <si>
    <t>thread_id0read_num_ 132 sum read latency: 4334 avg latency : 32.8333</t>
  </si>
  <si>
    <t>thread_id0read_num_ 108 sum read latency: 3307 avg latency : 30.6204</t>
  </si>
  <si>
    <t>thread_id0read_num_ 99 sum read latency: 2987 avg latency : 30.1717</t>
  </si>
  <si>
    <t>thread_id0read_num_ 78 sum read latency: 1710 avg latency : 21.9231</t>
  </si>
  <si>
    <t>thread_id0read_num_ 70 sum read latency: 1624 avg latency : 23.2</t>
  </si>
  <si>
    <t>thread_id0read_num_ 47 sum read latency: 1216 avg latency : 25.8723</t>
  </si>
  <si>
    <t>thread_id0read_num_ 32 sum read latency: 830 avg latency : 25.9375</t>
  </si>
  <si>
    <t>thread_id0read_num_ 19 sum read latency: 380 avg latency : 20</t>
  </si>
  <si>
    <t xml:space="preserve">Send 30000 47977 </t>
  </si>
  <si>
    <t xml:space="preserve">Send 30000 19579 </t>
  </si>
  <si>
    <t xml:space="preserve">Send 30000 44485 </t>
  </si>
  <si>
    <t xml:space="preserve">Send 30000 40539 </t>
  </si>
  <si>
    <t xml:space="preserve">Send 30000 37365 </t>
  </si>
  <si>
    <t xml:space="preserve">Send 30000 33563 </t>
  </si>
  <si>
    <t xml:space="preserve">Send 30000 31100 </t>
  </si>
  <si>
    <t xml:space="preserve">Send 30000 28217 </t>
  </si>
  <si>
    <t xml:space="preserve">Send 30000 27473 </t>
  </si>
  <si>
    <t xml:space="preserve">Send 30000 26169 </t>
  </si>
  <si>
    <t xml:space="preserve">Send 30000 24936 </t>
  </si>
  <si>
    <t xml:space="preserve">write 90th percentile latency is 15.343 </t>
  </si>
  <si>
    <t xml:space="preserve">write 95th percentile latency is 37.573 </t>
  </si>
  <si>
    <t xml:space="preserve">write 99th percentile latency is 98.407 </t>
  </si>
  <si>
    <t xml:space="preserve">write 90th percentile latency is 6.785 </t>
  </si>
  <si>
    <t xml:space="preserve">write 90th percentile latency is 7.046 </t>
  </si>
  <si>
    <t xml:space="preserve">write 90th percentile latency is 7.772 </t>
  </si>
  <si>
    <t xml:space="preserve">write 90th percentile latency is 7.557 </t>
  </si>
  <si>
    <t xml:space="preserve">write 90th percentile latency is 7.655 </t>
  </si>
  <si>
    <t xml:space="preserve">write 90th percentile latency is 7.681 </t>
  </si>
  <si>
    <t xml:space="preserve">write 90th percentile latency is 8.184 </t>
  </si>
  <si>
    <t xml:space="preserve">write 90th percentile latency is 7.885 </t>
  </si>
  <si>
    <t xml:space="preserve">write 90th percentile latency is 9.369 </t>
  </si>
  <si>
    <t xml:space="preserve">write 95th percentile latency is 8.549 </t>
  </si>
  <si>
    <t xml:space="preserve">write 95th percentile latency is 7.212 </t>
  </si>
  <si>
    <t xml:space="preserve">write 95th percentile latency is 7.809 </t>
  </si>
  <si>
    <t xml:space="preserve">write 95th percentile latency is 8.275 </t>
  </si>
  <si>
    <t xml:space="preserve">write 95th percentile latency is 7.942 </t>
  </si>
  <si>
    <t xml:space="preserve">write 95th percentile latency is 8.36 </t>
  </si>
  <si>
    <t xml:space="preserve">write 95th percentile latency is 8.433 </t>
  </si>
  <si>
    <t xml:space="preserve">write 95th percentile latency is 8.332 </t>
  </si>
  <si>
    <t xml:space="preserve">write 95th percentile latency is 18.483 </t>
  </si>
  <si>
    <t xml:space="preserve">write 99th percentile latency is 8.549 </t>
  </si>
  <si>
    <t xml:space="preserve">write 99th percentile latency is 7.212 </t>
  </si>
  <si>
    <t xml:space="preserve">write 99th percentile latency is 15.339 </t>
  </si>
  <si>
    <t xml:space="preserve">write 99th percentile latency is 23.07 </t>
  </si>
  <si>
    <t xml:space="preserve">write 99th percentile latency is 24.846 </t>
  </si>
  <si>
    <t xml:space="preserve">write 99th percentile latency is 24.366 </t>
  </si>
  <si>
    <t xml:space="preserve">write 99th percentile latency is 15.223 </t>
  </si>
  <si>
    <t xml:space="preserve">write 99th percentile latency is 18.895 </t>
  </si>
  <si>
    <t xml:space="preserve">write 99th percentile latency is 34.742 </t>
  </si>
  <si>
    <t>thread_id0 send_num_ 150 sum write latency: 1745 avg latency : 11.6333</t>
  </si>
  <si>
    <t>thread_id0read_num_ 150 sum read latency: 5002 avg latency : 33.3467</t>
  </si>
  <si>
    <t>thread_id0 send_num_ 12 sum write latency: 67 avg latency : 5.58333</t>
  </si>
  <si>
    <t>thread_id0 send_num_ 42 sum write latency: 253 avg latency : 6.02381</t>
  </si>
  <si>
    <t>thread_id0 send_num_ 51 sum write latency: 337 avg latency : 6.60784</t>
  </si>
  <si>
    <t>thread_id0 send_num_ 72 sum write latency: 461 avg latency : 6.40278</t>
  </si>
  <si>
    <t>thread_id0 send_num_ 80 sum write latency: 528 avg latency : 6.6</t>
  </si>
  <si>
    <t>thread_id0 send_num_ 103 sum write latency: 713 avg latency : 6.92233</t>
  </si>
  <si>
    <t>thread_id0 send_num_ 114 sum write latency: 784 avg latency : 6.87719</t>
  </si>
  <si>
    <t>thread_id0 send_num_ 131 sum write latency: 1056 avg latency : 8.06107</t>
  </si>
  <si>
    <t>thread_id0read_num_ 138 sum read latency: 5233 avg latency : 37.9203</t>
  </si>
  <si>
    <t>thread_id0read_num_ 132 sum read latency: 4108 avg latency : 31.1212</t>
  </si>
  <si>
    <t>thread_id0read_num_ 108 sum read latency: 3289 avg latency : 30.4537</t>
  </si>
  <si>
    <t>thread_id0read_num_ 99 sum read latency: 2515 avg latency : 25.404</t>
  </si>
  <si>
    <t>thread_id0read_num_ 78 sum read latency: 1943 avg latency : 24.9103</t>
  </si>
  <si>
    <t>thread_id0read_num_ 70 sum read latency: 1610 avg latency : 23</t>
  </si>
  <si>
    <t>thread_id0read_num_ 47 sum read latency: 1329 avg latency : 28.2766</t>
  </si>
  <si>
    <t>thread_id0read_num_ 36 sum read latency: 1054 avg latency : 29.2778</t>
  </si>
  <si>
    <t>thread_id0read_num_ 19 sum read latency: 346 avg latency : 18.2105</t>
  </si>
  <si>
    <t xml:space="preserve">Send 30000 47779 </t>
  </si>
  <si>
    <t xml:space="preserve">Send 30000 18477 </t>
  </si>
  <si>
    <t xml:space="preserve">write 90th percentile latency is 17.227 </t>
  </si>
  <si>
    <t xml:space="preserve">write 95th percentile latency is 37.06 </t>
  </si>
  <si>
    <t xml:space="preserve">write 99th percentile latency is 81.62 </t>
  </si>
  <si>
    <t xml:space="preserve">Send 30000 44832 </t>
  </si>
  <si>
    <t xml:space="preserve">Send 30000 40883 </t>
  </si>
  <si>
    <t xml:space="preserve">Send 30000 37123 </t>
  </si>
  <si>
    <t xml:space="preserve">Send 30000 33218 </t>
  </si>
  <si>
    <t xml:space="preserve">Send 30000 31392 </t>
  </si>
  <si>
    <t xml:space="preserve">Send 30000 27987 </t>
  </si>
  <si>
    <t xml:space="preserve">Send 30000 27349 </t>
  </si>
  <si>
    <t xml:space="preserve">Send 30000 25905 </t>
  </si>
  <si>
    <t xml:space="preserve">Send 30000 24299 </t>
  </si>
  <si>
    <t xml:space="preserve">write 90th percentile latency is 6.542 </t>
  </si>
  <si>
    <t xml:space="preserve">write 90th percentile latency is 7.196 </t>
  </si>
  <si>
    <t xml:space="preserve">write 90th percentile latency is 7.271 </t>
  </si>
  <si>
    <t xml:space="preserve">write 90th percentile latency is 7.452 </t>
  </si>
  <si>
    <t xml:space="preserve">write 90th percentile latency is 7.261 </t>
  </si>
  <si>
    <t xml:space="preserve">write 90th percentile latency is 8.165 </t>
  </si>
  <si>
    <t xml:space="preserve">write 90th percentile latency is 7.711 </t>
  </si>
  <si>
    <t xml:space="preserve">write 90th percentile latency is 8.072 </t>
  </si>
  <si>
    <t xml:space="preserve">write 90th percentile latency is 8.376 </t>
  </si>
  <si>
    <t>thread_id0 send_num_ 150 sum write latency: 1878 avg latency : 12.52</t>
  </si>
  <si>
    <t>thread_id0read_num_ 150 sum read latency: 5718 avg latency : 38.12</t>
  </si>
  <si>
    <t xml:space="preserve">write 95th percentile latency is 6.976 </t>
  </si>
  <si>
    <t xml:space="preserve">write 95th percentile latency is 7.564 </t>
  </si>
  <si>
    <t xml:space="preserve">write 95th percentile latency is 7.398 </t>
  </si>
  <si>
    <t xml:space="preserve">write 95th percentile latency is 7.669 </t>
  </si>
  <si>
    <t xml:space="preserve">write 95th percentile latency is 8.033 </t>
  </si>
  <si>
    <t xml:space="preserve">write 95th percentile latency is 9.736 </t>
  </si>
  <si>
    <t xml:space="preserve">write 95th percentile latency is 8.034 </t>
  </si>
  <si>
    <t xml:space="preserve">write 95th percentile latency is 9.258 </t>
  </si>
  <si>
    <t xml:space="preserve">write 95th percentile latency is 13.457 </t>
  </si>
  <si>
    <t xml:space="preserve">write 99th percentile latency is 6.976 </t>
  </si>
  <si>
    <t xml:space="preserve">write 99th percentile latency is 7.564 </t>
  </si>
  <si>
    <t xml:space="preserve">write 99th percentile latency is 9.051 </t>
  </si>
  <si>
    <t xml:space="preserve">write 99th percentile latency is 28.909 </t>
  </si>
  <si>
    <t xml:space="preserve">write 99th percentile latency is 24.037 </t>
  </si>
  <si>
    <t xml:space="preserve">write 99th percentile latency is 26.155 </t>
  </si>
  <si>
    <t xml:space="preserve">write 99th percentile latency is 8.467 </t>
  </si>
  <si>
    <t xml:space="preserve">write 99th percentile latency is 11.552 </t>
  </si>
  <si>
    <t xml:space="preserve">write 99th percentile latency is 42.333 </t>
  </si>
  <si>
    <t>thread_id0 send_num_ 12 sum write latency: 64 avg latency : 5.33333</t>
  </si>
  <si>
    <t>thread_id0 send_num_ 18 sum write latency: 99 avg latency : 5.5</t>
  </si>
  <si>
    <t>thread_id0 send_num_ 42 sum write latency: 250 avg latency : 5.95238</t>
  </si>
  <si>
    <t>thread_id0 send_num_ 51 sum write latency: 339 avg latency : 6.64706</t>
  </si>
  <si>
    <t>thread_id0 send_num_ 72 sum write latency: 460 avg latency : 6.38889</t>
  </si>
  <si>
    <t>thread_id0 send_num_ 80 sum write latency: 546 avg latency : 6.825</t>
  </si>
  <si>
    <t>thread_id0 send_num_ 103 sum write latency: 667 avg latency : 6.47573</t>
  </si>
  <si>
    <t>thread_id0 send_num_ 114 sum write latency: 769 avg latency : 6.74561</t>
  </si>
  <si>
    <t>thread_id0 send_num_ 131 sum write latency: 1008 avg latency : 7.69466</t>
  </si>
  <si>
    <t>thread_id0read_num_ 138 sum read latency: 5151 avg latency : 37.3261</t>
  </si>
  <si>
    <t>thread_id0read_num_ 132 sum read latency: 4701 avg latency : 35.6136</t>
  </si>
  <si>
    <t>thread_id0read_num_ 108 sum read latency: 3338 avg latency : 30.9074</t>
  </si>
  <si>
    <t>thread_id0read_num_ 99 sum read latency: 2939 avg latency : 29.6869</t>
  </si>
  <si>
    <t>thread_id0read_num_ 78 sum read latency: 1762 avg latency : 22.5897</t>
  </si>
  <si>
    <t>thread_id0read_num_ 70 sum read latency: 1516 avg latency : 21.6571</t>
  </si>
  <si>
    <t>thread_id0read_num_ 47 sum read latency: 1209 avg latency : 25.7234</t>
  </si>
  <si>
    <t>thread_id0read_num_ 36 sum read latency: 866 avg latency : 24.0556</t>
  </si>
  <si>
    <t>thread_id0read_num_ 19 sum read latency: 298 avg latency : 15.6842</t>
  </si>
  <si>
    <t>server batch_num = 50</t>
  </si>
  <si>
    <t xml:space="preserve">Send 30000 12848 </t>
  </si>
  <si>
    <t xml:space="preserve">Send 30000 11831 </t>
  </si>
  <si>
    <t xml:space="preserve">Send 30000 11468 </t>
  </si>
  <si>
    <t xml:space="preserve">Send 30000 11504 </t>
  </si>
  <si>
    <t xml:space="preserve">Send 30000 11334 </t>
  </si>
  <si>
    <t xml:space="preserve">Send 30000 11091 </t>
  </si>
  <si>
    <t xml:space="preserve">Send 30000 11193 </t>
  </si>
  <si>
    <t xml:space="preserve">Send 30000 11008 </t>
  </si>
  <si>
    <t xml:space="preserve">Send 30000 10770 </t>
  </si>
  <si>
    <t xml:space="preserve">Send 30000 9979 </t>
  </si>
  <si>
    <t xml:space="preserve">Send 30000 9195 </t>
  </si>
  <si>
    <t xml:space="preserve">write 90th percentile latency is 4.169 </t>
  </si>
  <si>
    <t xml:space="preserve">write 90th percentile latency is 4.581 </t>
  </si>
  <si>
    <t xml:space="preserve">write 90th percentile latency is 4.668 </t>
  </si>
  <si>
    <t xml:space="preserve">write 90th percentile latency is 4.484 </t>
  </si>
  <si>
    <t xml:space="preserve">write 90th percentile latency is 4.788 </t>
  </si>
  <si>
    <t xml:space="preserve">write 90th percentile latency is 4.716 </t>
  </si>
  <si>
    <t xml:space="preserve">write 95th percentile latency is 4.169 </t>
  </si>
  <si>
    <t xml:space="preserve">write 95th percentile latency is 4.593 </t>
  </si>
  <si>
    <t xml:space="preserve">write 95th percentile latency is 4.847 </t>
  </si>
  <si>
    <t xml:space="preserve">write 95th percentile latency is 4.737 </t>
  </si>
  <si>
    <t xml:space="preserve">write 95th percentile latency is 4.885 </t>
  </si>
  <si>
    <t xml:space="preserve">write 95th percentile latency is 4.738 </t>
  </si>
  <si>
    <t xml:space="preserve">write 95th percentile latency is 5.025 </t>
  </si>
  <si>
    <t xml:space="preserve">write 95th percentile latency is 4.814 </t>
  </si>
  <si>
    <t xml:space="preserve">write 99th percentile latency is 4.169 </t>
  </si>
  <si>
    <t xml:space="preserve">write 99th percentile latency is 4.593 </t>
  </si>
  <si>
    <t xml:space="preserve">write 99th percentile latency is 20.167 </t>
  </si>
  <si>
    <t xml:space="preserve">write 99th percentile latency is 5.148 </t>
  </si>
  <si>
    <t xml:space="preserve">write 99th percentile latency is 4.966 </t>
  </si>
  <si>
    <t xml:space="preserve">write 99th percentile latency is 5.23 </t>
  </si>
  <si>
    <t xml:space="preserve">write 99th percentile latency is 6.139 </t>
  </si>
  <si>
    <t xml:space="preserve">write 99th percentile latency is 5.327 </t>
  </si>
  <si>
    <t xml:space="preserve">write 99th percentile latency is 21.886 </t>
  </si>
  <si>
    <t xml:space="preserve">write 99th percentile latency is 5.207 </t>
  </si>
  <si>
    <t>thread_id0 send_num_ 9 sum write latency: 28 avg latency : 3.11111</t>
  </si>
  <si>
    <t>thread_id0 send_num_ 17 sum write latency: 57 avg latency : 3.35294</t>
  </si>
  <si>
    <t>thread_id0 send_num_ 41 sum write latency: 160 avg latency : 3.90244</t>
  </si>
  <si>
    <t>thread_id0 send_num_ 65 sum write latency: 222 avg latency : 3.41538</t>
  </si>
  <si>
    <t>thread_id0 send_num_ 75 sum write latency: 277 avg latency : 3.69333</t>
  </si>
  <si>
    <t>thread_id0 send_num_ 65 sum write latency: 221 avg latency : 3.4</t>
  </si>
  <si>
    <t>thread_id0 send_num_ 103 sum write latency: 410 avg latency : 3.98058</t>
  </si>
  <si>
    <t>thread_id0 send_num_ 123 sum write latency: 452 avg latency : 3.6748</t>
  </si>
  <si>
    <t>thread_id0 send_num_ 134 sum write latency: 544 avg latency : 4.0597</t>
  </si>
  <si>
    <t>thread_id0 send_num_ 150 sum write latency: 558 avg latency : 3.72</t>
  </si>
  <si>
    <t>thread_id0read_num_ 150 sum read latency: 1170 avg latency : 7.8</t>
  </si>
  <si>
    <t>thread_id0read_num_ 141 sum read latency: 1047 avg latency : 7.42553</t>
  </si>
  <si>
    <t>thread_id0read_num_ 133 sum read latency: 976 avg latency : 7.33835</t>
  </si>
  <si>
    <t>thread_id0read_num_ 109 sum read latency: 802 avg latency : 7.3578</t>
  </si>
  <si>
    <t>thread_id0read_num_ 85 sum read latency: 760 avg latency : 8.94118</t>
  </si>
  <si>
    <t>thread_id0read_num_ 75 sum read latency: 687 avg latency : 9.16</t>
  </si>
  <si>
    <t>thread_id0read_num_ 85 sum read latency: 721 avg latency : 8.48235</t>
  </si>
  <si>
    <t>thread_id0read_num_ 47 sum read latency: 417 avg latency : 8.87234</t>
  </si>
  <si>
    <t>thread_id0read_num_ 27 sum read latency: 210 avg latency : 7.77778</t>
  </si>
  <si>
    <t>thread_id0read_num_ 16 sum read latency: 244 avg latency : 15.25</t>
  </si>
  <si>
    <t xml:space="preserve">Send 30000 12641 </t>
  </si>
  <si>
    <t xml:space="preserve">Send 30000 11661 </t>
  </si>
  <si>
    <t xml:space="preserve">Send 30000 11386 </t>
  </si>
  <si>
    <t xml:space="preserve">Send 30000 10929 </t>
  </si>
  <si>
    <t xml:space="preserve">Send 30000 11262 </t>
  </si>
  <si>
    <t xml:space="preserve">Send 30000 11261 </t>
  </si>
  <si>
    <t xml:space="preserve">Send 30000 10680 </t>
  </si>
  <si>
    <t xml:space="preserve">Send 30000 10786 </t>
  </si>
  <si>
    <t xml:space="preserve">Send 30000 10742 </t>
  </si>
  <si>
    <t xml:space="preserve">Send 30000 10225 </t>
  </si>
  <si>
    <t xml:space="preserve">Send 30000 9226 </t>
  </si>
  <si>
    <t xml:space="preserve">write 90th percentile latency is 4.483 </t>
  </si>
  <si>
    <t xml:space="preserve">write 90th percentile latency is 4.534 </t>
  </si>
  <si>
    <t xml:space="preserve">write 90th percentile latency is 4.558 </t>
  </si>
  <si>
    <t xml:space="preserve">write 90th percentile latency is 4.553 </t>
  </si>
  <si>
    <t xml:space="preserve">write 90th percentile latency is 4.673 </t>
  </si>
  <si>
    <t xml:space="preserve">write 90th percentile latency is 4.826 </t>
  </si>
  <si>
    <t xml:space="preserve">write 90th percentile latency is 4.606 </t>
  </si>
  <si>
    <t xml:space="preserve">write 95th percentile latency is 4.483 </t>
  </si>
  <si>
    <t xml:space="preserve">write 95th percentile latency is 5.295 </t>
  </si>
  <si>
    <t xml:space="preserve">write 95th percentile latency is 4.912 </t>
  </si>
  <si>
    <t xml:space="preserve">write 95th percentile latency is 4.729 </t>
  </si>
  <si>
    <t xml:space="preserve">write 95th percentile latency is 4.862 </t>
  </si>
  <si>
    <t xml:space="preserve">write 99th percentile latency is 4.483 </t>
  </si>
  <si>
    <t xml:space="preserve">write 99th percentile latency is 5.295 </t>
  </si>
  <si>
    <t xml:space="preserve">write 99th percentile latency is 22.405 </t>
  </si>
  <si>
    <t xml:space="preserve">write 99th percentile latency is 5.305 </t>
  </si>
  <si>
    <t xml:space="preserve">write 99th percentile latency is 5.034 </t>
  </si>
  <si>
    <t xml:space="preserve">write 99th percentile latency is 5.139 </t>
  </si>
  <si>
    <t xml:space="preserve">write 99th percentile latency is 7.017 </t>
  </si>
  <si>
    <t xml:space="preserve">write 99th percentile latency is 21.266 </t>
  </si>
  <si>
    <t xml:space="preserve">write 99th percentile latency is 4.928 </t>
  </si>
  <si>
    <t xml:space="preserve">write 99th percentile latency is 5.843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</si>
</sst>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color rgb="FF6A995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3F2D9"/>
        <bgColor rgb="FF000000"/>
      </patternFill>
    </fill>
    <fill>
      <patternFill patternType="solid">
        <fgColor theme="7" tint="0.6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30C0B4"/>
        <bgColor rgb="FF000000"/>
      </patternFill>
    </fill>
    <fill>
      <patternFill patternType="solid">
        <fgColor theme="5" tint="-0.2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0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1" borderId="4" applyNumberFormat="0" applyAlignment="0" applyProtection="0">
      <alignment vertical="center"/>
    </xf>
    <xf numFmtId="0" fontId="12" fillId="32" borderId="5" applyNumberFormat="0" applyAlignment="0" applyProtection="0">
      <alignment vertical="center"/>
    </xf>
    <xf numFmtId="0" fontId="13" fillId="32" borderId="4" applyNumberFormat="0" applyAlignment="0" applyProtection="0">
      <alignment vertical="center"/>
    </xf>
    <xf numFmtId="0" fontId="14" fillId="33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2" borderId="0" xfId="0" applyFont="1" applyFill="1">
      <alignment vertical="center"/>
    </xf>
    <xf numFmtId="0" fontId="0" fillId="9" borderId="0" xfId="0" applyFont="1" applyFill="1">
      <alignment vertical="center"/>
    </xf>
    <xf numFmtId="17" fontId="0" fillId="0" borderId="0" xfId="0" applyNumberFormat="1">
      <alignment vertical="center"/>
    </xf>
    <xf numFmtId="0" fontId="0" fillId="10" borderId="0" xfId="0" applyFont="1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1" fillId="0" borderId="0" xfId="0" applyFont="1">
      <alignment vertical="center"/>
    </xf>
    <xf numFmtId="0" fontId="0" fillId="13" borderId="0" xfId="0" applyFill="1">
      <alignment vertical="center"/>
    </xf>
    <xf numFmtId="0" fontId="0" fillId="14" borderId="0" xfId="0" applyFill="1">
      <alignment vertical="center"/>
    </xf>
    <xf numFmtId="0" fontId="2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15" borderId="0" xfId="0" applyFill="1">
      <alignment vertical="center"/>
    </xf>
    <xf numFmtId="17" fontId="0" fillId="0" borderId="0" xfId="0" applyNumberFormat="1" applyFont="1">
      <alignment vertical="center"/>
    </xf>
    <xf numFmtId="0" fontId="0" fillId="0" borderId="0" xfId="0" applyFont="1">
      <alignment vertical="center"/>
    </xf>
    <xf numFmtId="0" fontId="0" fillId="16" borderId="0" xfId="0" applyFill="1">
      <alignment vertical="center"/>
    </xf>
    <xf numFmtId="0" fontId="1" fillId="17" borderId="0" xfId="0" applyFont="1" applyFill="1">
      <alignment vertical="center"/>
    </xf>
    <xf numFmtId="0" fontId="0" fillId="18" borderId="0" xfId="0" applyFill="1">
      <alignment vertical="center"/>
    </xf>
    <xf numFmtId="11" fontId="0" fillId="0" borderId="0" xfId="0" applyNumberFormat="1">
      <alignment vertical="center"/>
    </xf>
    <xf numFmtId="0" fontId="0" fillId="19" borderId="0" xfId="0" applyFill="1">
      <alignment vertical="center"/>
    </xf>
    <xf numFmtId="0" fontId="0" fillId="20" borderId="0" xfId="0" applyFill="1">
      <alignment vertical="center"/>
    </xf>
    <xf numFmtId="0" fontId="0" fillId="21" borderId="0" xfId="0" applyFill="1">
      <alignment vertical="center"/>
    </xf>
    <xf numFmtId="0" fontId="0" fillId="22" borderId="0" xfId="0" applyFill="1">
      <alignment vertical="center"/>
    </xf>
    <xf numFmtId="0" fontId="0" fillId="23" borderId="0" xfId="0" applyFill="1">
      <alignment vertical="center"/>
    </xf>
    <xf numFmtId="0" fontId="1" fillId="24" borderId="0" xfId="0" applyFont="1" applyFill="1">
      <alignment vertical="center"/>
    </xf>
    <xf numFmtId="0" fontId="0" fillId="21" borderId="0" xfId="0" applyFont="1" applyFill="1">
      <alignment vertical="center"/>
    </xf>
    <xf numFmtId="0" fontId="0" fillId="20" borderId="0" xfId="0" applyFont="1" applyFill="1">
      <alignment vertical="center"/>
    </xf>
    <xf numFmtId="0" fontId="0" fillId="25" borderId="0" xfId="0" applyFill="1">
      <alignment vertical="center"/>
    </xf>
    <xf numFmtId="0" fontId="0" fillId="26" borderId="0" xfId="0" applyFill="1">
      <alignment vertical="center"/>
    </xf>
    <xf numFmtId="58" fontId="0" fillId="0" borderId="0" xfId="0" applyNumberFormat="1" applyFill="1">
      <alignment vertical="center"/>
    </xf>
    <xf numFmtId="0" fontId="0" fillId="27" borderId="0" xfId="0" applyFill="1">
      <alignment vertical="center"/>
    </xf>
    <xf numFmtId="0" fontId="0" fillId="27" borderId="0" xfId="0" applyFont="1" applyFill="1">
      <alignment vertical="center"/>
    </xf>
    <xf numFmtId="0" fontId="0" fillId="6" borderId="0" xfId="0" applyFont="1" applyFill="1">
      <alignment vertical="center"/>
    </xf>
    <xf numFmtId="0" fontId="0" fillId="19" borderId="0" xfId="0" applyFont="1" applyFill="1">
      <alignment vertical="center"/>
    </xf>
    <xf numFmtId="0" fontId="0" fillId="28" borderId="0" xfId="0" applyFont="1" applyFill="1">
      <alignment vertical="center"/>
    </xf>
    <xf numFmtId="0" fontId="1" fillId="29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2"/>
  <sheetViews>
    <sheetView zoomScale="102" zoomScaleNormal="102" topLeftCell="J16" workbookViewId="0">
      <selection activeCell="A31" sqref="A31:S39"/>
    </sheetView>
  </sheetViews>
  <sheetFormatPr defaultColWidth="9.16346153846154" defaultRowHeight="16.8"/>
  <cols>
    <col min="1" max="1" width="38.5" customWidth="1"/>
    <col min="2" max="3" width="14.0769230769231"/>
    <col min="4" max="4" width="14.8365384615385" customWidth="1"/>
    <col min="5" max="5" width="27.1730769230769" customWidth="1"/>
    <col min="6" max="6" width="10.8365384615385" customWidth="1"/>
    <col min="7" max="7" width="13.1634615384615" customWidth="1"/>
    <col min="8" max="8" width="21" customWidth="1"/>
    <col min="9" max="9" width="14.0769230769231"/>
    <col min="10" max="10" width="13"/>
    <col min="11" max="11" width="37.2884615384615" customWidth="1"/>
    <col min="12" max="12" width="13"/>
    <col min="13" max="13" width="12.9230769230769"/>
    <col min="14" max="14" width="47.0769230769231" customWidth="1"/>
    <col min="15" max="15" width="49.7692307692308" customWidth="1"/>
    <col min="16" max="16" width="24.6730769230769" customWidth="1"/>
    <col min="17" max="17" width="9.69230769230769"/>
    <col min="18" max="18" width="12.9230769230769"/>
    <col min="20" max="26" width="9.69230769230769"/>
  </cols>
  <sheetData>
    <row r="1" s="1" customFormat="1" spans="1:11">
      <c r="A1" s="1" t="s">
        <v>0</v>
      </c>
      <c r="F1" s="1">
        <v>50</v>
      </c>
      <c r="K1" s="1" t="s">
        <v>1</v>
      </c>
    </row>
    <row r="2" spans="1:11">
      <c r="A2">
        <v>2.18195166666666</v>
      </c>
      <c r="B2">
        <v>2.31725333333333</v>
      </c>
      <c r="C2">
        <v>2.37260666666667</v>
      </c>
      <c r="D2">
        <v>2.41116666666667</v>
      </c>
      <c r="E2">
        <v>2.45606</v>
      </c>
      <c r="F2">
        <v>2.45227333333333</v>
      </c>
      <c r="G2">
        <v>2.48746</v>
      </c>
      <c r="H2">
        <v>2.55460666666667</v>
      </c>
      <c r="I2">
        <v>2.64573666666667</v>
      </c>
      <c r="J2">
        <v>2.70077333333333</v>
      </c>
      <c r="K2">
        <v>2.91322</v>
      </c>
    </row>
    <row r="3" spans="1:11">
      <c r="A3">
        <v>8.11133333333333</v>
      </c>
      <c r="B3">
        <v>8.43133333333333</v>
      </c>
      <c r="C3">
        <v>8.921</v>
      </c>
      <c r="D3">
        <v>9.643</v>
      </c>
      <c r="E3">
        <v>10.1405</v>
      </c>
      <c r="F3">
        <v>8.99533333333333</v>
      </c>
      <c r="G3">
        <v>8.76166666666667</v>
      </c>
      <c r="H3">
        <v>12.156</v>
      </c>
      <c r="I3">
        <v>9.62266666666667</v>
      </c>
      <c r="J3">
        <v>6.53366666666667</v>
      </c>
      <c r="K3">
        <v>4.62866666666667</v>
      </c>
    </row>
    <row r="4" spans="1:11">
      <c r="A4">
        <v>8.356</v>
      </c>
      <c r="B4" s="37">
        <v>8.80166666666667</v>
      </c>
      <c r="C4" s="37">
        <v>10.489</v>
      </c>
      <c r="D4" s="37">
        <v>13.23</v>
      </c>
      <c r="E4" s="37">
        <v>15.17</v>
      </c>
      <c r="F4">
        <v>16.157</v>
      </c>
      <c r="G4">
        <v>16.8916666666667</v>
      </c>
      <c r="H4">
        <v>19.5626666666667</v>
      </c>
      <c r="I4">
        <v>14.6556666666667</v>
      </c>
      <c r="J4">
        <v>11.3453333333333</v>
      </c>
      <c r="K4">
        <v>4.792</v>
      </c>
    </row>
    <row r="5" spans="1:11">
      <c r="A5">
        <v>11.1763333333333</v>
      </c>
      <c r="B5" s="37">
        <v>15.2573333333333</v>
      </c>
      <c r="C5" s="37">
        <v>22.8673333333333</v>
      </c>
      <c r="D5" s="37">
        <v>25.177</v>
      </c>
      <c r="E5" s="37">
        <v>27.8375</v>
      </c>
      <c r="F5">
        <v>38.2066666666667</v>
      </c>
      <c r="G5">
        <v>29.068</v>
      </c>
      <c r="H5">
        <v>29.2316666666667</v>
      </c>
      <c r="I5">
        <v>27.9886666666667</v>
      </c>
      <c r="J5">
        <v>30.6403333333333</v>
      </c>
      <c r="K5">
        <v>11.993</v>
      </c>
    </row>
    <row r="6" spans="1:11">
      <c r="A6">
        <v>7.11166666666667</v>
      </c>
      <c r="B6" s="37">
        <v>6.77166666666667</v>
      </c>
      <c r="C6" s="37">
        <v>6.89666666666667</v>
      </c>
      <c r="D6" s="37">
        <v>6.60333333333333</v>
      </c>
      <c r="E6" s="37">
        <v>6.64</v>
      </c>
      <c r="F6">
        <v>6.46833333333333</v>
      </c>
      <c r="G6">
        <v>5.92833333333333</v>
      </c>
      <c r="H6">
        <v>5.82833333333333</v>
      </c>
      <c r="I6">
        <v>4.955</v>
      </c>
      <c r="J6">
        <v>4.52333333333333</v>
      </c>
      <c r="K6">
        <v>3.59666666666667</v>
      </c>
    </row>
    <row r="7" s="1" customFormat="1" spans="1:11">
      <c r="A7" s="1" t="s">
        <v>2</v>
      </c>
      <c r="K7" s="1" t="s">
        <v>1</v>
      </c>
    </row>
    <row r="8" spans="1:11">
      <c r="A8">
        <v>2.19505333333333</v>
      </c>
      <c r="B8">
        <v>1.95814</v>
      </c>
      <c r="C8">
        <v>1.94638666666667</v>
      </c>
      <c r="D8">
        <v>1.87127666666667</v>
      </c>
      <c r="E8">
        <v>1.88327666666667</v>
      </c>
      <c r="F8">
        <v>1.79997333333333</v>
      </c>
      <c r="G8">
        <v>1.77404</v>
      </c>
      <c r="H8">
        <v>1.71761333333333</v>
      </c>
      <c r="I8">
        <v>1.60135666666667</v>
      </c>
      <c r="J8">
        <v>1.4392</v>
      </c>
      <c r="K8">
        <v>1.23905666666667</v>
      </c>
    </row>
    <row r="9" spans="1:11">
      <c r="A9">
        <v>12.059</v>
      </c>
      <c r="B9">
        <v>9.456</v>
      </c>
      <c r="C9">
        <v>10.6856666666667</v>
      </c>
      <c r="D9">
        <v>15.2813333333333</v>
      </c>
      <c r="E9">
        <v>10.6513333333333</v>
      </c>
      <c r="F9">
        <v>12.0483333333333</v>
      </c>
      <c r="G9">
        <v>16.4443333333333</v>
      </c>
      <c r="H9">
        <v>17.0443333333333</v>
      </c>
      <c r="I9">
        <v>20.4983333333333</v>
      </c>
      <c r="J9">
        <v>23.213</v>
      </c>
      <c r="K9">
        <v>25.93</v>
      </c>
    </row>
    <row r="10" spans="1:11">
      <c r="A10">
        <v>15.5753333333333</v>
      </c>
      <c r="B10">
        <v>13.384</v>
      </c>
      <c r="C10">
        <v>21.833</v>
      </c>
      <c r="D10">
        <v>22.3296666666667</v>
      </c>
      <c r="E10">
        <v>19.315</v>
      </c>
      <c r="F10">
        <v>18.7176666666667</v>
      </c>
      <c r="G10">
        <v>26.2726666666667</v>
      </c>
      <c r="H10">
        <v>27.0163333333333</v>
      </c>
      <c r="I10">
        <v>25.6616666666667</v>
      </c>
      <c r="J10">
        <v>24.564</v>
      </c>
      <c r="K10">
        <v>28.247</v>
      </c>
    </row>
    <row r="11" spans="1:11">
      <c r="A11">
        <v>23.235</v>
      </c>
      <c r="B11">
        <v>25.8576666666667</v>
      </c>
      <c r="C11">
        <v>35.8456666666667</v>
      </c>
      <c r="D11">
        <v>31.731</v>
      </c>
      <c r="E11">
        <v>32.415</v>
      </c>
      <c r="F11">
        <v>31.747</v>
      </c>
      <c r="G11">
        <v>34.572</v>
      </c>
      <c r="H11">
        <v>34.9026666666667</v>
      </c>
      <c r="I11">
        <v>35.7193333333333</v>
      </c>
      <c r="J11">
        <v>37.632593</v>
      </c>
      <c r="K11">
        <v>48.266</v>
      </c>
    </row>
    <row r="12" spans="1:11">
      <c r="A12">
        <v>8.77556666666667</v>
      </c>
      <c r="B12">
        <v>8.11111333333333</v>
      </c>
      <c r="C12">
        <v>8.64222333333333</v>
      </c>
      <c r="D12">
        <v>8.91332333333333</v>
      </c>
      <c r="E12">
        <v>8.35555666666667</v>
      </c>
      <c r="F12">
        <v>8.55555333333333</v>
      </c>
      <c r="G12">
        <v>9.36444333333333</v>
      </c>
      <c r="H12">
        <v>9.50666333333333</v>
      </c>
      <c r="I12">
        <v>10.1444433333333</v>
      </c>
      <c r="J12">
        <v>11.2341</v>
      </c>
      <c r="K12">
        <v>12.5311</v>
      </c>
    </row>
    <row r="13" s="2" customFormat="1" spans="1:6">
      <c r="A13" s="2" t="s">
        <v>3</v>
      </c>
      <c r="F13" s="2">
        <v>50</v>
      </c>
    </row>
    <row r="14" spans="1:11">
      <c r="A14">
        <v>1.43610333333333</v>
      </c>
      <c r="B14">
        <v>1.50925333333333</v>
      </c>
      <c r="C14">
        <v>1.63335666666667</v>
      </c>
      <c r="D14">
        <v>1.75700333333333</v>
      </c>
      <c r="E14">
        <v>1.83020666666667</v>
      </c>
      <c r="F14">
        <v>1.91477</v>
      </c>
      <c r="G14">
        <v>1.99124333333333</v>
      </c>
      <c r="H14">
        <v>2.11172</v>
      </c>
      <c r="I14">
        <v>2.25615</v>
      </c>
      <c r="J14">
        <v>2.42777333333333</v>
      </c>
      <c r="K14">
        <v>3.1389</v>
      </c>
    </row>
    <row r="15" spans="1:11">
      <c r="A15">
        <v>21.5416666666667</v>
      </c>
      <c r="B15">
        <v>20.7213333333333</v>
      </c>
      <c r="C15">
        <v>19.349</v>
      </c>
      <c r="D15">
        <v>17.2336666666667</v>
      </c>
      <c r="E15">
        <v>17.372</v>
      </c>
      <c r="F15">
        <v>17.477</v>
      </c>
      <c r="G15">
        <v>15.645</v>
      </c>
      <c r="H15">
        <v>12.0446666666667</v>
      </c>
      <c r="I15">
        <v>10.5836666666667</v>
      </c>
      <c r="J15">
        <v>5.09033333333333</v>
      </c>
      <c r="K15">
        <v>4.73333333333333</v>
      </c>
    </row>
    <row r="16" spans="1:11">
      <c r="A16">
        <v>23.748</v>
      </c>
      <c r="B16">
        <v>23.6036666666667</v>
      </c>
      <c r="C16">
        <v>22.2113333333333</v>
      </c>
      <c r="D16">
        <v>19.751</v>
      </c>
      <c r="E16">
        <v>18.919</v>
      </c>
      <c r="F16">
        <v>19.9513333333333</v>
      </c>
      <c r="G16">
        <v>18.3643333333333</v>
      </c>
      <c r="H16">
        <v>17.6286666666667</v>
      </c>
      <c r="I16">
        <v>14.5886666666667</v>
      </c>
      <c r="J16">
        <v>12.8216666666667</v>
      </c>
      <c r="K16">
        <v>4.88166666666667</v>
      </c>
    </row>
    <row r="17" spans="1:11">
      <c r="A17">
        <v>31.416</v>
      </c>
      <c r="B17" s="37">
        <v>44.206</v>
      </c>
      <c r="C17" s="37">
        <v>30.4613333333333</v>
      </c>
      <c r="D17" s="37">
        <v>27.5633333333333</v>
      </c>
      <c r="E17" s="37">
        <v>28.0963333333333</v>
      </c>
      <c r="F17">
        <v>23.398</v>
      </c>
      <c r="G17">
        <v>25.3353333333333</v>
      </c>
      <c r="H17">
        <v>29.7766666666667</v>
      </c>
      <c r="I17">
        <v>30.4046666666667</v>
      </c>
      <c r="J17">
        <v>26.1923333333333</v>
      </c>
      <c r="K17">
        <v>5.38433333333333</v>
      </c>
    </row>
    <row r="18" spans="1:11">
      <c r="A18">
        <v>13.9666666666667</v>
      </c>
      <c r="B18" s="37">
        <v>12.9133333333333</v>
      </c>
      <c r="C18" s="37">
        <v>11.3533333333333</v>
      </c>
      <c r="D18" s="37">
        <v>9.73554666666667</v>
      </c>
      <c r="E18" s="37">
        <v>9.76443333333333</v>
      </c>
      <c r="F18">
        <v>8.34444333333333</v>
      </c>
      <c r="G18">
        <v>7.07777666666667</v>
      </c>
      <c r="H18">
        <v>6.38888666666667</v>
      </c>
      <c r="I18">
        <v>6.15555333333333</v>
      </c>
      <c r="J18">
        <v>4.66444333333333</v>
      </c>
      <c r="K18">
        <v>3.72444333333333</v>
      </c>
    </row>
    <row r="19" s="2" customFormat="1" spans="1:1">
      <c r="A19" s="2" t="s">
        <v>4</v>
      </c>
    </row>
    <row r="20" spans="1:11">
      <c r="A20">
        <v>0.9520625</v>
      </c>
      <c r="B20">
        <v>0.904331</v>
      </c>
      <c r="C20">
        <v>0.8017015</v>
      </c>
      <c r="D20">
        <v>0.5652805</v>
      </c>
      <c r="E20">
        <v>0.459746</v>
      </c>
      <c r="F20">
        <v>0.363238</v>
      </c>
      <c r="G20">
        <v>0.314654</v>
      </c>
      <c r="H20">
        <v>0.262713</v>
      </c>
      <c r="I20">
        <v>0.2378205</v>
      </c>
      <c r="J20">
        <v>0.207495</v>
      </c>
      <c r="K20">
        <v>0.199243</v>
      </c>
    </row>
    <row r="21" spans="1:11">
      <c r="A21">
        <v>23.388</v>
      </c>
      <c r="B21">
        <v>25.3725</v>
      </c>
      <c r="C21">
        <v>29.1485</v>
      </c>
      <c r="D21">
        <v>67.7485</v>
      </c>
      <c r="E21">
        <v>103.468</v>
      </c>
      <c r="F21">
        <v>107.548</v>
      </c>
      <c r="G21">
        <v>110.012</v>
      </c>
      <c r="H21">
        <v>112.783</v>
      </c>
      <c r="I21">
        <v>110.6915</v>
      </c>
      <c r="J21">
        <v>111.84</v>
      </c>
      <c r="K21">
        <v>133.0155</v>
      </c>
    </row>
    <row r="22" spans="1:11">
      <c r="A22">
        <v>24.4715</v>
      </c>
      <c r="B22">
        <v>28.08</v>
      </c>
      <c r="C22">
        <v>55.949</v>
      </c>
      <c r="D22">
        <v>87.6765</v>
      </c>
      <c r="E22">
        <v>105.969</v>
      </c>
      <c r="F22">
        <v>110.5285</v>
      </c>
      <c r="G22">
        <v>115.6865</v>
      </c>
      <c r="H22">
        <v>120.339</v>
      </c>
      <c r="I22">
        <v>115.3835</v>
      </c>
      <c r="J22">
        <v>116.6665</v>
      </c>
      <c r="K22">
        <v>140.7565</v>
      </c>
    </row>
    <row r="23" spans="1:11">
      <c r="A23">
        <v>41.4265</v>
      </c>
      <c r="B23">
        <v>63.661</v>
      </c>
      <c r="C23">
        <v>80.318</v>
      </c>
      <c r="D23">
        <v>107.7825</v>
      </c>
      <c r="E23">
        <v>119.387</v>
      </c>
      <c r="F23">
        <v>138.564</v>
      </c>
      <c r="G23">
        <v>134.7195</v>
      </c>
      <c r="H23">
        <v>140.966</v>
      </c>
      <c r="I23">
        <v>135.9285</v>
      </c>
      <c r="J23">
        <v>133.971</v>
      </c>
      <c r="K23">
        <v>152.1095</v>
      </c>
    </row>
    <row r="24" spans="1:11">
      <c r="A24">
        <v>17.35335</v>
      </c>
      <c r="B24">
        <v>18.77</v>
      </c>
      <c r="C24">
        <v>20.13335</v>
      </c>
      <c r="D24">
        <v>24.36665</v>
      </c>
      <c r="E24">
        <v>38</v>
      </c>
      <c r="F24">
        <v>52.50335</v>
      </c>
      <c r="G24">
        <v>56.4333</v>
      </c>
      <c r="H24">
        <v>79.21665</v>
      </c>
      <c r="I24">
        <v>79.66</v>
      </c>
      <c r="J24">
        <v>97.62335</v>
      </c>
      <c r="K24">
        <v>105.0865</v>
      </c>
    </row>
    <row r="25" s="2" customFormat="1" spans="1:1">
      <c r="A25" s="2" t="s">
        <v>5</v>
      </c>
    </row>
    <row r="26" spans="1:11">
      <c r="A26">
        <v>1.47308</v>
      </c>
      <c r="B26">
        <v>1.50461</v>
      </c>
      <c r="C26">
        <v>1.58805</v>
      </c>
      <c r="D26">
        <v>1.57937</v>
      </c>
      <c r="E26">
        <v>1.58277</v>
      </c>
      <c r="F26">
        <v>1.53943</v>
      </c>
      <c r="G26">
        <v>1.49089</v>
      </c>
      <c r="H26">
        <v>1.53447</v>
      </c>
      <c r="I26">
        <v>1.44125</v>
      </c>
      <c r="J26">
        <v>1.47263</v>
      </c>
      <c r="K26">
        <v>1.4268</v>
      </c>
    </row>
    <row r="27" spans="1:11">
      <c r="A27">
        <v>21.382</v>
      </c>
      <c r="B27">
        <v>22.778</v>
      </c>
      <c r="C27">
        <v>20.145</v>
      </c>
      <c r="D27">
        <v>21.05</v>
      </c>
      <c r="E27">
        <v>20.232</v>
      </c>
      <c r="F27">
        <v>15.665</v>
      </c>
      <c r="G27">
        <v>19.501</v>
      </c>
      <c r="H27">
        <v>10.83</v>
      </c>
      <c r="I27">
        <v>10.175</v>
      </c>
      <c r="J27">
        <v>9.636</v>
      </c>
      <c r="K27">
        <v>10.938</v>
      </c>
    </row>
    <row r="28" spans="1:11">
      <c r="A28">
        <v>23.808</v>
      </c>
      <c r="B28">
        <v>24.818</v>
      </c>
      <c r="C28">
        <v>22.387</v>
      </c>
      <c r="D28">
        <v>24.32</v>
      </c>
      <c r="E28">
        <v>23.889</v>
      </c>
      <c r="F28">
        <v>18.736</v>
      </c>
      <c r="G28">
        <v>28.452</v>
      </c>
      <c r="H28">
        <v>12.281</v>
      </c>
      <c r="I28">
        <v>13.855</v>
      </c>
      <c r="J28">
        <v>10.462</v>
      </c>
      <c r="K28">
        <v>11.905</v>
      </c>
    </row>
    <row r="29" spans="1:11">
      <c r="A29">
        <v>33.767</v>
      </c>
      <c r="B29">
        <v>65.924</v>
      </c>
      <c r="C29">
        <v>32.491</v>
      </c>
      <c r="D29">
        <v>34.952</v>
      </c>
      <c r="E29">
        <v>35.288</v>
      </c>
      <c r="F29">
        <v>31.81</v>
      </c>
      <c r="G29">
        <v>38.961</v>
      </c>
      <c r="H29">
        <v>42.17</v>
      </c>
      <c r="I29">
        <v>27.998</v>
      </c>
      <c r="J29">
        <v>33.238</v>
      </c>
      <c r="K29">
        <v>26.073</v>
      </c>
    </row>
    <row r="30" spans="1:11">
      <c r="A30">
        <v>13.7467</v>
      </c>
      <c r="B30">
        <v>15.2867</v>
      </c>
      <c r="C30">
        <v>11.4933</v>
      </c>
      <c r="D30">
        <v>11.9467</v>
      </c>
      <c r="E30">
        <v>10.7667</v>
      </c>
      <c r="F30">
        <v>9.5</v>
      </c>
      <c r="G30">
        <v>9.64</v>
      </c>
      <c r="H30">
        <v>8.4</v>
      </c>
      <c r="I30">
        <v>8.24</v>
      </c>
      <c r="J30">
        <v>8.46667</v>
      </c>
      <c r="K30">
        <v>8.69333</v>
      </c>
    </row>
    <row r="31" s="12" customFormat="1" spans="1:11">
      <c r="A31" s="12" t="s">
        <v>6</v>
      </c>
      <c r="K31" s="12" t="s">
        <v>7</v>
      </c>
    </row>
    <row r="32" spans="1:19">
      <c r="A32">
        <v>0.270311</v>
      </c>
      <c r="B32">
        <v>0.499367</v>
      </c>
      <c r="C32">
        <v>0.979433</v>
      </c>
      <c r="D32">
        <v>1.09984</v>
      </c>
      <c r="E32">
        <v>1.56144</v>
      </c>
      <c r="F32">
        <v>1.85263</v>
      </c>
      <c r="G32">
        <v>2.01084</v>
      </c>
      <c r="H32">
        <v>2.57263</v>
      </c>
      <c r="I32">
        <v>3.20455</v>
      </c>
      <c r="K32">
        <v>0.783402</v>
      </c>
      <c r="L32">
        <v>1.10605</v>
      </c>
      <c r="M32">
        <v>1.33028</v>
      </c>
      <c r="N32">
        <v>1.60093</v>
      </c>
      <c r="O32">
        <v>1.72945</v>
      </c>
      <c r="P32">
        <v>1.95659</v>
      </c>
      <c r="Q32">
        <v>2.00598</v>
      </c>
      <c r="R32" s="14">
        <v>2.101406667</v>
      </c>
      <c r="S32">
        <v>2.21819</v>
      </c>
    </row>
    <row r="33" spans="1:19">
      <c r="A33">
        <v>2.44</v>
      </c>
      <c r="B33">
        <v>2.70667</v>
      </c>
      <c r="C33">
        <v>2.72</v>
      </c>
      <c r="D33">
        <v>3.18</v>
      </c>
      <c r="E33">
        <v>3.16667</v>
      </c>
      <c r="F33">
        <v>3.16667</v>
      </c>
      <c r="G33">
        <v>3.13333</v>
      </c>
      <c r="H33">
        <v>3.28</v>
      </c>
      <c r="I33">
        <v>3.18</v>
      </c>
      <c r="K33">
        <v>5.51667</v>
      </c>
      <c r="L33">
        <v>5.80333</v>
      </c>
      <c r="M33">
        <v>5.54</v>
      </c>
      <c r="N33">
        <v>5.61667</v>
      </c>
      <c r="O33">
        <v>6.69333</v>
      </c>
      <c r="P33">
        <v>6.92</v>
      </c>
      <c r="Q33">
        <v>7.43</v>
      </c>
      <c r="R33" s="14">
        <v>7.03111</v>
      </c>
      <c r="S33">
        <v>20.9533</v>
      </c>
    </row>
    <row r="34" s="13" customFormat="1" ht="16" customHeight="1" spans="1:1">
      <c r="A34" s="13" t="s">
        <v>8</v>
      </c>
    </row>
    <row r="35" spans="1:19">
      <c r="A35">
        <v>0.127464</v>
      </c>
      <c r="B35">
        <v>0.185124</v>
      </c>
      <c r="C35">
        <v>0.192589</v>
      </c>
      <c r="D35">
        <v>0.220469</v>
      </c>
      <c r="E35">
        <v>0.287156</v>
      </c>
      <c r="F35">
        <v>0.355738</v>
      </c>
      <c r="G35">
        <v>0.36161</v>
      </c>
      <c r="H35">
        <v>0.426878</v>
      </c>
      <c r="I35">
        <v>0.435793</v>
      </c>
      <c r="K35">
        <v>0.58648</v>
      </c>
      <c r="L35">
        <v>0.630209</v>
      </c>
      <c r="M35">
        <v>0.737472</v>
      </c>
      <c r="N35">
        <v>0.766558</v>
      </c>
      <c r="O35">
        <v>0.783681</v>
      </c>
      <c r="P35">
        <v>0.825061</v>
      </c>
      <c r="Q35">
        <v>0.826467</v>
      </c>
      <c r="R35">
        <v>0.891548</v>
      </c>
      <c r="S35">
        <v>0.91585</v>
      </c>
    </row>
    <row r="36" spans="1:19">
      <c r="A36">
        <v>6.62</v>
      </c>
      <c r="B36">
        <v>7.05333</v>
      </c>
      <c r="C36">
        <v>6.99333</v>
      </c>
      <c r="D36">
        <v>15.3067</v>
      </c>
      <c r="E36">
        <v>15.42</v>
      </c>
      <c r="F36">
        <v>23.9333</v>
      </c>
      <c r="G36">
        <v>24.3067</v>
      </c>
      <c r="H36">
        <v>43.6933</v>
      </c>
      <c r="I36">
        <v>47.52</v>
      </c>
      <c r="K36">
        <v>10.1267</v>
      </c>
      <c r="L36">
        <v>11.8233</v>
      </c>
      <c r="M36">
        <v>12.83</v>
      </c>
      <c r="N36">
        <v>21.66</v>
      </c>
      <c r="O36">
        <v>20.4133</v>
      </c>
      <c r="P36">
        <v>31.77</v>
      </c>
      <c r="Q36">
        <v>29.9567</v>
      </c>
      <c r="R36">
        <v>53.48</v>
      </c>
      <c r="S36">
        <v>63.8733</v>
      </c>
    </row>
    <row r="37" s="13" customFormat="1" spans="1:1">
      <c r="A37" s="13" t="s">
        <v>9</v>
      </c>
    </row>
    <row r="38" spans="1:19">
      <c r="A38">
        <v>0.248709</v>
      </c>
      <c r="B38">
        <v>0.25536</v>
      </c>
      <c r="C38">
        <v>0.256045</v>
      </c>
      <c r="D38">
        <v>0.423047</v>
      </c>
      <c r="E38">
        <v>0.613387</v>
      </c>
      <c r="F38">
        <v>0.613387</v>
      </c>
      <c r="G38">
        <v>0.757606</v>
      </c>
      <c r="H38">
        <v>0.913627</v>
      </c>
      <c r="I38">
        <v>1.01584</v>
      </c>
      <c r="K38">
        <v>0.338679</v>
      </c>
      <c r="L38">
        <v>0.549394</v>
      </c>
      <c r="M38">
        <v>0.660135</v>
      </c>
      <c r="N38">
        <v>0.886726</v>
      </c>
      <c r="O38">
        <v>0.981651</v>
      </c>
      <c r="P38">
        <v>1.01995</v>
      </c>
      <c r="Q38">
        <v>1.03456</v>
      </c>
      <c r="R38">
        <v>1.05307</v>
      </c>
      <c r="S38">
        <v>1.09666</v>
      </c>
    </row>
    <row r="39" spans="1:19">
      <c r="A39">
        <v>5.67333</v>
      </c>
      <c r="B39">
        <v>5.54</v>
      </c>
      <c r="C39">
        <v>5.56667</v>
      </c>
      <c r="D39">
        <v>5.61333</v>
      </c>
      <c r="E39">
        <v>5.85333</v>
      </c>
      <c r="F39">
        <v>5.85333</v>
      </c>
      <c r="G39">
        <v>5.77333</v>
      </c>
      <c r="H39">
        <v>7.75333</v>
      </c>
      <c r="I39">
        <v>19.64</v>
      </c>
      <c r="K39">
        <v>6.52667</v>
      </c>
      <c r="L39">
        <v>6.91</v>
      </c>
      <c r="M39">
        <v>7.22667</v>
      </c>
      <c r="N39">
        <v>9.95333</v>
      </c>
      <c r="O39">
        <v>8.72</v>
      </c>
      <c r="P39">
        <v>19.5067</v>
      </c>
      <c r="Q39">
        <v>23.24</v>
      </c>
      <c r="R39">
        <v>19.2967</v>
      </c>
      <c r="S39">
        <v>24.22</v>
      </c>
    </row>
    <row r="40" s="5" customFormat="1" spans="1:6">
      <c r="A40" s="5" t="s">
        <v>10</v>
      </c>
      <c r="F40" s="2">
        <v>50</v>
      </c>
    </row>
    <row r="41" spans="1:11">
      <c r="A41">
        <v>1.81592666666667</v>
      </c>
      <c r="B41">
        <v>1.859283333</v>
      </c>
      <c r="C41">
        <v>1.880753333</v>
      </c>
      <c r="D41">
        <v>1.96086</v>
      </c>
      <c r="E41">
        <v>2.00732</v>
      </c>
      <c r="F41">
        <v>2.101406667</v>
      </c>
      <c r="G41">
        <v>2.191703333</v>
      </c>
      <c r="H41">
        <v>2.317626667</v>
      </c>
      <c r="I41">
        <v>2.45202</v>
      </c>
      <c r="J41">
        <v>2.711406667</v>
      </c>
      <c r="K41">
        <v>3.02821333333333</v>
      </c>
    </row>
    <row r="42" spans="1:27">
      <c r="A42">
        <v>16.518</v>
      </c>
      <c r="B42">
        <v>16.98766667</v>
      </c>
      <c r="C42">
        <v>17.434</v>
      </c>
      <c r="D42">
        <v>16.33466667</v>
      </c>
      <c r="E42">
        <v>15.249</v>
      </c>
      <c r="F42">
        <v>14.794</v>
      </c>
      <c r="G42">
        <v>12.54433333</v>
      </c>
      <c r="H42">
        <v>10.21333333</v>
      </c>
      <c r="I42">
        <v>9.352</v>
      </c>
      <c r="J42">
        <v>7.304666667</v>
      </c>
      <c r="K42">
        <v>4.71966666666667</v>
      </c>
      <c r="T42" s="13"/>
      <c r="U42" s="13"/>
      <c r="V42" s="13"/>
      <c r="W42" s="13"/>
      <c r="X42" s="13"/>
      <c r="Y42" s="13"/>
      <c r="Z42" s="13"/>
      <c r="AA42" s="13"/>
    </row>
    <row r="43" spans="1:11">
      <c r="A43">
        <v>19.9973333333333</v>
      </c>
      <c r="B43">
        <v>19.863</v>
      </c>
      <c r="C43">
        <v>19.725</v>
      </c>
      <c r="D43">
        <v>19.368</v>
      </c>
      <c r="E43">
        <v>19.34833333</v>
      </c>
      <c r="F43">
        <v>18.37933333</v>
      </c>
      <c r="G43">
        <v>17.21266667</v>
      </c>
      <c r="H43">
        <v>14.85733333</v>
      </c>
      <c r="I43">
        <v>13.77733333</v>
      </c>
      <c r="J43">
        <v>9.559666667</v>
      </c>
      <c r="K43">
        <v>4.88266666666667</v>
      </c>
    </row>
    <row r="44" spans="1:11">
      <c r="A44">
        <v>25.928</v>
      </c>
      <c r="B44" s="37">
        <v>29.421</v>
      </c>
      <c r="C44" s="37">
        <v>32.321</v>
      </c>
      <c r="D44" s="37">
        <v>33.81733333</v>
      </c>
      <c r="E44" s="37">
        <v>36.896</v>
      </c>
      <c r="F44">
        <v>34.32166667</v>
      </c>
      <c r="G44">
        <v>39.20366667</v>
      </c>
      <c r="H44">
        <v>26.38433333</v>
      </c>
      <c r="I44">
        <v>30.919</v>
      </c>
      <c r="J44">
        <v>25.155</v>
      </c>
      <c r="K44">
        <v>5.46333333333333</v>
      </c>
    </row>
    <row r="45" spans="1:11">
      <c r="A45">
        <v>10.1908333333333</v>
      </c>
      <c r="B45" s="37">
        <v>9.975543333</v>
      </c>
      <c r="C45" s="37">
        <v>9.603333333</v>
      </c>
      <c r="D45" s="37">
        <v>8.665556667</v>
      </c>
      <c r="E45" s="37">
        <v>7.734443333</v>
      </c>
      <c r="F45">
        <v>7.03111</v>
      </c>
      <c r="G45">
        <v>6.69778</v>
      </c>
      <c r="H45">
        <v>5.445556667</v>
      </c>
      <c r="I45">
        <v>5.20333</v>
      </c>
      <c r="J45">
        <v>4.284443333</v>
      </c>
      <c r="K45">
        <v>3.76666333333333</v>
      </c>
    </row>
    <row r="46" s="6" customFormat="1" spans="1:12">
      <c r="A46" s="6">
        <v>0.0111280316718137</v>
      </c>
      <c r="B46" s="6">
        <v>0.009657844</v>
      </c>
      <c r="C46" s="6">
        <v>0.007410125</v>
      </c>
      <c r="D46" s="6">
        <v>0.014939895</v>
      </c>
      <c r="E46" s="6">
        <v>0.014264707</v>
      </c>
      <c r="F46" s="6">
        <v>0.018228871</v>
      </c>
      <c r="G46" s="6">
        <v>0.045854956</v>
      </c>
      <c r="H46" s="6">
        <v>0.009511538</v>
      </c>
      <c r="I46" s="6">
        <v>0.018117158</v>
      </c>
      <c r="J46" s="6">
        <v>0.034575518</v>
      </c>
      <c r="K46" s="6">
        <v>0.09457941436815</v>
      </c>
      <c r="L46" s="6" t="s">
        <v>11</v>
      </c>
    </row>
    <row r="47" spans="1:12">
      <c r="A47">
        <v>0.266739573366984</v>
      </c>
      <c r="B47">
        <v>0.286305587</v>
      </c>
      <c r="C47">
        <v>0.619070809</v>
      </c>
      <c r="D47">
        <v>0.439868415</v>
      </c>
      <c r="E47">
        <v>1.210603431</v>
      </c>
      <c r="F47">
        <v>0.246345286</v>
      </c>
      <c r="G47">
        <v>0.979344792</v>
      </c>
      <c r="H47">
        <v>1.189914656</v>
      </c>
      <c r="I47">
        <v>1.015630182</v>
      </c>
      <c r="J47">
        <v>0.326832611</v>
      </c>
      <c r="K47">
        <v>0.0491618641722309</v>
      </c>
      <c r="L47">
        <v>90</v>
      </c>
    </row>
    <row r="48" spans="1:12">
      <c r="A48">
        <v>1.14507651369776</v>
      </c>
      <c r="B48">
        <v>0.768612169</v>
      </c>
      <c r="C48">
        <v>1.059613452</v>
      </c>
      <c r="D48">
        <v>0.112151683</v>
      </c>
      <c r="E48">
        <v>2.12390479</v>
      </c>
      <c r="F48">
        <v>1.908822732</v>
      </c>
      <c r="G48">
        <v>2.259438918</v>
      </c>
      <c r="H48">
        <v>1.190361383</v>
      </c>
      <c r="I48">
        <v>3.222560714</v>
      </c>
      <c r="J48">
        <v>0.806707437</v>
      </c>
      <c r="K48">
        <v>0.0479328233630731</v>
      </c>
      <c r="L48">
        <v>95</v>
      </c>
    </row>
    <row r="49" spans="1:12">
      <c r="A49">
        <v>3.2821639203428</v>
      </c>
      <c r="B49">
        <v>2.373630553</v>
      </c>
      <c r="C49">
        <v>1.749914474</v>
      </c>
      <c r="D49">
        <v>1.245648515</v>
      </c>
      <c r="E49">
        <v>3.409255148</v>
      </c>
      <c r="F49">
        <v>5.158312472</v>
      </c>
      <c r="G49">
        <v>7.917949412</v>
      </c>
      <c r="H49">
        <v>3.281903953</v>
      </c>
      <c r="I49">
        <v>4.083305524</v>
      </c>
      <c r="J49">
        <v>5.813950178</v>
      </c>
      <c r="K49">
        <v>0.333211977909292</v>
      </c>
      <c r="L49">
        <v>99</v>
      </c>
    </row>
    <row r="50" spans="1:12">
      <c r="A50">
        <v>0.332705659037468</v>
      </c>
      <c r="B50">
        <v>0.126163641</v>
      </c>
      <c r="C50">
        <v>0.212516858</v>
      </c>
      <c r="D50">
        <v>0.163622593</v>
      </c>
      <c r="E50">
        <v>0.336476874</v>
      </c>
      <c r="F50">
        <v>0.20674265</v>
      </c>
      <c r="G50">
        <v>0.50778532</v>
      </c>
      <c r="H50">
        <v>0.151786977</v>
      </c>
      <c r="I50">
        <v>0.351378239</v>
      </c>
      <c r="J50">
        <v>0.250071881</v>
      </c>
      <c r="K50">
        <v>0.135973853695808</v>
      </c>
      <c r="L50" t="s">
        <v>12</v>
      </c>
    </row>
    <row r="51" s="5" customFormat="1" spans="1:6">
      <c r="A51" s="5" t="s">
        <v>13</v>
      </c>
      <c r="F51" s="2">
        <v>50</v>
      </c>
    </row>
    <row r="52" spans="1:11">
      <c r="A52" s="14">
        <v>1.81481</v>
      </c>
      <c r="B52" s="14">
        <v>1.765923333</v>
      </c>
      <c r="C52" s="14">
        <v>1.525476667</v>
      </c>
      <c r="D52" s="14">
        <v>1.19181</v>
      </c>
      <c r="E52" s="14">
        <v>0.943598667</v>
      </c>
      <c r="F52" s="14">
        <v>0.804714</v>
      </c>
      <c r="G52" s="14">
        <v>0.667415333</v>
      </c>
      <c r="H52" s="14">
        <v>0.582784333</v>
      </c>
      <c r="I52" s="14">
        <v>0.525035333</v>
      </c>
      <c r="J52" s="14">
        <v>0.46133</v>
      </c>
      <c r="K52" s="14">
        <v>0.431410667</v>
      </c>
    </row>
    <row r="53" spans="1:11">
      <c r="A53" s="14">
        <v>16.215</v>
      </c>
      <c r="B53" s="14">
        <v>16.98533333</v>
      </c>
      <c r="C53" s="14">
        <v>20.50133333</v>
      </c>
      <c r="D53" s="14">
        <v>30.98833333</v>
      </c>
      <c r="E53" s="14">
        <v>42.298</v>
      </c>
      <c r="F53" s="14">
        <v>49.372</v>
      </c>
      <c r="G53" s="14">
        <v>50.05533333</v>
      </c>
      <c r="H53" s="14">
        <v>52.50033333</v>
      </c>
      <c r="I53" s="14">
        <v>50.177</v>
      </c>
      <c r="J53" s="14">
        <v>63.411</v>
      </c>
      <c r="K53" s="14">
        <v>73.37833333</v>
      </c>
    </row>
    <row r="54" spans="1:11">
      <c r="A54" s="14">
        <v>18.217</v>
      </c>
      <c r="B54" s="14">
        <v>21.28666667</v>
      </c>
      <c r="C54" s="14">
        <v>28.22033333</v>
      </c>
      <c r="D54" s="14">
        <v>36.42</v>
      </c>
      <c r="E54" s="14">
        <v>48.44566667</v>
      </c>
      <c r="F54" s="14">
        <v>54.13266667</v>
      </c>
      <c r="G54" s="14">
        <v>58.10466667</v>
      </c>
      <c r="H54" s="14">
        <v>59.889</v>
      </c>
      <c r="I54" s="14">
        <v>57.30466667</v>
      </c>
      <c r="J54" s="14">
        <v>75.776</v>
      </c>
      <c r="K54" s="14">
        <v>83.76666667</v>
      </c>
    </row>
    <row r="55" spans="1:11">
      <c r="A55" s="14">
        <v>24.54166667</v>
      </c>
      <c r="B55" s="14">
        <v>30.75866667</v>
      </c>
      <c r="C55" s="14">
        <v>42.24133333</v>
      </c>
      <c r="D55" s="14">
        <v>45.44533333</v>
      </c>
      <c r="E55" s="14">
        <v>59.303</v>
      </c>
      <c r="F55" s="14">
        <v>64.50033333</v>
      </c>
      <c r="G55" s="14">
        <v>72.168</v>
      </c>
      <c r="H55" s="14">
        <v>79.66633333</v>
      </c>
      <c r="I55" s="14">
        <v>79.068</v>
      </c>
      <c r="J55" s="14">
        <v>93.90833333</v>
      </c>
      <c r="K55" s="14">
        <v>120.0923333</v>
      </c>
    </row>
    <row r="56" spans="1:11">
      <c r="A56" s="14">
        <v>9.882233333</v>
      </c>
      <c r="B56" s="14">
        <v>10.19555667</v>
      </c>
      <c r="C56" s="14">
        <v>11.19666667</v>
      </c>
      <c r="D56" s="14">
        <v>13.02886667</v>
      </c>
      <c r="E56" s="14">
        <v>16.82666667</v>
      </c>
      <c r="F56" s="14">
        <v>21.1022</v>
      </c>
      <c r="G56" s="14">
        <v>24.26333333</v>
      </c>
      <c r="H56" s="14">
        <v>27.12553333</v>
      </c>
      <c r="I56" s="14">
        <v>27.5111</v>
      </c>
      <c r="J56" s="14">
        <v>37.4711</v>
      </c>
      <c r="K56" s="14">
        <v>47.5289</v>
      </c>
    </row>
    <row r="57" s="6" customFormat="1" spans="1:11">
      <c r="A57" s="23">
        <v>0.003008621</v>
      </c>
      <c r="B57" s="23">
        <v>0.029478102</v>
      </c>
      <c r="C57" s="23">
        <v>0.009452934</v>
      </c>
      <c r="D57" s="23">
        <v>0.007502964</v>
      </c>
      <c r="E57" s="23">
        <v>0.013907489</v>
      </c>
      <c r="F57" s="23">
        <v>0.010935471</v>
      </c>
      <c r="G57" s="23">
        <v>0.011574824</v>
      </c>
      <c r="H57" s="23">
        <v>0.00307165</v>
      </c>
      <c r="I57" s="23">
        <v>0.003577207</v>
      </c>
      <c r="J57" s="23">
        <v>0.002809442</v>
      </c>
      <c r="K57" s="23">
        <v>0.008695885</v>
      </c>
    </row>
    <row r="58" spans="1:11">
      <c r="A58" s="14"/>
      <c r="B58" s="14">
        <f>(B41-B52)/B52</f>
        <v>0.0528675272903255</v>
      </c>
      <c r="C58" s="14">
        <f t="shared" ref="C58:J58" si="0">(C41-C52)/C52</f>
        <v>0.232895509767899</v>
      </c>
      <c r="D58" s="14">
        <f t="shared" si="0"/>
        <v>0.645279029375488</v>
      </c>
      <c r="E58" s="14">
        <f t="shared" si="0"/>
        <v>1.12730270845116</v>
      </c>
      <c r="F58" s="14">
        <f t="shared" si="0"/>
        <v>1.61137083112758</v>
      </c>
      <c r="G58" s="14">
        <f t="shared" si="0"/>
        <v>2.28386721825583</v>
      </c>
      <c r="H58" s="14">
        <f t="shared" si="0"/>
        <v>2.97681704151096</v>
      </c>
      <c r="I58" s="14">
        <f t="shared" si="0"/>
        <v>3.67019997680804</v>
      </c>
      <c r="J58" s="14">
        <f t="shared" si="0"/>
        <v>4.87736905685735</v>
      </c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23">
        <v>0.446377458</v>
      </c>
      <c r="B61" s="23">
        <v>0.329333802</v>
      </c>
      <c r="C61" s="23">
        <v>0.287934279</v>
      </c>
      <c r="D61" s="23">
        <v>0.421854606</v>
      </c>
      <c r="E61" s="23">
        <v>1.177758386</v>
      </c>
      <c r="F61" s="23">
        <v>0.741785068</v>
      </c>
      <c r="G61" s="23">
        <v>0.755103623</v>
      </c>
      <c r="H61" s="23">
        <v>2.240871402</v>
      </c>
      <c r="I61" s="23">
        <v>1.006938767</v>
      </c>
      <c r="J61" s="23">
        <v>6.958684958</v>
      </c>
      <c r="K61" s="23">
        <v>4.028932996</v>
      </c>
    </row>
    <row r="62" s="5" customFormat="1" spans="1:6">
      <c r="A62" s="5" t="s">
        <v>14</v>
      </c>
      <c r="F62" s="2">
        <v>50</v>
      </c>
    </row>
    <row r="63" spans="1:11">
      <c r="A63">
        <v>1.22257666666667</v>
      </c>
      <c r="B63">
        <v>1.17626666666667</v>
      </c>
      <c r="C63">
        <v>1.14170333333333</v>
      </c>
      <c r="D63">
        <v>1.10851</v>
      </c>
      <c r="E63">
        <v>1.07403333333333</v>
      </c>
      <c r="F63">
        <v>0.918543666666667</v>
      </c>
      <c r="G63">
        <v>0.890469666666667</v>
      </c>
      <c r="H63">
        <v>0.883725666666667</v>
      </c>
      <c r="I63">
        <v>0.863673</v>
      </c>
      <c r="J63">
        <v>0.842563</v>
      </c>
      <c r="K63">
        <v>0.802140333333333</v>
      </c>
    </row>
    <row r="64" spans="1:11">
      <c r="A64">
        <v>24.413</v>
      </c>
      <c r="B64">
        <v>22.0796666666667</v>
      </c>
      <c r="C64">
        <v>19.0526666666667</v>
      </c>
      <c r="D64">
        <v>18.275</v>
      </c>
      <c r="E64">
        <v>17.2163333333333</v>
      </c>
      <c r="F64">
        <v>20.496</v>
      </c>
      <c r="G64">
        <v>19.5933333333333</v>
      </c>
      <c r="H64">
        <v>19.437</v>
      </c>
      <c r="I64">
        <v>18.996</v>
      </c>
      <c r="J64">
        <v>19.2313333333333</v>
      </c>
      <c r="K64">
        <v>9.991</v>
      </c>
    </row>
    <row r="65" spans="1:11">
      <c r="A65">
        <v>27.4456666666667</v>
      </c>
      <c r="B65">
        <v>26.2523333333333</v>
      </c>
      <c r="C65">
        <v>24.5123333333333</v>
      </c>
      <c r="D65">
        <v>25.564</v>
      </c>
      <c r="E65">
        <v>23.8993333333333</v>
      </c>
      <c r="F65">
        <v>25.892</v>
      </c>
      <c r="G65">
        <v>26.0053333333333</v>
      </c>
      <c r="H65">
        <v>24.8523333333333</v>
      </c>
      <c r="I65">
        <v>24.8613333333333</v>
      </c>
      <c r="J65">
        <v>24.0416666666667</v>
      </c>
      <c r="K65">
        <v>10.7453333333333</v>
      </c>
    </row>
    <row r="66" spans="1:11">
      <c r="A66">
        <v>36.2513333333333</v>
      </c>
      <c r="B66">
        <v>40.2193333333333</v>
      </c>
      <c r="C66">
        <v>33.17</v>
      </c>
      <c r="D66">
        <v>40.2883333333333</v>
      </c>
      <c r="E66">
        <v>33.971</v>
      </c>
      <c r="F66">
        <v>37.3076666666667</v>
      </c>
      <c r="G66">
        <v>35.2116666666667</v>
      </c>
      <c r="H66">
        <v>34.8516666666667</v>
      </c>
      <c r="I66">
        <v>34.6503333333333</v>
      </c>
      <c r="J66">
        <v>32.5593333333333</v>
      </c>
      <c r="K66">
        <v>14.8723333333333</v>
      </c>
    </row>
    <row r="67" spans="1:11">
      <c r="A67">
        <v>14.3844333333333</v>
      </c>
      <c r="B67">
        <v>14.1566333333333</v>
      </c>
      <c r="C67">
        <v>12.5711</v>
      </c>
      <c r="D67">
        <v>12.3378</v>
      </c>
      <c r="E67">
        <v>11.2377666666667</v>
      </c>
      <c r="F67">
        <v>11.8633333333333</v>
      </c>
      <c r="G67">
        <v>10.9022333333333</v>
      </c>
      <c r="H67">
        <v>10.7266666666667</v>
      </c>
      <c r="I67">
        <v>10.4655333333333</v>
      </c>
      <c r="J67">
        <v>10.2133433333333</v>
      </c>
      <c r="K67">
        <v>8.27778</v>
      </c>
    </row>
    <row r="68" s="6" customFormat="1" spans="1:11">
      <c r="A68" s="6">
        <v>0.0193937658941104</v>
      </c>
      <c r="B68" s="6">
        <v>0.0115710164731635</v>
      </c>
      <c r="C68" s="6">
        <v>0.0372071824010126</v>
      </c>
      <c r="D68" s="6">
        <v>0.0175196974859727</v>
      </c>
      <c r="E68" s="6">
        <v>0.0171853626347799</v>
      </c>
      <c r="F68" s="6">
        <v>0.0015687065443295</v>
      </c>
      <c r="G68" s="6">
        <v>0.00256155907386283</v>
      </c>
      <c r="H68" s="6">
        <v>0.00617089952023926</v>
      </c>
      <c r="I68" s="6">
        <v>0.0159183104631114</v>
      </c>
      <c r="J68" s="6">
        <v>0.00753718904278426</v>
      </c>
      <c r="K68" s="6">
        <v>0.0054081113359677</v>
      </c>
    </row>
    <row r="72" spans="1:11">
      <c r="A72">
        <v>0.211546454052584</v>
      </c>
      <c r="B72">
        <v>0.433769011751134</v>
      </c>
      <c r="C72">
        <v>0.394615863847362</v>
      </c>
      <c r="D72">
        <v>0.411974618959308</v>
      </c>
      <c r="E72">
        <v>0.0517806484659622</v>
      </c>
      <c r="F72">
        <v>0.139080847790852</v>
      </c>
      <c r="G72">
        <v>0.350983345600456</v>
      </c>
      <c r="H72">
        <v>0.20387287433322</v>
      </c>
      <c r="I72">
        <v>0.126171743623082</v>
      </c>
      <c r="J72">
        <v>0.28787222007149</v>
      </c>
      <c r="K72">
        <v>0.232815085851411</v>
      </c>
    </row>
    <row r="73" spans="1:9">
      <c r="A73" t="s">
        <v>15</v>
      </c>
      <c r="G73" t="s">
        <v>16</v>
      </c>
      <c r="I73" t="s">
        <v>17</v>
      </c>
    </row>
    <row r="74" spans="1:9">
      <c r="A74">
        <v>2.101406667</v>
      </c>
      <c r="B74">
        <v>0.749224333333333</v>
      </c>
      <c r="C74">
        <v>0.918543666666667</v>
      </c>
      <c r="D74" t="s">
        <v>18</v>
      </c>
      <c r="H74">
        <v>0.0304769858527163</v>
      </c>
      <c r="I74">
        <v>0.0403881288939653</v>
      </c>
    </row>
    <row r="75" spans="1:9">
      <c r="A75">
        <v>2.09515666666667</v>
      </c>
      <c r="B75">
        <v>0.742613333</v>
      </c>
      <c r="C75">
        <v>0.950435333</v>
      </c>
      <c r="D75" t="s">
        <v>19</v>
      </c>
      <c r="H75">
        <v>0.0165842582656633</v>
      </c>
      <c r="I75">
        <v>0.0272244379597123</v>
      </c>
    </row>
    <row r="76" spans="1:9">
      <c r="A76" s="5" t="s">
        <v>20</v>
      </c>
      <c r="H76">
        <v>0.00768424519534761</v>
      </c>
      <c r="I76">
        <v>0.015017579</v>
      </c>
    </row>
    <row r="77" s="5" customFormat="1" spans="1:13">
      <c r="A77" s="5">
        <v>4</v>
      </c>
      <c r="B77" s="5">
        <v>5</v>
      </c>
      <c r="C77" s="5">
        <v>6</v>
      </c>
      <c r="D77" s="5">
        <v>7</v>
      </c>
      <c r="E77" s="5">
        <v>8</v>
      </c>
      <c r="F77" s="2">
        <v>9</v>
      </c>
      <c r="G77" s="5">
        <v>10</v>
      </c>
      <c r="H77" s="5">
        <v>11</v>
      </c>
      <c r="I77" s="5">
        <v>12</v>
      </c>
      <c r="K77" s="5">
        <v>7</v>
      </c>
      <c r="L77" s="5">
        <v>8</v>
      </c>
      <c r="M77" s="2">
        <v>9</v>
      </c>
    </row>
    <row r="78" spans="1:13">
      <c r="A78">
        <v>1.51881666666667</v>
      </c>
      <c r="B78">
        <v>2.00138666666667</v>
      </c>
      <c r="C78">
        <v>2.66961333333333</v>
      </c>
      <c r="D78">
        <v>2.91648666666667</v>
      </c>
      <c r="E78">
        <v>3.04489</v>
      </c>
      <c r="F78">
        <v>3.05152666666667</v>
      </c>
      <c r="G78">
        <v>3.04671666666667</v>
      </c>
      <c r="H78">
        <v>3.05715666666667</v>
      </c>
      <c r="I78">
        <v>3.07026666666667</v>
      </c>
      <c r="K78">
        <v>2.91648666666667</v>
      </c>
      <c r="L78">
        <v>3.04489</v>
      </c>
      <c r="M78">
        <v>3.05152666666667</v>
      </c>
    </row>
    <row r="79" spans="1:13">
      <c r="A79" s="6">
        <v>0.0174893230921675</v>
      </c>
      <c r="B79" s="6">
        <v>0.0492398648341858</v>
      </c>
      <c r="C79" s="6">
        <v>0.117957562236971</v>
      </c>
      <c r="D79" s="6">
        <v>0.0499192710505896</v>
      </c>
      <c r="E79" s="6">
        <v>0.0226107186971135</v>
      </c>
      <c r="F79" s="6">
        <v>0.0511286014759731</v>
      </c>
      <c r="G79" s="6">
        <v>0.102495312846762</v>
      </c>
      <c r="H79" s="6">
        <v>0.0395103634787409</v>
      </c>
      <c r="I79" s="6">
        <v>0.0346300229409235</v>
      </c>
      <c r="J79" s="6"/>
      <c r="K79" s="6">
        <v>0.0499192710505896</v>
      </c>
      <c r="L79" s="6">
        <v>0.0226107186971135</v>
      </c>
      <c r="M79" s="6">
        <v>0.0511286014759731</v>
      </c>
    </row>
    <row r="80" spans="1:13">
      <c r="A80">
        <v>16</v>
      </c>
      <c r="B80">
        <v>32</v>
      </c>
      <c r="C80">
        <v>64</v>
      </c>
      <c r="D80">
        <v>128</v>
      </c>
      <c r="E80">
        <v>256</v>
      </c>
      <c r="F80">
        <v>512</v>
      </c>
      <c r="G80">
        <v>1024</v>
      </c>
      <c r="H80">
        <v>2048</v>
      </c>
      <c r="I80">
        <v>4096</v>
      </c>
      <c r="K80">
        <v>128</v>
      </c>
      <c r="L80">
        <v>256</v>
      </c>
      <c r="M80">
        <v>512</v>
      </c>
    </row>
    <row r="81" spans="1:9">
      <c r="A81">
        <v>1.47317</v>
      </c>
      <c r="B81">
        <v>1.93340333333333</v>
      </c>
      <c r="C81">
        <v>2.34227333333333</v>
      </c>
      <c r="D81">
        <v>2.34606333333333</v>
      </c>
      <c r="E81">
        <v>2.49602</v>
      </c>
      <c r="F81">
        <v>2.78800666666667</v>
      </c>
      <c r="G81">
        <v>2.85943</v>
      </c>
      <c r="H81">
        <v>3.06208</v>
      </c>
      <c r="I81">
        <v>3.06108333333333</v>
      </c>
    </row>
    <row r="82" spans="1:9">
      <c r="A82">
        <v>0.0231939129945769</v>
      </c>
      <c r="B82">
        <v>0.0126059624340584</v>
      </c>
      <c r="C82">
        <v>0.143556675064434</v>
      </c>
      <c r="D82">
        <v>0.0184550920404702</v>
      </c>
      <c r="E82">
        <v>0.0550630807952722</v>
      </c>
      <c r="F82" s="6">
        <v>0.0483458252822539</v>
      </c>
      <c r="G82" s="6">
        <v>0.0119905740757758</v>
      </c>
      <c r="H82" s="6">
        <v>0.0666165960303186</v>
      </c>
      <c r="I82" s="6">
        <v>0.09374210805301</v>
      </c>
    </row>
    <row r="83" spans="1:1">
      <c r="A83" s="5" t="s">
        <v>21</v>
      </c>
    </row>
    <row r="84" spans="1:20">
      <c r="A84">
        <v>0.420269</v>
      </c>
      <c r="B84">
        <v>0.374049</v>
      </c>
      <c r="C84">
        <v>0.357992333</v>
      </c>
      <c r="D84" t="s">
        <v>22</v>
      </c>
      <c r="L84" t="s">
        <v>23</v>
      </c>
      <c r="N84" t="s">
        <v>24</v>
      </c>
      <c r="P84">
        <v>2.7031</v>
      </c>
      <c r="Q84">
        <v>2.75708</v>
      </c>
      <c r="R84">
        <v>2.86647</v>
      </c>
      <c r="S84">
        <v>2.81071</v>
      </c>
      <c r="T84">
        <v>2.84339</v>
      </c>
    </row>
    <row r="85" spans="1:12">
      <c r="A85">
        <v>2.47237</v>
      </c>
      <c r="B85">
        <v>1.5028</v>
      </c>
      <c r="C85">
        <v>0.834319667</v>
      </c>
      <c r="D85" t="s">
        <v>25</v>
      </c>
      <c r="L85" t="s">
        <v>26</v>
      </c>
    </row>
    <row r="86" spans="1:14">
      <c r="A86" s="5" t="s">
        <v>27</v>
      </c>
      <c r="L86" t="s">
        <v>28</v>
      </c>
      <c r="N86" t="s">
        <v>29</v>
      </c>
    </row>
    <row r="87" spans="1:14">
      <c r="A87">
        <v>66.8267</v>
      </c>
      <c r="B87">
        <v>75.5933</v>
      </c>
      <c r="C87">
        <v>81.5311</v>
      </c>
      <c r="L87" t="s">
        <v>30</v>
      </c>
      <c r="N87" t="s">
        <v>31</v>
      </c>
    </row>
    <row r="88" spans="1:14">
      <c r="A88">
        <v>8.21333</v>
      </c>
      <c r="B88">
        <v>9.12667</v>
      </c>
      <c r="C88">
        <v>13.2311333333333</v>
      </c>
      <c r="L88" t="s">
        <v>32</v>
      </c>
      <c r="N88" t="s">
        <v>33</v>
      </c>
    </row>
    <row r="89" spans="1:1">
      <c r="A89" s="37" t="s">
        <v>34</v>
      </c>
    </row>
    <row r="90" spans="1:14">
      <c r="A90">
        <v>1</v>
      </c>
      <c r="B90">
        <v>3</v>
      </c>
      <c r="C90">
        <v>5</v>
      </c>
      <c r="N90" t="s">
        <v>35</v>
      </c>
    </row>
    <row r="91" spans="1:14">
      <c r="A91">
        <v>0.789571333333333</v>
      </c>
      <c r="B91">
        <v>1.81592666666667</v>
      </c>
      <c r="C91">
        <v>2.96025</v>
      </c>
      <c r="E91" s="6"/>
      <c r="F91" s="6"/>
      <c r="G91" s="6"/>
      <c r="L91" t="s">
        <v>36</v>
      </c>
      <c r="N91" t="s">
        <v>31</v>
      </c>
    </row>
    <row r="92" spans="1:14">
      <c r="A92" s="38" t="s">
        <v>37</v>
      </c>
      <c r="N92" t="s">
        <v>38</v>
      </c>
    </row>
    <row r="93" spans="1:18">
      <c r="A93">
        <v>0</v>
      </c>
      <c r="B93">
        <v>2</v>
      </c>
      <c r="C93">
        <v>4</v>
      </c>
      <c r="D93">
        <v>6</v>
      </c>
      <c r="E93">
        <v>8</v>
      </c>
      <c r="F93">
        <v>10</v>
      </c>
      <c r="G93">
        <v>12</v>
      </c>
      <c r="H93">
        <v>14</v>
      </c>
      <c r="I93">
        <v>15</v>
      </c>
      <c r="J93">
        <v>16</v>
      </c>
      <c r="K93">
        <v>18</v>
      </c>
      <c r="L93">
        <v>20</v>
      </c>
      <c r="M93">
        <v>22</v>
      </c>
      <c r="N93">
        <v>24</v>
      </c>
      <c r="O93">
        <v>26</v>
      </c>
      <c r="P93">
        <v>28</v>
      </c>
      <c r="Q93">
        <v>30</v>
      </c>
      <c r="R93">
        <v>32</v>
      </c>
    </row>
    <row r="94" spans="1:18">
      <c r="A94">
        <v>0</v>
      </c>
      <c r="B94">
        <v>2.84339</v>
      </c>
      <c r="C94">
        <v>3.04397</v>
      </c>
      <c r="D94">
        <v>2.86647</v>
      </c>
      <c r="E94">
        <v>3.1464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2.75708</v>
      </c>
      <c r="P94">
        <v>3.07835</v>
      </c>
      <c r="Q94">
        <v>2.9209</v>
      </c>
      <c r="R94">
        <v>2.9209</v>
      </c>
    </row>
    <row r="95" spans="1:1">
      <c r="A95" s="38" t="s">
        <v>39</v>
      </c>
    </row>
    <row r="96" spans="1:18">
      <c r="A96">
        <v>0</v>
      </c>
      <c r="B96">
        <v>2</v>
      </c>
      <c r="C96">
        <v>4</v>
      </c>
      <c r="D96">
        <v>6</v>
      </c>
      <c r="E96">
        <v>8</v>
      </c>
      <c r="F96">
        <v>10</v>
      </c>
      <c r="G96">
        <v>12</v>
      </c>
      <c r="H96">
        <v>14</v>
      </c>
      <c r="I96">
        <v>15</v>
      </c>
      <c r="J96">
        <v>16</v>
      </c>
      <c r="K96">
        <v>18</v>
      </c>
      <c r="L96">
        <v>20</v>
      </c>
      <c r="M96">
        <v>22</v>
      </c>
      <c r="N96">
        <v>24</v>
      </c>
      <c r="O96">
        <v>26</v>
      </c>
      <c r="P96">
        <v>28</v>
      </c>
      <c r="Q96">
        <v>30</v>
      </c>
      <c r="R96">
        <v>32</v>
      </c>
    </row>
    <row r="97" spans="1:18">
      <c r="A97">
        <v>0</v>
      </c>
      <c r="B97">
        <v>0.357992333333333</v>
      </c>
      <c r="C97">
        <v>0.342923</v>
      </c>
      <c r="D97">
        <v>0.3540923</v>
      </c>
      <c r="E97">
        <v>0.35523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0.3142323</v>
      </c>
      <c r="P97">
        <v>0.34124</v>
      </c>
      <c r="Q97">
        <v>0.351901</v>
      </c>
      <c r="R97">
        <v>0.3523101</v>
      </c>
    </row>
    <row r="98" spans="1:14">
      <c r="A98" s="39" t="s">
        <v>40</v>
      </c>
      <c r="M98" t="s">
        <v>41</v>
      </c>
      <c r="N98" t="s">
        <v>41</v>
      </c>
    </row>
    <row r="99" spans="1:14">
      <c r="A99" s="21">
        <v>500</v>
      </c>
      <c r="B99">
        <v>1000</v>
      </c>
      <c r="C99">
        <v>2000</v>
      </c>
      <c r="D99">
        <v>4000</v>
      </c>
      <c r="E99">
        <v>8000</v>
      </c>
      <c r="M99" t="s">
        <v>42</v>
      </c>
      <c r="N99" t="s">
        <v>42</v>
      </c>
    </row>
    <row r="100" spans="1:14">
      <c r="A100" s="21">
        <v>0.202</v>
      </c>
      <c r="B100">
        <v>0.336</v>
      </c>
      <c r="C100">
        <v>0.577</v>
      </c>
      <c r="D100">
        <v>1.364</v>
      </c>
      <c r="E100">
        <v>2.879</v>
      </c>
      <c r="L100" t="s">
        <v>43</v>
      </c>
      <c r="M100" t="s">
        <v>43</v>
      </c>
      <c r="N100" t="s">
        <v>43</v>
      </c>
    </row>
    <row r="101" spans="1:14">
      <c r="A101" s="21">
        <v>0.128</v>
      </c>
      <c r="B101">
        <v>0.473</v>
      </c>
      <c r="C101">
        <v>0.46</v>
      </c>
      <c r="D101">
        <v>0.922</v>
      </c>
      <c r="E101">
        <v>2.786</v>
      </c>
      <c r="L101" t="s">
        <v>44</v>
      </c>
      <c r="M101" t="s">
        <v>44</v>
      </c>
      <c r="N101" t="s">
        <v>44</v>
      </c>
    </row>
    <row r="102" spans="1:14">
      <c r="A102" s="21">
        <v>0.121</v>
      </c>
      <c r="B102">
        <v>0.253</v>
      </c>
      <c r="C102">
        <v>0.734</v>
      </c>
      <c r="D102">
        <v>0.844</v>
      </c>
      <c r="E102">
        <v>1.989</v>
      </c>
      <c r="L102" t="s">
        <v>45</v>
      </c>
      <c r="M102" t="s">
        <v>45</v>
      </c>
      <c r="N102" t="s">
        <v>45</v>
      </c>
    </row>
    <row r="103" spans="1:14">
      <c r="A103">
        <f t="shared" ref="A103:E103" si="1">AVERAGE(A100:A102)</f>
        <v>0.150333333333333</v>
      </c>
      <c r="B103">
        <f t="shared" si="1"/>
        <v>0.354</v>
      </c>
      <c r="C103">
        <f t="shared" si="1"/>
        <v>0.590333333333333</v>
      </c>
      <c r="D103">
        <f t="shared" si="1"/>
        <v>1.04333333333333</v>
      </c>
      <c r="E103">
        <f t="shared" si="1"/>
        <v>2.55133333333333</v>
      </c>
      <c r="L103" t="s">
        <v>46</v>
      </c>
      <c r="M103" t="s">
        <v>47</v>
      </c>
      <c r="N103" t="s">
        <v>48</v>
      </c>
    </row>
    <row r="104" spans="1:14">
      <c r="A104">
        <f>(((A100-A103)^2+(A101-A103)^2+(A102-A103)^2)/3)^(1/2)</f>
        <v>0.0366454484061648</v>
      </c>
      <c r="B104">
        <f>(((B100-B103)^2+(B101-B103)^2+(B102-B103)^2)/3)^(1/2)</f>
        <v>0.0907119984713525</v>
      </c>
      <c r="C104">
        <f>(((C100-C103)^2+(C101-C103)^2+(C102-C103)^2)/3)^(1/2)</f>
        <v>0.112256650384534</v>
      </c>
      <c r="D104">
        <f>(((D100-D103)^2+(D101-D103)^2+(D102-D103)^2)/3)^(1/2)</f>
        <v>0.22897064343613</v>
      </c>
      <c r="E104">
        <f>(((E100-E103)^2+(E101-E103)^2+(E102-E103)^2)/3)^(1/2)</f>
        <v>0.39943821661039</v>
      </c>
      <c r="G104">
        <f>(((A232-A246)^2+(A212-A246)^2+(A192-A246)^2)/3)^(1/2)</f>
        <v>0</v>
      </c>
      <c r="L104" t="s">
        <v>49</v>
      </c>
      <c r="M104" t="s">
        <v>50</v>
      </c>
      <c r="N104" t="s">
        <v>51</v>
      </c>
    </row>
    <row r="105" spans="1:14">
      <c r="A105" s="39" t="s">
        <v>52</v>
      </c>
      <c r="L105" t="s">
        <v>53</v>
      </c>
      <c r="M105" t="s">
        <v>54</v>
      </c>
      <c r="N105" t="s">
        <v>55</v>
      </c>
    </row>
    <row r="106" spans="1:14">
      <c r="A106" s="5">
        <v>4</v>
      </c>
      <c r="B106" s="5">
        <v>5</v>
      </c>
      <c r="C106" s="5">
        <v>6</v>
      </c>
      <c r="D106" s="5">
        <v>7</v>
      </c>
      <c r="E106" s="5">
        <v>8</v>
      </c>
      <c r="F106" s="2">
        <v>9</v>
      </c>
      <c r="L106" t="s">
        <v>56</v>
      </c>
      <c r="M106" t="s">
        <v>57</v>
      </c>
      <c r="N106" t="s">
        <v>58</v>
      </c>
    </row>
    <row r="107" spans="1:14">
      <c r="A107">
        <v>0.11797618866</v>
      </c>
      <c r="B107">
        <v>0.305399894714</v>
      </c>
      <c r="C107">
        <v>0.473453998566</v>
      </c>
      <c r="D107">
        <v>0.932090997696</v>
      </c>
      <c r="E107">
        <v>1.93381690979</v>
      </c>
      <c r="F107">
        <v>4.2579729557</v>
      </c>
      <c r="L107" t="s">
        <v>59</v>
      </c>
      <c r="M107" t="s">
        <v>60</v>
      </c>
      <c r="N107" t="s">
        <v>61</v>
      </c>
    </row>
    <row r="108" spans="1:14">
      <c r="A108" s="6">
        <v>0.110852003098</v>
      </c>
      <c r="B108" s="6">
        <v>0.292330026627</v>
      </c>
      <c r="C108" s="6">
        <v>0.649043083191</v>
      </c>
      <c r="D108" s="6">
        <v>0.959384918213</v>
      </c>
      <c r="E108" s="6">
        <v>1.92541790009</v>
      </c>
      <c r="F108" s="6">
        <v>4.033837</v>
      </c>
      <c r="L108" t="s">
        <v>62</v>
      </c>
      <c r="M108" t="s">
        <v>63</v>
      </c>
      <c r="N108" t="s">
        <v>64</v>
      </c>
    </row>
    <row r="109" spans="1:14">
      <c r="A109">
        <v>0.111793994904</v>
      </c>
      <c r="B109">
        <v>0.239645957947</v>
      </c>
      <c r="C109">
        <v>0.480279922485</v>
      </c>
      <c r="D109">
        <v>0.942564964294</v>
      </c>
      <c r="E109">
        <v>1.92458796501</v>
      </c>
      <c r="L109" t="s">
        <v>65</v>
      </c>
      <c r="M109" t="s">
        <v>66</v>
      </c>
      <c r="N109" t="s">
        <v>67</v>
      </c>
    </row>
    <row r="110" spans="1:14">
      <c r="A110" s="39" t="s">
        <v>52</v>
      </c>
      <c r="L110" t="s">
        <v>68</v>
      </c>
      <c r="M110" t="s">
        <v>69</v>
      </c>
      <c r="N110" t="s">
        <v>70</v>
      </c>
    </row>
    <row r="111" spans="1:14">
      <c r="A111" s="40" t="s">
        <v>71</v>
      </c>
      <c r="B111" s="40" t="s">
        <v>72</v>
      </c>
      <c r="C111" s="41" t="s">
        <v>73</v>
      </c>
      <c r="D111" s="41" t="s">
        <v>74</v>
      </c>
      <c r="E111" s="41" t="s">
        <v>75</v>
      </c>
      <c r="F111" s="40" t="s">
        <v>76</v>
      </c>
      <c r="L111" t="s">
        <v>77</v>
      </c>
      <c r="M111" t="s">
        <v>78</v>
      </c>
      <c r="N111" t="s">
        <v>79</v>
      </c>
    </row>
    <row r="112" spans="1:14">
      <c r="A112" s="21" t="s">
        <v>80</v>
      </c>
      <c r="B112" s="21" t="s">
        <v>81</v>
      </c>
      <c r="C112" s="21" t="s">
        <v>82</v>
      </c>
      <c r="D112" s="21" t="s">
        <v>83</v>
      </c>
      <c r="E112" s="21" t="s">
        <v>84</v>
      </c>
      <c r="F112" s="21" t="s">
        <v>85</v>
      </c>
      <c r="L112" t="s">
        <v>86</v>
      </c>
      <c r="M112" t="s">
        <v>86</v>
      </c>
      <c r="N112" t="s">
        <v>86</v>
      </c>
    </row>
    <row r="113" spans="1:14">
      <c r="A113" s="14">
        <v>3.028213333</v>
      </c>
      <c r="B113" s="14">
        <v>2.01039</v>
      </c>
      <c r="C113">
        <v>1.838826667</v>
      </c>
      <c r="D113">
        <v>1.81592666666667</v>
      </c>
      <c r="E113">
        <v>1.870146667</v>
      </c>
      <c r="F113" s="14">
        <v>2.02428</v>
      </c>
      <c r="G113" s="14" t="s">
        <v>87</v>
      </c>
      <c r="L113" t="s">
        <v>88</v>
      </c>
      <c r="M113" t="s">
        <v>89</v>
      </c>
      <c r="N113" t="s">
        <v>90</v>
      </c>
    </row>
    <row r="114" spans="1:14">
      <c r="A114" s="23">
        <v>0.094579414</v>
      </c>
      <c r="B114" s="23">
        <v>0.030476986</v>
      </c>
      <c r="C114">
        <v>0.007918015</v>
      </c>
      <c r="D114" s="6">
        <v>0.0111280316718137</v>
      </c>
      <c r="E114" s="14">
        <v>0.005031861</v>
      </c>
      <c r="F114" s="23">
        <v>0.00343207</v>
      </c>
      <c r="G114" s="14" t="s">
        <v>91</v>
      </c>
      <c r="L114" t="s">
        <v>92</v>
      </c>
      <c r="M114" t="s">
        <v>93</v>
      </c>
      <c r="N114" t="s">
        <v>94</v>
      </c>
    </row>
    <row r="115" spans="1:14">
      <c r="A115" s="14">
        <v>0.431410667</v>
      </c>
      <c r="B115" s="14">
        <v>0.749224333</v>
      </c>
      <c r="C115">
        <v>1.763313333</v>
      </c>
      <c r="D115" s="42">
        <v>1.81481</v>
      </c>
      <c r="E115">
        <v>1.76731</v>
      </c>
      <c r="F115" s="14">
        <v>0.792066</v>
      </c>
      <c r="G115" s="14" t="s">
        <v>95</v>
      </c>
      <c r="L115" t="s">
        <v>96</v>
      </c>
      <c r="M115" t="s">
        <v>96</v>
      </c>
      <c r="N115" t="s">
        <v>97</v>
      </c>
    </row>
    <row r="116" spans="1:7">
      <c r="A116" s="23">
        <v>0.008695885</v>
      </c>
      <c r="B116" s="23">
        <v>0.007684245</v>
      </c>
      <c r="C116">
        <v>0.006585066</v>
      </c>
      <c r="D116" s="6">
        <v>0.0293022869793848</v>
      </c>
      <c r="E116" s="6">
        <v>0.009161707</v>
      </c>
      <c r="F116" s="23">
        <v>0.021752444</v>
      </c>
      <c r="G116" s="14" t="s">
        <v>91</v>
      </c>
    </row>
    <row r="117" spans="1:7">
      <c r="A117" s="14">
        <v>0.834319667</v>
      </c>
      <c r="B117">
        <v>0.918543666666667</v>
      </c>
      <c r="C117" s="14">
        <v>1.180263333</v>
      </c>
      <c r="D117">
        <v>1.22257666666667</v>
      </c>
      <c r="E117" s="14">
        <v>1.228586667</v>
      </c>
      <c r="F117">
        <v>0.917554</v>
      </c>
      <c r="G117" s="14" t="s">
        <v>25</v>
      </c>
    </row>
    <row r="118" spans="1:7">
      <c r="A118" s="23">
        <v>0.006857155</v>
      </c>
      <c r="B118">
        <v>0.0015687065443295</v>
      </c>
      <c r="C118" s="14">
        <f>(C113-C115)/C115</f>
        <v>0.0428246827077103</v>
      </c>
      <c r="D118">
        <v>0.0193937658941104</v>
      </c>
      <c r="E118" s="14">
        <f>(E113-E115)/E115</f>
        <v>0.0581882448466879</v>
      </c>
      <c r="F118" s="23">
        <v>0.00544615</v>
      </c>
      <c r="G118" s="14" t="s">
        <v>91</v>
      </c>
    </row>
    <row r="120" spans="1:6">
      <c r="A120">
        <f t="shared" ref="A120:F120" si="2">(A113-A115)/A115</f>
        <v>6.01932883129197</v>
      </c>
      <c r="B120">
        <f t="shared" si="2"/>
        <v>1.68329512463926</v>
      </c>
      <c r="C120">
        <f t="shared" si="2"/>
        <v>0.0428246827077103</v>
      </c>
      <c r="D120">
        <f t="shared" si="2"/>
        <v>0.000615307754898119</v>
      </c>
      <c r="E120">
        <f t="shared" si="2"/>
        <v>0.0581882448466879</v>
      </c>
      <c r="F120">
        <f t="shared" si="2"/>
        <v>1.55569611623274</v>
      </c>
    </row>
    <row r="122" spans="1:6">
      <c r="A122">
        <f t="shared" ref="A122:F122" si="3">(A113-A117)/A117</f>
        <v>2.62956005087196</v>
      </c>
      <c r="B122">
        <f t="shared" si="3"/>
        <v>1.18867112468977</v>
      </c>
      <c r="C122">
        <f t="shared" si="3"/>
        <v>0.557979999536256</v>
      </c>
      <c r="D122">
        <f t="shared" si="3"/>
        <v>0.485327436861488</v>
      </c>
      <c r="E122">
        <f t="shared" si="3"/>
        <v>0.522193523039429</v>
      </c>
      <c r="F122">
        <f t="shared" si="3"/>
        <v>1.20616988209958</v>
      </c>
    </row>
  </sheetData>
  <sortState ref="A35:I36" columnSort="1">
    <sortCondition ref="A35:I35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758"/>
  <sheetViews>
    <sheetView zoomScale="97" zoomScaleNormal="97" topLeftCell="A45" workbookViewId="0">
      <selection activeCell="A77" sqref="A77"/>
    </sheetView>
  </sheetViews>
  <sheetFormatPr defaultColWidth="9.16346153846154" defaultRowHeight="16.8"/>
  <cols>
    <col min="1" max="1" width="82.6057692307692" customWidth="1"/>
    <col min="2" max="2" width="24.6634615384615" customWidth="1"/>
    <col min="3" max="3" width="65.6634615384615" customWidth="1"/>
    <col min="4" max="4" width="58.1634615384615" customWidth="1"/>
    <col min="5" max="5" width="54.1634615384615" customWidth="1"/>
    <col min="6" max="6" width="56.9903846153846" customWidth="1"/>
    <col min="7" max="7" width="80.1634615384615" customWidth="1"/>
    <col min="8" max="8" width="71.1634615384615" customWidth="1"/>
    <col min="9" max="9" width="43" customWidth="1"/>
    <col min="10" max="10" width="38.8365384615385" customWidth="1"/>
    <col min="11" max="11" width="13"/>
    <col min="13" max="13" width="13"/>
    <col min="14" max="14" width="35.6634615384615" customWidth="1"/>
    <col min="15" max="15" width="59.5" customWidth="1"/>
    <col min="16" max="16" width="46.1634615384615" customWidth="1"/>
    <col min="17" max="17" width="13"/>
    <col min="19" max="19" width="41.7980769230769" customWidth="1"/>
    <col min="20" max="20" width="59.6346153846154" customWidth="1"/>
    <col min="22" max="22" width="66.8365384615385" customWidth="1"/>
    <col min="23" max="23" width="28.8365384615385" customWidth="1"/>
    <col min="24" max="24" width="49.5" customWidth="1"/>
    <col min="25" max="25" width="51.3365384615385" customWidth="1"/>
    <col min="26" max="26" width="30" customWidth="1"/>
    <col min="27" max="27" width="51.1634615384615" customWidth="1"/>
    <col min="42" max="42" width="9.66346153846154"/>
  </cols>
  <sheetData>
    <row r="1" s="27" customFormat="1" spans="1:16">
      <c r="A1" s="27" t="s">
        <v>98</v>
      </c>
      <c r="B1" s="27" t="s">
        <v>99</v>
      </c>
      <c r="O1"/>
      <c r="P1" s="5">
        <v>50</v>
      </c>
    </row>
    <row r="2" s="5" customFormat="1" spans="1:45">
      <c r="A2" s="31">
        <v>0</v>
      </c>
      <c r="B2" s="31">
        <v>10</v>
      </c>
      <c r="C2" s="31">
        <v>20</v>
      </c>
      <c r="D2" s="31">
        <v>30</v>
      </c>
      <c r="E2" s="31">
        <v>40</v>
      </c>
      <c r="F2" s="31">
        <v>50</v>
      </c>
      <c r="G2" s="31">
        <v>60</v>
      </c>
      <c r="H2" s="31">
        <v>70</v>
      </c>
      <c r="I2" s="31">
        <v>80</v>
      </c>
      <c r="J2" s="31">
        <v>90</v>
      </c>
      <c r="K2" s="5">
        <v>100</v>
      </c>
      <c r="O2"/>
      <c r="P2" s="5" t="s">
        <v>100</v>
      </c>
      <c r="T2" s="5" t="s">
        <v>101</v>
      </c>
      <c r="W2" s="5">
        <v>16</v>
      </c>
      <c r="X2" s="5">
        <v>32</v>
      </c>
      <c r="Y2" s="5">
        <v>64</v>
      </c>
      <c r="Z2" s="5">
        <v>128</v>
      </c>
      <c r="AA2" s="5">
        <v>256</v>
      </c>
      <c r="AB2" s="5">
        <v>512</v>
      </c>
      <c r="AP2" s="5" t="s">
        <v>102</v>
      </c>
      <c r="AS2" s="5" t="s">
        <v>103</v>
      </c>
    </row>
    <row r="3" spans="1:42">
      <c r="A3" s="14" t="s">
        <v>104</v>
      </c>
      <c r="B3" s="14" t="s">
        <v>104</v>
      </c>
      <c r="C3" s="14" t="s">
        <v>104</v>
      </c>
      <c r="D3" s="14" t="s">
        <v>104</v>
      </c>
      <c r="E3" s="14" t="s">
        <v>104</v>
      </c>
      <c r="F3" s="14" t="s">
        <v>104</v>
      </c>
      <c r="G3" s="14" t="s">
        <v>104</v>
      </c>
      <c r="H3" s="14" t="s">
        <v>104</v>
      </c>
      <c r="I3" s="14" t="s">
        <v>104</v>
      </c>
      <c r="J3" s="14" t="s">
        <v>104</v>
      </c>
      <c r="K3" t="s">
        <v>104</v>
      </c>
      <c r="P3" t="s">
        <v>104</v>
      </c>
      <c r="T3" s="14" t="s">
        <v>104</v>
      </c>
      <c r="AP3" t="s">
        <v>104</v>
      </c>
    </row>
    <row r="4" spans="1:42">
      <c r="A4" s="14" t="s">
        <v>42</v>
      </c>
      <c r="B4" s="14" t="s">
        <v>42</v>
      </c>
      <c r="C4" s="14" t="s">
        <v>42</v>
      </c>
      <c r="D4" s="14" t="s">
        <v>42</v>
      </c>
      <c r="E4" s="14" t="s">
        <v>42</v>
      </c>
      <c r="F4" s="14" t="s">
        <v>42</v>
      </c>
      <c r="G4" s="14" t="s">
        <v>42</v>
      </c>
      <c r="H4" s="14" t="s">
        <v>42</v>
      </c>
      <c r="I4" s="14" t="s">
        <v>42</v>
      </c>
      <c r="J4" s="14" t="s">
        <v>42</v>
      </c>
      <c r="K4" t="s">
        <v>42</v>
      </c>
      <c r="P4" t="s">
        <v>42</v>
      </c>
      <c r="T4" s="14" t="s">
        <v>42</v>
      </c>
      <c r="W4" t="s">
        <v>42</v>
      </c>
      <c r="X4" t="s">
        <v>42</v>
      </c>
      <c r="Y4" t="s">
        <v>42</v>
      </c>
      <c r="AA4" t="s">
        <v>42</v>
      </c>
      <c r="AB4" t="s">
        <v>42</v>
      </c>
      <c r="AP4" t="s">
        <v>42</v>
      </c>
    </row>
    <row r="5" ht="17" spans="1:42">
      <c r="A5" s="14" t="s">
        <v>105</v>
      </c>
      <c r="B5" s="14" t="s">
        <v>105</v>
      </c>
      <c r="C5" s="14" t="s">
        <v>105</v>
      </c>
      <c r="D5" s="14" t="s">
        <v>105</v>
      </c>
      <c r="E5" s="14" t="s">
        <v>105</v>
      </c>
      <c r="F5" s="14" t="s">
        <v>105</v>
      </c>
      <c r="G5" s="14" t="s">
        <v>105</v>
      </c>
      <c r="H5" s="14" t="s">
        <v>105</v>
      </c>
      <c r="I5" s="14" t="s">
        <v>105</v>
      </c>
      <c r="J5" s="14" t="s">
        <v>105</v>
      </c>
      <c r="K5" t="s">
        <v>43</v>
      </c>
      <c r="P5" t="s">
        <v>43</v>
      </c>
      <c r="T5" s="14" t="s">
        <v>105</v>
      </c>
      <c r="W5" t="s">
        <v>43</v>
      </c>
      <c r="X5" t="s">
        <v>43</v>
      </c>
      <c r="Y5" t="s">
        <v>43</v>
      </c>
      <c r="AA5" t="s">
        <v>43</v>
      </c>
      <c r="AB5" t="s">
        <v>43</v>
      </c>
      <c r="AP5" t="s">
        <v>43</v>
      </c>
    </row>
    <row r="6" spans="1:42">
      <c r="A6" s="14" t="s">
        <v>44</v>
      </c>
      <c r="B6" s="14" t="s">
        <v>44</v>
      </c>
      <c r="C6" s="14" t="s">
        <v>44</v>
      </c>
      <c r="D6" s="14" t="s">
        <v>44</v>
      </c>
      <c r="E6" s="14" t="s">
        <v>44</v>
      </c>
      <c r="F6" s="14" t="s">
        <v>44</v>
      </c>
      <c r="G6" s="14" t="s">
        <v>44</v>
      </c>
      <c r="H6" s="14" t="s">
        <v>44</v>
      </c>
      <c r="I6" s="14" t="s">
        <v>44</v>
      </c>
      <c r="J6" s="14" t="s">
        <v>44</v>
      </c>
      <c r="K6" t="s">
        <v>44</v>
      </c>
      <c r="P6" t="s">
        <v>44</v>
      </c>
      <c r="T6" s="14" t="s">
        <v>44</v>
      </c>
      <c r="W6" t="s">
        <v>44</v>
      </c>
      <c r="X6" t="s">
        <v>44</v>
      </c>
      <c r="Y6" t="s">
        <v>44</v>
      </c>
      <c r="AA6" t="s">
        <v>44</v>
      </c>
      <c r="AB6" t="s">
        <v>44</v>
      </c>
      <c r="AP6" t="s">
        <v>44</v>
      </c>
    </row>
    <row r="7" spans="1:42">
      <c r="A7" s="14" t="s">
        <v>45</v>
      </c>
      <c r="B7" s="14" t="s">
        <v>45</v>
      </c>
      <c r="C7" s="14" t="s">
        <v>45</v>
      </c>
      <c r="D7" s="14" t="s">
        <v>45</v>
      </c>
      <c r="E7" s="14" t="s">
        <v>45</v>
      </c>
      <c r="F7" s="14" t="s">
        <v>45</v>
      </c>
      <c r="G7" s="14" t="s">
        <v>45</v>
      </c>
      <c r="H7" s="14" t="s">
        <v>45</v>
      </c>
      <c r="I7" s="14" t="s">
        <v>45</v>
      </c>
      <c r="J7" s="14" t="s">
        <v>45</v>
      </c>
      <c r="K7" t="s">
        <v>106</v>
      </c>
      <c r="P7" t="s">
        <v>107</v>
      </c>
      <c r="T7" s="14" t="s">
        <v>45</v>
      </c>
      <c r="W7" t="s">
        <v>108</v>
      </c>
      <c r="X7" t="s">
        <v>109</v>
      </c>
      <c r="Y7" t="s">
        <v>110</v>
      </c>
      <c r="Z7" t="s">
        <v>111</v>
      </c>
      <c r="AA7" t="s">
        <v>112</v>
      </c>
      <c r="AB7" t="s">
        <v>113</v>
      </c>
      <c r="AP7" t="s">
        <v>114</v>
      </c>
    </row>
    <row r="8" spans="1:42">
      <c r="A8" s="14">
        <v>2739.96</v>
      </c>
      <c r="B8" s="14">
        <v>2762.69</v>
      </c>
      <c r="C8" s="14">
        <v>2828.22</v>
      </c>
      <c r="D8" s="14">
        <v>2926.46</v>
      </c>
      <c r="E8" s="14">
        <v>3004.42</v>
      </c>
      <c r="F8" s="14">
        <v>3119.83</v>
      </c>
      <c r="G8" s="14">
        <v>3344.47</v>
      </c>
      <c r="H8" s="14">
        <v>3473.25</v>
      </c>
      <c r="I8" s="14">
        <v>3680.06</v>
      </c>
      <c r="J8" s="14">
        <v>4022.07</v>
      </c>
      <c r="K8">
        <v>4335.77</v>
      </c>
      <c r="P8">
        <v>3006.9</v>
      </c>
      <c r="T8" s="14">
        <v>3201.14</v>
      </c>
      <c r="W8">
        <v>2276.88</v>
      </c>
      <c r="X8">
        <v>2996.9</v>
      </c>
      <c r="Y8">
        <v>3735.94</v>
      </c>
      <c r="Z8">
        <v>4420.87</v>
      </c>
      <c r="AA8">
        <v>4552.54</v>
      </c>
      <c r="AB8">
        <v>4616.06</v>
      </c>
      <c r="AP8">
        <v>989.464</v>
      </c>
    </row>
    <row r="9" spans="1:42">
      <c r="A9" s="14">
        <v>1.83152</v>
      </c>
      <c r="B9" s="14">
        <v>1.84671</v>
      </c>
      <c r="C9" s="14">
        <v>1.89052</v>
      </c>
      <c r="D9" s="14">
        <v>1.95619</v>
      </c>
      <c r="E9" s="14">
        <v>2.0083</v>
      </c>
      <c r="F9" s="14">
        <v>2.08545</v>
      </c>
      <c r="G9" s="14">
        <v>2.23561</v>
      </c>
      <c r="H9" s="14">
        <v>2.32169</v>
      </c>
      <c r="I9" s="14">
        <v>2.45993</v>
      </c>
      <c r="J9" s="14">
        <v>2.68855</v>
      </c>
      <c r="K9">
        <v>2.92958</v>
      </c>
      <c r="P9">
        <v>2.03169</v>
      </c>
      <c r="T9" s="14">
        <v>2.1398</v>
      </c>
      <c r="W9">
        <v>1.53843</v>
      </c>
      <c r="X9">
        <v>2.02493</v>
      </c>
      <c r="Y9">
        <v>2.52428</v>
      </c>
      <c r="Z9">
        <v>2.98708</v>
      </c>
      <c r="AA9">
        <v>3.07604</v>
      </c>
      <c r="AB9">
        <v>3.11896</v>
      </c>
      <c r="AP9">
        <v>0.668557</v>
      </c>
    </row>
    <row r="10" ht="17" spans="1:42">
      <c r="A10" s="14"/>
      <c r="B10" s="14" t="s">
        <v>115</v>
      </c>
      <c r="C10" s="14" t="s">
        <v>116</v>
      </c>
      <c r="D10" s="14" t="s">
        <v>117</v>
      </c>
      <c r="E10" s="14" t="s">
        <v>118</v>
      </c>
      <c r="F10" s="14" t="s">
        <v>119</v>
      </c>
      <c r="G10" s="14" t="s">
        <v>120</v>
      </c>
      <c r="H10" s="14" t="s">
        <v>121</v>
      </c>
      <c r="I10" s="14" t="s">
        <v>122</v>
      </c>
      <c r="J10" s="14" t="s">
        <v>123</v>
      </c>
      <c r="K10" t="s">
        <v>124</v>
      </c>
      <c r="P10" t="s">
        <v>125</v>
      </c>
      <c r="T10" s="14" t="s">
        <v>126</v>
      </c>
      <c r="W10" t="s">
        <v>127</v>
      </c>
      <c r="X10" t="s">
        <v>128</v>
      </c>
      <c r="Y10" t="s">
        <v>129</v>
      </c>
      <c r="Z10" t="s">
        <v>130</v>
      </c>
      <c r="AA10" t="s">
        <v>131</v>
      </c>
      <c r="AB10" t="s">
        <v>132</v>
      </c>
      <c r="AP10" t="s">
        <v>133</v>
      </c>
    </row>
    <row r="11" ht="17" spans="1:42">
      <c r="A11" s="14"/>
      <c r="B11" s="14" t="s">
        <v>134</v>
      </c>
      <c r="C11" s="14" t="s">
        <v>135</v>
      </c>
      <c r="D11" s="14" t="s">
        <v>136</v>
      </c>
      <c r="E11" s="14" t="s">
        <v>137</v>
      </c>
      <c r="F11" s="14" t="s">
        <v>138</v>
      </c>
      <c r="G11" s="14" t="s">
        <v>139</v>
      </c>
      <c r="H11" s="14" t="s">
        <v>140</v>
      </c>
      <c r="I11" s="14" t="s">
        <v>141</v>
      </c>
      <c r="J11" s="14" t="s">
        <v>142</v>
      </c>
      <c r="K11" t="s">
        <v>143</v>
      </c>
      <c r="P11" t="s">
        <v>144</v>
      </c>
      <c r="T11" s="14" t="s">
        <v>145</v>
      </c>
      <c r="W11" t="s">
        <v>146</v>
      </c>
      <c r="X11" t="s">
        <v>147</v>
      </c>
      <c r="Y11" t="s">
        <v>148</v>
      </c>
      <c r="Z11" t="s">
        <v>149</v>
      </c>
      <c r="AA11" t="s">
        <v>150</v>
      </c>
      <c r="AB11" t="s">
        <v>151</v>
      </c>
      <c r="AP11" t="s">
        <v>152</v>
      </c>
    </row>
    <row r="12" ht="17" spans="1:42">
      <c r="A12" s="14"/>
      <c r="B12" s="14" t="s">
        <v>153</v>
      </c>
      <c r="C12" s="14" t="s">
        <v>154</v>
      </c>
      <c r="D12" s="14" t="s">
        <v>155</v>
      </c>
      <c r="E12" s="14" t="s">
        <v>156</v>
      </c>
      <c r="F12" s="14" t="s">
        <v>157</v>
      </c>
      <c r="G12" s="14" t="s">
        <v>158</v>
      </c>
      <c r="H12" s="14" t="s">
        <v>159</v>
      </c>
      <c r="I12" s="14" t="s">
        <v>160</v>
      </c>
      <c r="J12" s="14" t="s">
        <v>161</v>
      </c>
      <c r="K12" t="s">
        <v>162</v>
      </c>
      <c r="P12" t="s">
        <v>163</v>
      </c>
      <c r="T12" s="14" t="s">
        <v>164</v>
      </c>
      <c r="W12" t="s">
        <v>165</v>
      </c>
      <c r="X12" t="s">
        <v>166</v>
      </c>
      <c r="Y12" t="s">
        <v>167</v>
      </c>
      <c r="Z12" t="s">
        <v>168</v>
      </c>
      <c r="AA12" t="s">
        <v>169</v>
      </c>
      <c r="AB12" t="s">
        <v>170</v>
      </c>
      <c r="AP12" t="s">
        <v>171</v>
      </c>
    </row>
    <row r="13" ht="17" spans="1:42">
      <c r="A13" s="14" t="s">
        <v>172</v>
      </c>
      <c r="B13" s="14" t="s">
        <v>173</v>
      </c>
      <c r="C13" s="14" t="s">
        <v>174</v>
      </c>
      <c r="D13" s="14" t="s">
        <v>175</v>
      </c>
      <c r="E13" s="14" t="s">
        <v>176</v>
      </c>
      <c r="F13" s="14" t="s">
        <v>177</v>
      </c>
      <c r="G13" s="14" t="s">
        <v>178</v>
      </c>
      <c r="H13" s="14" t="s">
        <v>179</v>
      </c>
      <c r="I13" s="14" t="s">
        <v>180</v>
      </c>
      <c r="J13" s="14" t="s">
        <v>181</v>
      </c>
      <c r="P13" t="s">
        <v>182</v>
      </c>
      <c r="T13" s="14" t="s">
        <v>183</v>
      </c>
      <c r="AP13">
        <v>48.996</v>
      </c>
    </row>
    <row r="14" ht="17" spans="1:42">
      <c r="A14" s="14" t="s">
        <v>184</v>
      </c>
      <c r="B14" s="14" t="s">
        <v>185</v>
      </c>
      <c r="C14" s="14" t="s">
        <v>186</v>
      </c>
      <c r="D14" s="14" t="s">
        <v>187</v>
      </c>
      <c r="E14" s="14" t="s">
        <v>188</v>
      </c>
      <c r="F14" s="14" t="s">
        <v>189</v>
      </c>
      <c r="G14" s="14" t="s">
        <v>190</v>
      </c>
      <c r="H14" s="14" t="s">
        <v>191</v>
      </c>
      <c r="I14" s="14" t="s">
        <v>192</v>
      </c>
      <c r="J14" s="14" t="s">
        <v>193</v>
      </c>
      <c r="P14" t="s">
        <v>194</v>
      </c>
      <c r="T14" s="14" t="s">
        <v>195</v>
      </c>
      <c r="AP14">
        <v>58.639</v>
      </c>
    </row>
    <row r="15" ht="17" spans="1:42">
      <c r="A15" s="14" t="s">
        <v>196</v>
      </c>
      <c r="B15" s="14" t="s">
        <v>197</v>
      </c>
      <c r="C15" s="14" t="s">
        <v>198</v>
      </c>
      <c r="D15" s="14" t="s">
        <v>199</v>
      </c>
      <c r="E15" s="14" t="s">
        <v>200</v>
      </c>
      <c r="F15" s="14" t="s">
        <v>201</v>
      </c>
      <c r="G15" s="14" t="s">
        <v>202</v>
      </c>
      <c r="H15" s="14" t="s">
        <v>203</v>
      </c>
      <c r="I15" s="14" t="s">
        <v>204</v>
      </c>
      <c r="J15" s="14" t="s">
        <v>205</v>
      </c>
      <c r="P15" t="s">
        <v>206</v>
      </c>
      <c r="T15" s="14" t="s">
        <v>207</v>
      </c>
      <c r="AP15">
        <v>154.275</v>
      </c>
    </row>
    <row r="16" spans="1:42">
      <c r="A16" s="14">
        <v>16.153</v>
      </c>
      <c r="B16" s="14">
        <v>16.65</v>
      </c>
      <c r="C16" s="14">
        <v>16.753</v>
      </c>
      <c r="D16" s="14">
        <v>16.799</v>
      </c>
      <c r="E16" s="14">
        <v>14.868</v>
      </c>
      <c r="F16" s="14">
        <v>15.089</v>
      </c>
      <c r="G16" s="14">
        <v>12.67</v>
      </c>
      <c r="H16" s="14">
        <v>9.476</v>
      </c>
      <c r="I16" s="14">
        <v>9.984</v>
      </c>
      <c r="J16" s="14">
        <v>7.134</v>
      </c>
      <c r="K16">
        <v>4.787</v>
      </c>
      <c r="P16">
        <v>14.414</v>
      </c>
      <c r="T16" s="14">
        <v>13.65</v>
      </c>
      <c r="W16">
        <v>4.621</v>
      </c>
      <c r="X16">
        <v>4.828</v>
      </c>
      <c r="Y16">
        <v>4.835</v>
      </c>
      <c r="Z16">
        <v>4.792</v>
      </c>
      <c r="AA16">
        <v>4.801</v>
      </c>
      <c r="AB16">
        <v>4.628</v>
      </c>
      <c r="AP16" t="s">
        <v>208</v>
      </c>
    </row>
    <row r="17" spans="1:42">
      <c r="A17" s="14">
        <v>21.017</v>
      </c>
      <c r="B17" s="14">
        <v>20.652</v>
      </c>
      <c r="C17" s="14">
        <v>18.611</v>
      </c>
      <c r="D17" s="14">
        <v>19.526</v>
      </c>
      <c r="E17" s="14">
        <v>19.473</v>
      </c>
      <c r="F17" s="14">
        <v>21.067</v>
      </c>
      <c r="G17" s="14">
        <v>15.412</v>
      </c>
      <c r="H17" s="14">
        <v>14.557</v>
      </c>
      <c r="I17" s="14">
        <v>15.648</v>
      </c>
      <c r="J17" s="14">
        <v>10.545</v>
      </c>
      <c r="K17">
        <v>4.947</v>
      </c>
      <c r="P17">
        <v>17.655</v>
      </c>
      <c r="T17" s="14">
        <v>19.346</v>
      </c>
      <c r="W17">
        <v>4.708</v>
      </c>
      <c r="X17">
        <v>15.147</v>
      </c>
      <c r="Y17">
        <v>5.037</v>
      </c>
      <c r="Z17">
        <v>4.877</v>
      </c>
      <c r="AA17">
        <v>4.971</v>
      </c>
      <c r="AB17">
        <v>4.715</v>
      </c>
      <c r="AP17" t="s">
        <v>209</v>
      </c>
    </row>
    <row r="18" spans="1:42">
      <c r="A18" s="14">
        <v>28.528</v>
      </c>
      <c r="B18" s="14">
        <v>32.567</v>
      </c>
      <c r="C18" s="14">
        <v>31.821</v>
      </c>
      <c r="D18" s="14">
        <v>34.126</v>
      </c>
      <c r="E18" s="14">
        <v>41.677</v>
      </c>
      <c r="F18" s="14">
        <v>41.129</v>
      </c>
      <c r="G18" s="14">
        <v>46.628</v>
      </c>
      <c r="H18" s="14">
        <v>25.525</v>
      </c>
      <c r="I18" s="14">
        <v>28.785</v>
      </c>
      <c r="J18" s="14">
        <v>27.955</v>
      </c>
      <c r="K18">
        <v>5.934</v>
      </c>
      <c r="P18">
        <v>44.453</v>
      </c>
      <c r="T18" s="14">
        <v>31.59</v>
      </c>
      <c r="W18">
        <v>20.95</v>
      </c>
      <c r="X18">
        <v>22.101</v>
      </c>
      <c r="Y18">
        <v>10.778</v>
      </c>
      <c r="Z18">
        <v>5.014</v>
      </c>
      <c r="AA18">
        <v>5.781</v>
      </c>
      <c r="AB18">
        <v>5.041</v>
      </c>
      <c r="AP18">
        <v>32.8833</v>
      </c>
    </row>
    <row r="19" spans="1:42">
      <c r="A19" s="14" t="s">
        <v>208</v>
      </c>
      <c r="B19" s="14" t="s">
        <v>210</v>
      </c>
      <c r="C19" s="14" t="s">
        <v>211</v>
      </c>
      <c r="D19" s="14" t="s">
        <v>212</v>
      </c>
      <c r="E19" s="14" t="s">
        <v>213</v>
      </c>
      <c r="F19" s="14" t="s">
        <v>214</v>
      </c>
      <c r="G19" s="14" t="s">
        <v>215</v>
      </c>
      <c r="H19" s="14" t="s">
        <v>216</v>
      </c>
      <c r="I19" s="14" t="s">
        <v>217</v>
      </c>
      <c r="J19" s="14" t="s">
        <v>218</v>
      </c>
      <c r="K19" t="s">
        <v>219</v>
      </c>
      <c r="P19" t="s">
        <v>220</v>
      </c>
      <c r="T19" s="14" t="s">
        <v>221</v>
      </c>
      <c r="W19" t="s">
        <v>222</v>
      </c>
      <c r="X19" t="s">
        <v>223</v>
      </c>
      <c r="Y19" t="s">
        <v>224</v>
      </c>
      <c r="Z19" t="s">
        <v>225</v>
      </c>
      <c r="AA19" t="s">
        <v>226</v>
      </c>
      <c r="AB19" t="s">
        <v>227</v>
      </c>
      <c r="AP19" t="s">
        <v>97</v>
      </c>
    </row>
    <row r="20" spans="1:28">
      <c r="A20" s="14" t="s">
        <v>228</v>
      </c>
      <c r="B20" s="14" t="s">
        <v>229</v>
      </c>
      <c r="C20" s="14" t="s">
        <v>230</v>
      </c>
      <c r="D20" s="14" t="s">
        <v>231</v>
      </c>
      <c r="E20" s="14" t="s">
        <v>232</v>
      </c>
      <c r="F20" s="14" t="s">
        <v>233</v>
      </c>
      <c r="G20" s="14" t="s">
        <v>234</v>
      </c>
      <c r="H20" s="14" t="s">
        <v>235</v>
      </c>
      <c r="I20" s="14" t="s">
        <v>236</v>
      </c>
      <c r="J20" s="14" t="s">
        <v>237</v>
      </c>
      <c r="K20" t="s">
        <v>238</v>
      </c>
      <c r="P20" t="s">
        <v>239</v>
      </c>
      <c r="T20" s="14" t="s">
        <v>240</v>
      </c>
      <c r="W20" t="s">
        <v>238</v>
      </c>
      <c r="X20" t="s">
        <v>238</v>
      </c>
      <c r="Y20" t="s">
        <v>238</v>
      </c>
      <c r="Z20" t="s">
        <v>238</v>
      </c>
      <c r="AA20" t="s">
        <v>238</v>
      </c>
      <c r="AB20" t="s">
        <v>238</v>
      </c>
    </row>
    <row r="21" spans="1:28">
      <c r="A21" s="14">
        <v>10.63</v>
      </c>
      <c r="B21" s="14">
        <v>9.87333</v>
      </c>
      <c r="C21" s="14">
        <v>9.36333</v>
      </c>
      <c r="D21" s="14">
        <v>8.84</v>
      </c>
      <c r="E21" s="14">
        <v>7.94</v>
      </c>
      <c r="F21" s="14">
        <v>7.32333</v>
      </c>
      <c r="G21" s="14">
        <v>6.96667</v>
      </c>
      <c r="H21" s="14">
        <v>5.33</v>
      </c>
      <c r="I21" s="14">
        <v>5.22333</v>
      </c>
      <c r="J21" s="14">
        <v>4.31667</v>
      </c>
      <c r="K21">
        <v>3.95333</v>
      </c>
      <c r="P21">
        <v>7.26667</v>
      </c>
      <c r="T21" s="14">
        <v>7.1</v>
      </c>
      <c r="W21">
        <v>3.64</v>
      </c>
      <c r="X21">
        <v>4.26</v>
      </c>
      <c r="Y21">
        <v>3.91333</v>
      </c>
      <c r="Z21">
        <v>3.76</v>
      </c>
      <c r="AA21">
        <v>3.7</v>
      </c>
      <c r="AB21">
        <v>3.62667</v>
      </c>
    </row>
    <row r="22" spans="1:28">
      <c r="A22" s="14" t="s">
        <v>97</v>
      </c>
      <c r="B22" s="14" t="s">
        <v>96</v>
      </c>
      <c r="C22" s="14" t="s">
        <v>241</v>
      </c>
      <c r="D22" s="14" t="s">
        <v>97</v>
      </c>
      <c r="E22" s="14" t="s">
        <v>96</v>
      </c>
      <c r="F22" s="14" t="s">
        <v>242</v>
      </c>
      <c r="G22" s="14" t="s">
        <v>243</v>
      </c>
      <c r="H22" s="14" t="s">
        <v>244</v>
      </c>
      <c r="I22" s="14" t="s">
        <v>97</v>
      </c>
      <c r="J22" s="14" t="s">
        <v>96</v>
      </c>
      <c r="K22" t="s">
        <v>97</v>
      </c>
      <c r="P22" t="s">
        <v>97</v>
      </c>
      <c r="T22" s="14" t="s">
        <v>245</v>
      </c>
      <c r="W22" t="s">
        <v>97</v>
      </c>
      <c r="X22" t="s">
        <v>97</v>
      </c>
      <c r="Y22" t="s">
        <v>97</v>
      </c>
      <c r="Z22" t="s">
        <v>97</v>
      </c>
      <c r="AA22" t="s">
        <v>97</v>
      </c>
      <c r="AB22" t="s">
        <v>97</v>
      </c>
    </row>
    <row r="23" spans="1:20">
      <c r="A23" s="14" t="s">
        <v>104</v>
      </c>
      <c r="B23" s="14" t="s">
        <v>104</v>
      </c>
      <c r="C23" s="14" t="s">
        <v>104</v>
      </c>
      <c r="D23" s="14" t="s">
        <v>104</v>
      </c>
      <c r="E23" s="14" t="s">
        <v>104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t="s">
        <v>104</v>
      </c>
      <c r="P23" t="s">
        <v>104</v>
      </c>
      <c r="T23" s="14" t="s">
        <v>104</v>
      </c>
    </row>
    <row r="24" spans="1:28">
      <c r="A24" s="14" t="s">
        <v>42</v>
      </c>
      <c r="B24" s="14" t="s">
        <v>42</v>
      </c>
      <c r="C24" s="14" t="s">
        <v>42</v>
      </c>
      <c r="D24" s="14" t="s">
        <v>42</v>
      </c>
      <c r="E24" s="14" t="s">
        <v>42</v>
      </c>
      <c r="F24" s="14" t="s">
        <v>42</v>
      </c>
      <c r="G24" s="14" t="s">
        <v>42</v>
      </c>
      <c r="H24" s="14" t="s">
        <v>42</v>
      </c>
      <c r="I24" s="14" t="s">
        <v>42</v>
      </c>
      <c r="J24" s="14" t="s">
        <v>42</v>
      </c>
      <c r="K24" t="s">
        <v>42</v>
      </c>
      <c r="P24" t="s">
        <v>42</v>
      </c>
      <c r="T24" s="14" t="s">
        <v>42</v>
      </c>
      <c r="W24" t="s">
        <v>42</v>
      </c>
      <c r="X24" t="s">
        <v>42</v>
      </c>
      <c r="Y24" t="s">
        <v>42</v>
      </c>
      <c r="AA24" t="s">
        <v>42</v>
      </c>
      <c r="AB24" t="s">
        <v>42</v>
      </c>
    </row>
    <row r="25" ht="17" spans="1:28">
      <c r="A25" s="14" t="s">
        <v>43</v>
      </c>
      <c r="B25" s="14" t="s">
        <v>105</v>
      </c>
      <c r="C25" s="14" t="s">
        <v>105</v>
      </c>
      <c r="D25" s="14" t="s">
        <v>105</v>
      </c>
      <c r="E25" s="14" t="s">
        <v>105</v>
      </c>
      <c r="F25" s="14" t="s">
        <v>105</v>
      </c>
      <c r="G25" s="14" t="s">
        <v>105</v>
      </c>
      <c r="H25" s="14" t="s">
        <v>105</v>
      </c>
      <c r="I25" s="14" t="s">
        <v>105</v>
      </c>
      <c r="J25" s="14" t="s">
        <v>105</v>
      </c>
      <c r="K25" t="s">
        <v>43</v>
      </c>
      <c r="P25" t="s">
        <v>43</v>
      </c>
      <c r="T25" s="14" t="s">
        <v>105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</row>
    <row r="26" spans="1:28">
      <c r="A26" s="14" t="s">
        <v>44</v>
      </c>
      <c r="B26" s="14" t="s">
        <v>44</v>
      </c>
      <c r="C26" s="14" t="s">
        <v>44</v>
      </c>
      <c r="D26" s="14" t="s">
        <v>44</v>
      </c>
      <c r="E26" s="14" t="s">
        <v>44</v>
      </c>
      <c r="F26" s="14" t="s">
        <v>44</v>
      </c>
      <c r="G26" s="14" t="s">
        <v>44</v>
      </c>
      <c r="H26" s="14" t="s">
        <v>44</v>
      </c>
      <c r="I26" s="14" t="s">
        <v>44</v>
      </c>
      <c r="J26" s="14" t="s">
        <v>44</v>
      </c>
      <c r="K26" t="s">
        <v>44</v>
      </c>
      <c r="P26" t="s">
        <v>44</v>
      </c>
      <c r="T26" s="14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</row>
    <row r="27" spans="1:28">
      <c r="A27" s="14" t="s">
        <v>45</v>
      </c>
      <c r="B27" s="14" t="s">
        <v>45</v>
      </c>
      <c r="C27" s="14" t="s">
        <v>45</v>
      </c>
      <c r="D27" s="14" t="s">
        <v>45</v>
      </c>
      <c r="E27" s="14" t="s">
        <v>45</v>
      </c>
      <c r="F27" s="14" t="s">
        <v>45</v>
      </c>
      <c r="G27" s="14" t="s">
        <v>45</v>
      </c>
      <c r="H27" s="14" t="s">
        <v>45</v>
      </c>
      <c r="I27" s="14" t="s">
        <v>45</v>
      </c>
      <c r="J27" s="14"/>
      <c r="K27" t="s">
        <v>246</v>
      </c>
      <c r="P27" t="s">
        <v>247</v>
      </c>
      <c r="T27" s="14" t="s">
        <v>45</v>
      </c>
      <c r="W27" t="s">
        <v>248</v>
      </c>
      <c r="X27" t="s">
        <v>249</v>
      </c>
      <c r="Y27" t="s">
        <v>250</v>
      </c>
      <c r="Z27" t="s">
        <v>251</v>
      </c>
      <c r="AA27" t="s">
        <v>252</v>
      </c>
      <c r="AB27" t="s">
        <v>253</v>
      </c>
    </row>
    <row r="28" spans="1:28">
      <c r="A28" s="14">
        <v>2702.21</v>
      </c>
      <c r="B28" s="14">
        <v>2797.81</v>
      </c>
      <c r="C28" s="14">
        <v>2811.23</v>
      </c>
      <c r="D28" s="14">
        <v>2963.64</v>
      </c>
      <c r="E28" s="14">
        <v>2976.11</v>
      </c>
      <c r="F28" s="14">
        <v>3129.41</v>
      </c>
      <c r="G28" s="14">
        <v>3307.77</v>
      </c>
      <c r="H28" s="14">
        <v>3447.52</v>
      </c>
      <c r="I28" s="14">
        <v>3693.87</v>
      </c>
      <c r="J28" s="14">
        <v>3974.39</v>
      </c>
      <c r="K28">
        <v>4438.95</v>
      </c>
      <c r="P28">
        <v>3007.65</v>
      </c>
      <c r="T28" s="14">
        <v>3147.13</v>
      </c>
      <c r="W28">
        <v>2252.65</v>
      </c>
      <c r="X28">
        <v>3028.62</v>
      </c>
      <c r="Y28">
        <v>4163.53</v>
      </c>
      <c r="Z28">
        <v>4265.02</v>
      </c>
      <c r="AA28">
        <v>4474.13</v>
      </c>
      <c r="AB28">
        <v>4432.91</v>
      </c>
    </row>
    <row r="29" spans="1:28">
      <c r="A29" s="14">
        <v>1.80629</v>
      </c>
      <c r="B29" s="14">
        <v>1.87019</v>
      </c>
      <c r="C29" s="14">
        <v>1.87916</v>
      </c>
      <c r="D29" s="14">
        <v>1.98104</v>
      </c>
      <c r="E29" s="14">
        <v>1.98938</v>
      </c>
      <c r="F29" s="14">
        <v>2.09185</v>
      </c>
      <c r="G29" s="14">
        <v>2.21108</v>
      </c>
      <c r="H29" s="14">
        <v>2.30449</v>
      </c>
      <c r="I29" s="14">
        <v>2.46917</v>
      </c>
      <c r="J29" s="14">
        <v>2.6854</v>
      </c>
      <c r="K29">
        <v>2.99929</v>
      </c>
      <c r="P29">
        <v>2.03219</v>
      </c>
      <c r="T29" s="14">
        <v>2.10369</v>
      </c>
      <c r="W29">
        <v>1.52206</v>
      </c>
      <c r="X29">
        <v>2.04637</v>
      </c>
      <c r="Y29">
        <v>2.8132</v>
      </c>
      <c r="Z29">
        <v>2.88177</v>
      </c>
      <c r="AA29">
        <v>3.02306</v>
      </c>
      <c r="AB29">
        <v>2.99521</v>
      </c>
    </row>
    <row r="30" ht="17" spans="2:28">
      <c r="B30" s="14" t="s">
        <v>254</v>
      </c>
      <c r="C30" s="14" t="s">
        <v>255</v>
      </c>
      <c r="D30" s="14" t="s">
        <v>256</v>
      </c>
      <c r="E30" s="14" t="s">
        <v>257</v>
      </c>
      <c r="F30" s="14" t="s">
        <v>258</v>
      </c>
      <c r="G30" s="14" t="s">
        <v>259</v>
      </c>
      <c r="H30" s="14" t="s">
        <v>260</v>
      </c>
      <c r="I30" s="14" t="s">
        <v>261</v>
      </c>
      <c r="J30" s="14" t="s">
        <v>262</v>
      </c>
      <c r="K30" t="s">
        <v>263</v>
      </c>
      <c r="P30" t="s">
        <v>264</v>
      </c>
      <c r="T30" s="14" t="s">
        <v>265</v>
      </c>
      <c r="W30" t="s">
        <v>266</v>
      </c>
      <c r="X30" t="s">
        <v>267</v>
      </c>
      <c r="Y30" t="s">
        <v>268</v>
      </c>
      <c r="Z30" t="s">
        <v>269</v>
      </c>
      <c r="AA30" t="s">
        <v>270</v>
      </c>
      <c r="AB30" t="s">
        <v>271</v>
      </c>
    </row>
    <row r="31" ht="17" spans="2:28">
      <c r="B31" s="14" t="s">
        <v>272</v>
      </c>
      <c r="C31" s="14" t="s">
        <v>273</v>
      </c>
      <c r="D31" s="14" t="s">
        <v>274</v>
      </c>
      <c r="E31" s="14" t="s">
        <v>275</v>
      </c>
      <c r="F31" s="14" t="s">
        <v>276</v>
      </c>
      <c r="G31" s="14" t="s">
        <v>277</v>
      </c>
      <c r="H31" s="14" t="s">
        <v>278</v>
      </c>
      <c r="I31" s="14" t="s">
        <v>279</v>
      </c>
      <c r="J31" s="14" t="s">
        <v>280</v>
      </c>
      <c r="K31" t="s">
        <v>281</v>
      </c>
      <c r="P31" t="s">
        <v>282</v>
      </c>
      <c r="T31" s="14" t="s">
        <v>283</v>
      </c>
      <c r="W31" t="s">
        <v>284</v>
      </c>
      <c r="X31" t="s">
        <v>285</v>
      </c>
      <c r="Y31" t="s">
        <v>286</v>
      </c>
      <c r="Z31" t="s">
        <v>287</v>
      </c>
      <c r="AA31" t="s">
        <v>288</v>
      </c>
      <c r="AB31" t="s">
        <v>289</v>
      </c>
    </row>
    <row r="32" ht="17" spans="2:28">
      <c r="B32" s="14" t="s">
        <v>290</v>
      </c>
      <c r="C32" s="14" t="s">
        <v>291</v>
      </c>
      <c r="D32" s="14" t="s">
        <v>292</v>
      </c>
      <c r="E32" s="14" t="s">
        <v>293</v>
      </c>
      <c r="F32" s="14" t="s">
        <v>294</v>
      </c>
      <c r="G32" s="14" t="s">
        <v>295</v>
      </c>
      <c r="H32" s="14" t="s">
        <v>296</v>
      </c>
      <c r="I32" s="14" t="s">
        <v>297</v>
      </c>
      <c r="J32" s="14" t="s">
        <v>298</v>
      </c>
      <c r="K32" t="s">
        <v>299</v>
      </c>
      <c r="P32" t="s">
        <v>300</v>
      </c>
      <c r="T32" s="14" t="s">
        <v>301</v>
      </c>
      <c r="W32" t="s">
        <v>302</v>
      </c>
      <c r="X32" t="s">
        <v>303</v>
      </c>
      <c r="Y32" t="s">
        <v>304</v>
      </c>
      <c r="Z32" t="s">
        <v>305</v>
      </c>
      <c r="AA32" t="s">
        <v>306</v>
      </c>
      <c r="AB32" t="s">
        <v>307</v>
      </c>
    </row>
    <row r="33" ht="17" spans="1:20">
      <c r="A33" s="14" t="s">
        <v>308</v>
      </c>
      <c r="B33" s="14" t="s">
        <v>309</v>
      </c>
      <c r="C33" s="14" t="s">
        <v>310</v>
      </c>
      <c r="D33" s="14" t="s">
        <v>311</v>
      </c>
      <c r="E33" s="14" t="s">
        <v>312</v>
      </c>
      <c r="F33" s="14" t="s">
        <v>313</v>
      </c>
      <c r="G33" s="14" t="s">
        <v>314</v>
      </c>
      <c r="H33" s="14" t="s">
        <v>315</v>
      </c>
      <c r="I33" s="14" t="s">
        <v>316</v>
      </c>
      <c r="J33" s="14" t="s">
        <v>317</v>
      </c>
      <c r="P33" t="s">
        <v>318</v>
      </c>
      <c r="T33" s="14" t="s">
        <v>319</v>
      </c>
    </row>
    <row r="34" ht="17" spans="1:20">
      <c r="A34" s="14" t="s">
        <v>320</v>
      </c>
      <c r="B34" s="14" t="s">
        <v>321</v>
      </c>
      <c r="C34" s="14" t="s">
        <v>322</v>
      </c>
      <c r="D34" s="14" t="s">
        <v>323</v>
      </c>
      <c r="E34" s="14" t="s">
        <v>324</v>
      </c>
      <c r="F34" s="14" t="s">
        <v>325</v>
      </c>
      <c r="G34" s="14" t="s">
        <v>326</v>
      </c>
      <c r="H34" s="14" t="s">
        <v>327</v>
      </c>
      <c r="I34" s="14" t="s">
        <v>328</v>
      </c>
      <c r="J34" s="14" t="s">
        <v>329</v>
      </c>
      <c r="P34" t="s">
        <v>330</v>
      </c>
      <c r="T34" s="14" t="s">
        <v>331</v>
      </c>
    </row>
    <row r="35" ht="17" spans="1:20">
      <c r="A35" s="14" t="s">
        <v>332</v>
      </c>
      <c r="B35" s="14" t="s">
        <v>333</v>
      </c>
      <c r="C35" s="14" t="s">
        <v>334</v>
      </c>
      <c r="D35" s="14" t="s">
        <v>335</v>
      </c>
      <c r="E35" s="14" t="s">
        <v>336</v>
      </c>
      <c r="F35" s="14" t="s">
        <v>337</v>
      </c>
      <c r="G35" s="14" t="s">
        <v>338</v>
      </c>
      <c r="H35" s="14" t="s">
        <v>339</v>
      </c>
      <c r="I35" s="14" t="s">
        <v>340</v>
      </c>
      <c r="J35" s="14" t="s">
        <v>341</v>
      </c>
      <c r="P35" t="s">
        <v>342</v>
      </c>
      <c r="T35" s="14" t="s">
        <v>343</v>
      </c>
    </row>
    <row r="36" spans="1:28">
      <c r="A36" s="14">
        <v>16.783</v>
      </c>
      <c r="B36" s="14">
        <v>16.963</v>
      </c>
      <c r="C36" s="14">
        <v>18.251</v>
      </c>
      <c r="D36" s="14">
        <v>16.461</v>
      </c>
      <c r="E36" s="14">
        <v>16.885</v>
      </c>
      <c r="F36" s="14">
        <v>14.807</v>
      </c>
      <c r="G36" s="14">
        <v>11.287</v>
      </c>
      <c r="H36" s="14">
        <v>11.892</v>
      </c>
      <c r="I36" s="14">
        <v>10.153</v>
      </c>
      <c r="J36" s="14">
        <v>7.762</v>
      </c>
      <c r="K36">
        <v>4.671</v>
      </c>
      <c r="P36">
        <v>13.479</v>
      </c>
      <c r="T36" s="14">
        <v>14.743</v>
      </c>
      <c r="W36">
        <v>4.618</v>
      </c>
      <c r="X36">
        <v>5.119</v>
      </c>
      <c r="Y36">
        <v>4.772</v>
      </c>
      <c r="Z36">
        <v>4.502</v>
      </c>
      <c r="AA36">
        <v>4.784</v>
      </c>
      <c r="AB36">
        <v>4.804</v>
      </c>
    </row>
    <row r="37" spans="1:28">
      <c r="A37" s="14">
        <v>20.577</v>
      </c>
      <c r="B37" s="14">
        <v>18.821</v>
      </c>
      <c r="C37" s="14">
        <v>21.15</v>
      </c>
      <c r="D37" s="14">
        <v>19.277</v>
      </c>
      <c r="E37" s="14">
        <v>21.885</v>
      </c>
      <c r="F37" s="14">
        <v>17.254</v>
      </c>
      <c r="G37" s="14">
        <v>15.827</v>
      </c>
      <c r="H37" s="14">
        <v>16.442</v>
      </c>
      <c r="I37" s="14">
        <v>16.441</v>
      </c>
      <c r="J37" s="14">
        <v>9.565</v>
      </c>
      <c r="K37">
        <v>4.832</v>
      </c>
      <c r="P37">
        <v>18.281</v>
      </c>
      <c r="T37" s="14">
        <v>17.479</v>
      </c>
      <c r="W37">
        <v>4.939</v>
      </c>
      <c r="X37">
        <v>14.312</v>
      </c>
      <c r="Y37">
        <v>4.897</v>
      </c>
      <c r="Z37">
        <v>4.684</v>
      </c>
      <c r="AA37">
        <v>4.884</v>
      </c>
      <c r="AB37">
        <v>4.978</v>
      </c>
    </row>
    <row r="38" spans="1:28">
      <c r="A38" s="14">
        <v>27.958</v>
      </c>
      <c r="B38" s="14">
        <v>28.862</v>
      </c>
      <c r="C38" s="14">
        <v>34.67</v>
      </c>
      <c r="D38" s="14">
        <v>35.165</v>
      </c>
      <c r="E38" s="14">
        <v>35.045</v>
      </c>
      <c r="F38" s="14">
        <v>33.189</v>
      </c>
      <c r="G38" s="14">
        <v>28.232</v>
      </c>
      <c r="H38" s="14">
        <v>30.764</v>
      </c>
      <c r="I38" s="14">
        <v>36.633</v>
      </c>
      <c r="J38" s="14">
        <v>30.45</v>
      </c>
      <c r="K38">
        <v>5.208</v>
      </c>
      <c r="P38">
        <v>26.312</v>
      </c>
      <c r="T38" s="14">
        <v>30.478</v>
      </c>
      <c r="W38">
        <v>5.372</v>
      </c>
      <c r="X38">
        <v>18.532</v>
      </c>
      <c r="Y38">
        <v>6.853</v>
      </c>
      <c r="Z38">
        <v>7.51</v>
      </c>
      <c r="AA38">
        <v>5.122</v>
      </c>
      <c r="AB38">
        <v>5.145</v>
      </c>
    </row>
    <row r="39" spans="1:28">
      <c r="A39" s="14" t="s">
        <v>208</v>
      </c>
      <c r="B39" s="14" t="s">
        <v>344</v>
      </c>
      <c r="C39" s="14" t="s">
        <v>345</v>
      </c>
      <c r="D39" s="14" t="s">
        <v>346</v>
      </c>
      <c r="E39" s="14" t="s">
        <v>347</v>
      </c>
      <c r="F39" s="14" t="s">
        <v>348</v>
      </c>
      <c r="G39" s="14" t="s">
        <v>349</v>
      </c>
      <c r="H39" s="14" t="s">
        <v>350</v>
      </c>
      <c r="I39" s="14" t="s">
        <v>351</v>
      </c>
      <c r="J39" s="14" t="s">
        <v>352</v>
      </c>
      <c r="K39" t="s">
        <v>353</v>
      </c>
      <c r="P39" t="s">
        <v>354</v>
      </c>
      <c r="T39" s="14" t="s">
        <v>355</v>
      </c>
      <c r="W39" t="s">
        <v>356</v>
      </c>
      <c r="X39" t="s">
        <v>357</v>
      </c>
      <c r="Y39" t="s">
        <v>227</v>
      </c>
      <c r="Z39" t="s">
        <v>358</v>
      </c>
      <c r="AA39" t="s">
        <v>359</v>
      </c>
      <c r="AB39" t="s">
        <v>360</v>
      </c>
    </row>
    <row r="40" spans="1:28">
      <c r="A40" s="14" t="s">
        <v>361</v>
      </c>
      <c r="B40" s="14" t="s">
        <v>362</v>
      </c>
      <c r="C40" s="14" t="s">
        <v>363</v>
      </c>
      <c r="D40" s="14" t="s">
        <v>364</v>
      </c>
      <c r="E40" s="14" t="s">
        <v>365</v>
      </c>
      <c r="F40" s="14" t="s">
        <v>366</v>
      </c>
      <c r="G40" s="14" t="s">
        <v>367</v>
      </c>
      <c r="H40" s="14" t="s">
        <v>368</v>
      </c>
      <c r="I40" s="14" t="s">
        <v>369</v>
      </c>
      <c r="J40" s="14" t="s">
        <v>370</v>
      </c>
      <c r="K40" t="s">
        <v>238</v>
      </c>
      <c r="P40" t="s">
        <v>371</v>
      </c>
      <c r="T40" s="14" t="s">
        <v>372</v>
      </c>
      <c r="W40" t="s">
        <v>238</v>
      </c>
      <c r="X40" t="s">
        <v>238</v>
      </c>
      <c r="Y40" t="s">
        <v>238</v>
      </c>
      <c r="Z40" t="s">
        <v>238</v>
      </c>
      <c r="AA40" t="s">
        <v>238</v>
      </c>
      <c r="AB40" t="s">
        <v>238</v>
      </c>
    </row>
    <row r="41" spans="1:28">
      <c r="A41" s="14">
        <v>10.1175</v>
      </c>
      <c r="B41" s="14">
        <v>10.1533</v>
      </c>
      <c r="C41" s="14">
        <v>9.88</v>
      </c>
      <c r="D41" s="14">
        <v>8.71</v>
      </c>
      <c r="E41" s="14">
        <v>8.00333</v>
      </c>
      <c r="F41" s="14">
        <v>6.89333</v>
      </c>
      <c r="G41" s="14">
        <v>5.98667</v>
      </c>
      <c r="H41" s="14">
        <v>5.66</v>
      </c>
      <c r="I41" s="14">
        <v>5.62333</v>
      </c>
      <c r="J41" s="14">
        <v>4.57333</v>
      </c>
      <c r="K41">
        <v>3.63333</v>
      </c>
      <c r="P41">
        <v>6.52</v>
      </c>
      <c r="T41" s="14">
        <v>7.17333</v>
      </c>
      <c r="W41">
        <v>3.49333</v>
      </c>
      <c r="X41">
        <v>4.32</v>
      </c>
      <c r="Y41">
        <v>3.62667</v>
      </c>
      <c r="Z41">
        <v>3.68667</v>
      </c>
      <c r="AA41">
        <v>3.69333</v>
      </c>
      <c r="AB41">
        <v>3.78667</v>
      </c>
    </row>
    <row r="42" spans="1:28">
      <c r="A42" s="14" t="s">
        <v>97</v>
      </c>
      <c r="B42" s="14" t="s">
        <v>373</v>
      </c>
      <c r="C42" s="14" t="s">
        <v>242</v>
      </c>
      <c r="D42" s="14" t="s">
        <v>242</v>
      </c>
      <c r="E42" s="14" t="s">
        <v>374</v>
      </c>
      <c r="F42" s="14" t="s">
        <v>244</v>
      </c>
      <c r="G42" s="14" t="s">
        <v>242</v>
      </c>
      <c r="H42" s="14" t="s">
        <v>245</v>
      </c>
      <c r="I42" s="14" t="s">
        <v>97</v>
      </c>
      <c r="J42" s="14" t="s">
        <v>375</v>
      </c>
      <c r="K42" t="s">
        <v>243</v>
      </c>
      <c r="P42" t="s">
        <v>97</v>
      </c>
      <c r="T42" s="14" t="s">
        <v>242</v>
      </c>
      <c r="W42" t="s">
        <v>97</v>
      </c>
      <c r="X42" t="s">
        <v>97</v>
      </c>
      <c r="Y42" t="s">
        <v>375</v>
      </c>
      <c r="Z42" t="s">
        <v>97</v>
      </c>
      <c r="AA42" t="s">
        <v>97</v>
      </c>
      <c r="AB42" t="s">
        <v>97</v>
      </c>
    </row>
    <row r="43" spans="1:20">
      <c r="A43" s="14" t="s">
        <v>104</v>
      </c>
      <c r="B43" s="14" t="s">
        <v>104</v>
      </c>
      <c r="C43" s="14" t="s">
        <v>104</v>
      </c>
      <c r="D43" s="14" t="s">
        <v>104</v>
      </c>
      <c r="E43" s="14" t="s">
        <v>104</v>
      </c>
      <c r="F43" s="14" t="s">
        <v>104</v>
      </c>
      <c r="G43" s="14"/>
      <c r="H43" s="14" t="s">
        <v>104</v>
      </c>
      <c r="I43" s="14" t="s">
        <v>104</v>
      </c>
      <c r="J43" s="14" t="s">
        <v>104</v>
      </c>
      <c r="K43" t="s">
        <v>104</v>
      </c>
      <c r="P43" t="s">
        <v>104</v>
      </c>
      <c r="T43" s="14" t="s">
        <v>104</v>
      </c>
    </row>
    <row r="44" spans="1:28">
      <c r="A44" s="14" t="s">
        <v>42</v>
      </c>
      <c r="B44" s="14" t="s">
        <v>42</v>
      </c>
      <c r="C44" s="14" t="s">
        <v>42</v>
      </c>
      <c r="D44" s="14" t="s">
        <v>42</v>
      </c>
      <c r="E44" s="14" t="s">
        <v>42</v>
      </c>
      <c r="F44" s="14" t="s">
        <v>42</v>
      </c>
      <c r="G44" s="14" t="s">
        <v>42</v>
      </c>
      <c r="H44" s="14" t="s">
        <v>42</v>
      </c>
      <c r="I44" s="14" t="s">
        <v>42</v>
      </c>
      <c r="J44" s="14" t="s">
        <v>42</v>
      </c>
      <c r="K44" t="s">
        <v>42</v>
      </c>
      <c r="P44" t="s">
        <v>42</v>
      </c>
      <c r="T44" s="14" t="s">
        <v>42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</row>
    <row r="45" ht="17" spans="1:28">
      <c r="A45" s="14" t="s">
        <v>43</v>
      </c>
      <c r="B45" s="14" t="s">
        <v>105</v>
      </c>
      <c r="C45" s="14" t="s">
        <v>105</v>
      </c>
      <c r="D45" s="14" t="s">
        <v>105</v>
      </c>
      <c r="E45" s="14" t="s">
        <v>105</v>
      </c>
      <c r="F45" s="14" t="s">
        <v>105</v>
      </c>
      <c r="G45" s="14" t="s">
        <v>105</v>
      </c>
      <c r="H45" s="14" t="s">
        <v>105</v>
      </c>
      <c r="I45" s="14" t="s">
        <v>105</v>
      </c>
      <c r="J45" s="14" t="s">
        <v>105</v>
      </c>
      <c r="K45" t="s">
        <v>43</v>
      </c>
      <c r="P45" t="s">
        <v>43</v>
      </c>
      <c r="T45" s="14" t="s">
        <v>105</v>
      </c>
      <c r="W45" t="s">
        <v>43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</row>
    <row r="46" spans="1:28">
      <c r="A46" s="14" t="s">
        <v>44</v>
      </c>
      <c r="B46" s="14" t="s">
        <v>44</v>
      </c>
      <c r="C46" s="14" t="s">
        <v>44</v>
      </c>
      <c r="D46" s="14" t="s">
        <v>44</v>
      </c>
      <c r="E46" s="14" t="s">
        <v>44</v>
      </c>
      <c r="F46" s="14" t="s">
        <v>44</v>
      </c>
      <c r="G46" s="14" t="s">
        <v>44</v>
      </c>
      <c r="H46" s="14" t="s">
        <v>44</v>
      </c>
      <c r="I46" s="14" t="s">
        <v>44</v>
      </c>
      <c r="J46" s="14" t="s">
        <v>44</v>
      </c>
      <c r="K46" t="s">
        <v>44</v>
      </c>
      <c r="P46" t="s">
        <v>44</v>
      </c>
      <c r="T46" s="14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</row>
    <row r="47" spans="1:28">
      <c r="A47" s="14" t="s">
        <v>45</v>
      </c>
      <c r="B47" s="14" t="s">
        <v>45</v>
      </c>
      <c r="C47" s="14" t="s">
        <v>45</v>
      </c>
      <c r="D47" s="14" t="s">
        <v>45</v>
      </c>
      <c r="E47" s="14" t="s">
        <v>45</v>
      </c>
      <c r="F47" s="14" t="s">
        <v>45</v>
      </c>
      <c r="G47" s="14" t="s">
        <v>45</v>
      </c>
      <c r="H47" s="14" t="s">
        <v>45</v>
      </c>
      <c r="I47" s="14" t="s">
        <v>45</v>
      </c>
      <c r="J47" s="14" t="s">
        <v>45</v>
      </c>
      <c r="K47" t="s">
        <v>376</v>
      </c>
      <c r="P47" t="s">
        <v>377</v>
      </c>
      <c r="T47" s="14" t="s">
        <v>45</v>
      </c>
      <c r="W47" t="s">
        <v>378</v>
      </c>
      <c r="X47" t="s">
        <v>379</v>
      </c>
      <c r="Y47" t="s">
        <v>380</v>
      </c>
      <c r="Z47" t="s">
        <v>381</v>
      </c>
      <c r="AA47" t="s">
        <v>382</v>
      </c>
      <c r="AB47" t="s">
        <v>383</v>
      </c>
    </row>
    <row r="48" spans="1:28">
      <c r="A48" s="14">
        <v>2707.72</v>
      </c>
      <c r="B48" s="14">
        <v>2783.98</v>
      </c>
      <c r="C48" s="14">
        <v>2801.38</v>
      </c>
      <c r="D48" s="14">
        <v>2910.24</v>
      </c>
      <c r="E48" s="14">
        <v>3028.33</v>
      </c>
      <c r="F48" s="14">
        <v>3181.87</v>
      </c>
      <c r="G48" s="14">
        <v>3184.12</v>
      </c>
      <c r="H48" s="14">
        <v>3480.74</v>
      </c>
      <c r="I48" s="14">
        <v>3630.73</v>
      </c>
      <c r="J48" s="14">
        <v>4129.37</v>
      </c>
      <c r="K48">
        <v>4670.54</v>
      </c>
      <c r="P48">
        <v>2911.58</v>
      </c>
      <c r="T48" s="14">
        <v>3054.81</v>
      </c>
      <c r="W48">
        <v>2214.02</v>
      </c>
      <c r="X48">
        <v>2860.64</v>
      </c>
      <c r="Y48">
        <v>3953.61</v>
      </c>
      <c r="Z48">
        <v>4263.3</v>
      </c>
      <c r="AA48">
        <v>4492.64</v>
      </c>
      <c r="AB48">
        <v>4499.8</v>
      </c>
    </row>
    <row r="49" spans="1:28">
      <c r="A49" s="14">
        <v>1.80997</v>
      </c>
      <c r="B49" s="14">
        <v>1.86095</v>
      </c>
      <c r="C49" s="14">
        <v>1.87258</v>
      </c>
      <c r="D49" s="14">
        <v>1.94535</v>
      </c>
      <c r="E49" s="14">
        <v>2.02428</v>
      </c>
      <c r="F49" s="14">
        <v>2.12692</v>
      </c>
      <c r="G49" s="14">
        <v>2.12842</v>
      </c>
      <c r="H49" s="14">
        <v>2.3267</v>
      </c>
      <c r="I49" s="14">
        <v>2.42696</v>
      </c>
      <c r="J49" s="14">
        <v>2.76027</v>
      </c>
      <c r="K49">
        <v>3.15577</v>
      </c>
      <c r="P49">
        <v>1.96729</v>
      </c>
      <c r="T49" s="14">
        <v>2.04198</v>
      </c>
      <c r="W49">
        <v>1.49596</v>
      </c>
      <c r="X49">
        <v>1.93286</v>
      </c>
      <c r="Y49">
        <v>2.67136</v>
      </c>
      <c r="Z49">
        <v>2.88061</v>
      </c>
      <c r="AA49">
        <v>3.03557</v>
      </c>
      <c r="AB49">
        <v>3.04041</v>
      </c>
    </row>
    <row r="50" ht="17" spans="2:28">
      <c r="B50" s="14" t="s">
        <v>384</v>
      </c>
      <c r="C50" s="14" t="s">
        <v>385</v>
      </c>
      <c r="D50" s="14" t="s">
        <v>386</v>
      </c>
      <c r="E50" s="14" t="s">
        <v>387</v>
      </c>
      <c r="F50" s="14" t="s">
        <v>388</v>
      </c>
      <c r="G50" s="14" t="s">
        <v>389</v>
      </c>
      <c r="H50" s="14" t="s">
        <v>390</v>
      </c>
      <c r="I50" s="14" t="s">
        <v>391</v>
      </c>
      <c r="J50" s="14" t="s">
        <v>392</v>
      </c>
      <c r="K50" t="s">
        <v>393</v>
      </c>
      <c r="P50" t="s">
        <v>394</v>
      </c>
      <c r="T50" s="14" t="s">
        <v>395</v>
      </c>
      <c r="W50" t="s">
        <v>396</v>
      </c>
      <c r="X50" t="s">
        <v>397</v>
      </c>
      <c r="Y50" t="s">
        <v>398</v>
      </c>
      <c r="Z50" t="s">
        <v>399</v>
      </c>
      <c r="AA50" t="s">
        <v>400</v>
      </c>
      <c r="AB50" t="s">
        <v>401</v>
      </c>
    </row>
    <row r="51" ht="17" spans="2:28">
      <c r="B51" s="14" t="s">
        <v>402</v>
      </c>
      <c r="C51" s="14" t="s">
        <v>403</v>
      </c>
      <c r="D51" s="14" t="s">
        <v>404</v>
      </c>
      <c r="E51" s="14" t="s">
        <v>405</v>
      </c>
      <c r="F51" s="14" t="s">
        <v>406</v>
      </c>
      <c r="G51" s="14" t="s">
        <v>407</v>
      </c>
      <c r="H51" s="14" t="s">
        <v>408</v>
      </c>
      <c r="I51" s="14" t="s">
        <v>409</v>
      </c>
      <c r="J51" s="14" t="s">
        <v>410</v>
      </c>
      <c r="K51" t="s">
        <v>411</v>
      </c>
      <c r="P51" t="s">
        <v>412</v>
      </c>
      <c r="T51" s="14" t="s">
        <v>413</v>
      </c>
      <c r="W51" t="s">
        <v>414</v>
      </c>
      <c r="X51" t="s">
        <v>415</v>
      </c>
      <c r="Y51" t="s">
        <v>416</v>
      </c>
      <c r="Z51" t="s">
        <v>417</v>
      </c>
      <c r="AA51" t="s">
        <v>418</v>
      </c>
      <c r="AB51" t="s">
        <v>419</v>
      </c>
    </row>
    <row r="52" ht="17" spans="2:28">
      <c r="B52" s="14" t="s">
        <v>420</v>
      </c>
      <c r="C52" s="14" t="s">
        <v>421</v>
      </c>
      <c r="D52" s="14" t="s">
        <v>422</v>
      </c>
      <c r="E52" s="14" t="s">
        <v>423</v>
      </c>
      <c r="F52" s="14" t="s">
        <v>424</v>
      </c>
      <c r="G52" s="14" t="s">
        <v>425</v>
      </c>
      <c r="H52" s="14" t="s">
        <v>426</v>
      </c>
      <c r="I52" s="14" t="s">
        <v>427</v>
      </c>
      <c r="J52" s="14" t="s">
        <v>428</v>
      </c>
      <c r="K52" t="s">
        <v>429</v>
      </c>
      <c r="P52" t="s">
        <v>430</v>
      </c>
      <c r="T52" s="14" t="s">
        <v>431</v>
      </c>
      <c r="W52" t="s">
        <v>432</v>
      </c>
      <c r="X52" t="s">
        <v>433</v>
      </c>
      <c r="Y52" t="s">
        <v>434</v>
      </c>
      <c r="Z52" t="s">
        <v>435</v>
      </c>
      <c r="AA52" t="s">
        <v>436</v>
      </c>
      <c r="AB52" t="s">
        <v>437</v>
      </c>
    </row>
    <row r="53" ht="17" spans="1:20">
      <c r="A53" s="14" t="s">
        <v>438</v>
      </c>
      <c r="B53" s="14" t="s">
        <v>439</v>
      </c>
      <c r="C53" s="14" t="s">
        <v>440</v>
      </c>
      <c r="D53" s="14" t="s">
        <v>441</v>
      </c>
      <c r="E53" s="14" t="s">
        <v>442</v>
      </c>
      <c r="F53" s="14" t="s">
        <v>443</v>
      </c>
      <c r="G53" s="14" t="s">
        <v>444</v>
      </c>
      <c r="H53" s="14" t="s">
        <v>445</v>
      </c>
      <c r="I53" s="14" t="s">
        <v>446</v>
      </c>
      <c r="J53" s="14" t="s">
        <v>447</v>
      </c>
      <c r="P53" t="s">
        <v>448</v>
      </c>
      <c r="T53" s="14" t="s">
        <v>449</v>
      </c>
    </row>
    <row r="54" ht="17" spans="1:20">
      <c r="A54" s="14" t="s">
        <v>450</v>
      </c>
      <c r="B54" s="14" t="s">
        <v>451</v>
      </c>
      <c r="C54" s="14" t="s">
        <v>452</v>
      </c>
      <c r="D54" s="14" t="s">
        <v>453</v>
      </c>
      <c r="E54" s="14" t="s">
        <v>454</v>
      </c>
      <c r="F54" s="14" t="s">
        <v>455</v>
      </c>
      <c r="G54" s="14" t="s">
        <v>456</v>
      </c>
      <c r="H54" s="14" t="s">
        <v>457</v>
      </c>
      <c r="I54" s="14" t="s">
        <v>458</v>
      </c>
      <c r="J54" s="14" t="s">
        <v>459</v>
      </c>
      <c r="P54" t="s">
        <v>460</v>
      </c>
      <c r="T54" s="14" t="s">
        <v>461</v>
      </c>
    </row>
    <row r="55" ht="17" spans="1:20">
      <c r="A55" s="14" t="s">
        <v>462</v>
      </c>
      <c r="B55" s="14" t="s">
        <v>463</v>
      </c>
      <c r="C55" s="14" t="s">
        <v>464</v>
      </c>
      <c r="D55" s="14" t="s">
        <v>465</v>
      </c>
      <c r="E55" s="14" t="s">
        <v>466</v>
      </c>
      <c r="F55" s="14" t="s">
        <v>467</v>
      </c>
      <c r="G55" s="14" t="s">
        <v>468</v>
      </c>
      <c r="H55" s="14" t="s">
        <v>469</v>
      </c>
      <c r="I55" s="14" t="s">
        <v>470</v>
      </c>
      <c r="J55" s="14" t="s">
        <v>471</v>
      </c>
      <c r="P55" t="s">
        <v>472</v>
      </c>
      <c r="T55" s="14" t="s">
        <v>473</v>
      </c>
    </row>
    <row r="56" spans="1:28">
      <c r="A56" s="14">
        <v>16.618</v>
      </c>
      <c r="B56" s="14">
        <v>17.35</v>
      </c>
      <c r="C56" s="14">
        <v>17.298</v>
      </c>
      <c r="D56" s="14">
        <v>15.744</v>
      </c>
      <c r="E56" s="14">
        <v>13.994</v>
      </c>
      <c r="F56" s="14">
        <v>14.486</v>
      </c>
      <c r="G56" s="14">
        <v>13.676</v>
      </c>
      <c r="H56" s="14">
        <v>9.272</v>
      </c>
      <c r="I56" s="14">
        <v>7.919</v>
      </c>
      <c r="J56" s="14">
        <v>7.018</v>
      </c>
      <c r="K56">
        <v>4.701</v>
      </c>
      <c r="P56">
        <v>16.283</v>
      </c>
      <c r="T56" s="14">
        <v>17.472</v>
      </c>
      <c r="W56">
        <v>4.71</v>
      </c>
      <c r="X56">
        <v>5.684</v>
      </c>
      <c r="Y56">
        <v>4.813</v>
      </c>
      <c r="Z56">
        <v>4.626</v>
      </c>
      <c r="AA56">
        <v>4.713</v>
      </c>
      <c r="AB56">
        <v>4.547</v>
      </c>
    </row>
    <row r="57" spans="1:28">
      <c r="A57" s="14">
        <v>18.398</v>
      </c>
      <c r="B57" s="14">
        <v>20.116</v>
      </c>
      <c r="C57" s="14">
        <v>19.414</v>
      </c>
      <c r="D57" s="14">
        <v>19.301</v>
      </c>
      <c r="E57" s="14">
        <v>16.687</v>
      </c>
      <c r="F57" s="14">
        <v>16.817</v>
      </c>
      <c r="G57" s="14">
        <v>20.399</v>
      </c>
      <c r="H57" s="14">
        <v>13.573</v>
      </c>
      <c r="I57" s="14">
        <v>9.243</v>
      </c>
      <c r="J57" s="14">
        <v>8.569</v>
      </c>
      <c r="K57">
        <v>4.869</v>
      </c>
      <c r="P57">
        <v>20.922</v>
      </c>
      <c r="T57" s="14">
        <v>22.058</v>
      </c>
      <c r="W57">
        <v>4.848</v>
      </c>
      <c r="X57">
        <v>16.181</v>
      </c>
      <c r="Y57">
        <v>4.961</v>
      </c>
      <c r="Z57">
        <v>4.725</v>
      </c>
      <c r="AA57">
        <v>4.841</v>
      </c>
      <c r="AB57">
        <v>4.835</v>
      </c>
    </row>
    <row r="58" spans="1:28">
      <c r="A58" s="14">
        <v>21.298</v>
      </c>
      <c r="B58" s="14">
        <v>26.834</v>
      </c>
      <c r="C58" s="14">
        <v>30.472</v>
      </c>
      <c r="D58" s="14">
        <v>32.161</v>
      </c>
      <c r="E58" s="14">
        <v>33.966</v>
      </c>
      <c r="F58" s="14">
        <v>28.647</v>
      </c>
      <c r="G58" s="14">
        <v>42.751</v>
      </c>
      <c r="H58" s="14">
        <v>22.864</v>
      </c>
      <c r="I58" s="14">
        <v>27.339</v>
      </c>
      <c r="J58" s="14">
        <v>17.06</v>
      </c>
      <c r="K58">
        <v>5.248</v>
      </c>
      <c r="P58">
        <v>29.551</v>
      </c>
      <c r="T58" s="14">
        <v>39.293</v>
      </c>
      <c r="W58">
        <v>19.986</v>
      </c>
      <c r="X58">
        <v>20.442</v>
      </c>
      <c r="Y58">
        <v>6.452</v>
      </c>
      <c r="Z58">
        <v>11.474</v>
      </c>
      <c r="AA58">
        <v>5.309</v>
      </c>
      <c r="AB58">
        <v>5.146</v>
      </c>
    </row>
    <row r="59" spans="1:28">
      <c r="A59" s="14" t="s">
        <v>208</v>
      </c>
      <c r="B59" s="14" t="s">
        <v>474</v>
      </c>
      <c r="C59" s="14" t="s">
        <v>475</v>
      </c>
      <c r="D59" s="14" t="s">
        <v>476</v>
      </c>
      <c r="E59" s="14" t="s">
        <v>477</v>
      </c>
      <c r="F59" s="14" t="s">
        <v>478</v>
      </c>
      <c r="G59" s="14" t="s">
        <v>479</v>
      </c>
      <c r="H59" s="14" t="s">
        <v>480</v>
      </c>
      <c r="I59" s="14" t="s">
        <v>481</v>
      </c>
      <c r="J59" s="14" t="s">
        <v>482</v>
      </c>
      <c r="K59" t="s">
        <v>483</v>
      </c>
      <c r="P59" t="s">
        <v>484</v>
      </c>
      <c r="T59" s="14" t="s">
        <v>485</v>
      </c>
      <c r="W59" t="s">
        <v>486</v>
      </c>
      <c r="X59" t="s">
        <v>487</v>
      </c>
      <c r="Y59" t="s">
        <v>219</v>
      </c>
      <c r="Z59" t="s">
        <v>488</v>
      </c>
      <c r="AA59" t="s">
        <v>489</v>
      </c>
      <c r="AB59" t="s">
        <v>483</v>
      </c>
    </row>
    <row r="60" spans="1:28">
      <c r="A60" s="14" t="s">
        <v>490</v>
      </c>
      <c r="B60" s="14" t="s">
        <v>491</v>
      </c>
      <c r="C60" s="14" t="s">
        <v>492</v>
      </c>
      <c r="D60" s="14" t="s">
        <v>493</v>
      </c>
      <c r="E60" s="14" t="s">
        <v>494</v>
      </c>
      <c r="F60" s="14" t="s">
        <v>495</v>
      </c>
      <c r="G60" s="14" t="s">
        <v>496</v>
      </c>
      <c r="H60" s="14" t="s">
        <v>497</v>
      </c>
      <c r="I60" s="14" t="s">
        <v>498</v>
      </c>
      <c r="J60" s="14" t="s">
        <v>499</v>
      </c>
      <c r="K60" t="s">
        <v>238</v>
      </c>
      <c r="P60" t="s">
        <v>500</v>
      </c>
      <c r="T60" s="14" t="s">
        <v>501</v>
      </c>
      <c r="W60" t="s">
        <v>238</v>
      </c>
      <c r="X60" t="s">
        <v>238</v>
      </c>
      <c r="Y60" t="s">
        <v>238</v>
      </c>
      <c r="Z60" t="s">
        <v>238</v>
      </c>
      <c r="AA60" t="s">
        <v>238</v>
      </c>
      <c r="AB60" t="s">
        <v>238</v>
      </c>
    </row>
    <row r="61" spans="1:28">
      <c r="A61" s="14">
        <v>9.825</v>
      </c>
      <c r="B61" s="14">
        <v>9.9</v>
      </c>
      <c r="C61" s="14">
        <v>9.56667</v>
      </c>
      <c r="D61" s="14">
        <v>8.44667</v>
      </c>
      <c r="E61" s="14">
        <v>7.26</v>
      </c>
      <c r="F61" s="14">
        <v>6.87667</v>
      </c>
      <c r="G61" s="14">
        <v>7.14</v>
      </c>
      <c r="H61" s="14">
        <v>5.34667</v>
      </c>
      <c r="I61" s="14">
        <v>4.76333</v>
      </c>
      <c r="J61" s="14">
        <v>3.96333</v>
      </c>
      <c r="K61">
        <v>3.71333</v>
      </c>
      <c r="P61">
        <v>7.47667</v>
      </c>
      <c r="T61" s="14">
        <v>8.04</v>
      </c>
      <c r="W61">
        <v>3.77333</v>
      </c>
      <c r="X61">
        <v>4.62667</v>
      </c>
      <c r="Y61">
        <v>3.95333</v>
      </c>
      <c r="Z61">
        <v>3.50667</v>
      </c>
      <c r="AA61">
        <v>3.68</v>
      </c>
      <c r="AB61">
        <v>3.71333</v>
      </c>
    </row>
    <row r="62" spans="1:28">
      <c r="A62" s="14" t="s">
        <v>97</v>
      </c>
      <c r="B62" s="14" t="s">
        <v>502</v>
      </c>
      <c r="C62" s="14" t="s">
        <v>502</v>
      </c>
      <c r="D62" s="14" t="s">
        <v>97</v>
      </c>
      <c r="E62" s="14" t="s">
        <v>242</v>
      </c>
      <c r="F62" s="14" t="s">
        <v>373</v>
      </c>
      <c r="G62" s="14" t="s">
        <v>503</v>
      </c>
      <c r="H62" s="14" t="s">
        <v>241</v>
      </c>
      <c r="I62" s="14" t="s">
        <v>503</v>
      </c>
      <c r="J62" s="14" t="s">
        <v>97</v>
      </c>
      <c r="K62" t="s">
        <v>97</v>
      </c>
      <c r="P62" t="s">
        <v>97</v>
      </c>
      <c r="T62" s="14" t="s">
        <v>504</v>
      </c>
      <c r="W62" t="s">
        <v>97</v>
      </c>
      <c r="X62" t="s">
        <v>97</v>
      </c>
      <c r="Y62" t="s">
        <v>97</v>
      </c>
      <c r="Z62" t="s">
        <v>97</v>
      </c>
      <c r="AA62" t="s">
        <v>97</v>
      </c>
      <c r="AB62" t="s">
        <v>97</v>
      </c>
    </row>
    <row r="63" spans="1:28">
      <c r="A63">
        <f>AVERAGE(A9,A29,A49)</f>
        <v>1.81592666666667</v>
      </c>
      <c r="B63" s="14">
        <v>1.859283333</v>
      </c>
      <c r="C63" s="14">
        <v>1.880753333</v>
      </c>
      <c r="D63" s="14">
        <v>1.96086</v>
      </c>
      <c r="E63" s="14">
        <v>2.00732</v>
      </c>
      <c r="F63" s="14">
        <v>2.101406667</v>
      </c>
      <c r="G63" s="14">
        <v>2.191703333</v>
      </c>
      <c r="H63" s="14">
        <v>2.317626667</v>
      </c>
      <c r="I63" s="14">
        <v>2.45202</v>
      </c>
      <c r="J63" s="14">
        <v>2.711406667</v>
      </c>
      <c r="K63">
        <f>AVERAGE(K9,K29,K49)</f>
        <v>3.02821333333333</v>
      </c>
      <c r="P63">
        <f>AVERAGE(P9,P29,P49)</f>
        <v>2.01039</v>
      </c>
      <c r="R63">
        <f>(((P49-P63)^2+(P29-P63)^2+(P9-P63)^2)/3)^(1/2)</f>
        <v>0.0304769858527163</v>
      </c>
      <c r="T63">
        <f>AVERAGE(T9,T29,T49)</f>
        <v>2.09515666666667</v>
      </c>
      <c r="W63">
        <f t="shared" ref="T63:AB63" si="0">AVERAGE(W9,W29,W49)</f>
        <v>1.51881666666667</v>
      </c>
      <c r="X63">
        <f t="shared" si="0"/>
        <v>2.00138666666667</v>
      </c>
      <c r="Y63">
        <f t="shared" si="0"/>
        <v>2.66961333333333</v>
      </c>
      <c r="Z63">
        <f t="shared" si="0"/>
        <v>2.91648666666667</v>
      </c>
      <c r="AA63">
        <f t="shared" si="0"/>
        <v>3.04489</v>
      </c>
      <c r="AB63">
        <f t="shared" si="0"/>
        <v>3.05152666666667</v>
      </c>
    </row>
    <row r="64" spans="1:28">
      <c r="A64">
        <f t="shared" ref="A64:A66" si="1">AVERAGE(A16,A36,A56)</f>
        <v>16.518</v>
      </c>
      <c r="B64" s="14">
        <v>16.98766667</v>
      </c>
      <c r="C64" s="14">
        <v>17.434</v>
      </c>
      <c r="D64" s="14">
        <v>16.33466667</v>
      </c>
      <c r="E64" s="14">
        <v>15.249</v>
      </c>
      <c r="F64" s="14">
        <v>14.794</v>
      </c>
      <c r="G64" s="14">
        <v>12.54433333</v>
      </c>
      <c r="H64" s="14">
        <v>10.21333333</v>
      </c>
      <c r="I64" s="14">
        <v>9.352</v>
      </c>
      <c r="J64" s="14">
        <v>7.304666667</v>
      </c>
      <c r="K64">
        <f>AVERAGE(K16,K36,K56)</f>
        <v>4.71966666666667</v>
      </c>
      <c r="P64">
        <f t="shared" ref="P64:P66" si="2">AVERAGE(P16,P36,P56)</f>
        <v>14.7253333333333</v>
      </c>
      <c r="R64" t="s">
        <v>505</v>
      </c>
      <c r="T64">
        <f>(((T49-T63)^2+(T29-T63)^2+(T9-T63)^2)/3)^(1/2)</f>
        <v>0.0403881288939653</v>
      </c>
      <c r="W64">
        <f t="shared" ref="W64:AB64" si="3">AVERAGE(W16,W36,W56)</f>
        <v>4.64966666666667</v>
      </c>
      <c r="X64">
        <f t="shared" si="3"/>
        <v>5.21033333333333</v>
      </c>
      <c r="Y64">
        <f t="shared" si="3"/>
        <v>4.80666666666667</v>
      </c>
      <c r="Z64">
        <f t="shared" si="3"/>
        <v>4.64</v>
      </c>
      <c r="AA64">
        <f t="shared" si="3"/>
        <v>4.766</v>
      </c>
      <c r="AB64">
        <f t="shared" si="3"/>
        <v>4.65966666666667</v>
      </c>
    </row>
    <row r="65" spans="1:28">
      <c r="A65">
        <f t="shared" si="1"/>
        <v>19.9973333333333</v>
      </c>
      <c r="B65" s="14">
        <v>19.863</v>
      </c>
      <c r="C65" s="14">
        <v>19.725</v>
      </c>
      <c r="D65" s="14">
        <v>19.368</v>
      </c>
      <c r="E65" s="14">
        <v>19.34833333</v>
      </c>
      <c r="F65" s="14">
        <v>18.37933333</v>
      </c>
      <c r="G65" s="14">
        <v>17.21266667</v>
      </c>
      <c r="H65" s="14">
        <v>14.85733333</v>
      </c>
      <c r="I65" s="14">
        <v>13.77733333</v>
      </c>
      <c r="J65" s="14">
        <v>9.559666667</v>
      </c>
      <c r="K65">
        <f>AVERAGE(K17,K37,K57)</f>
        <v>4.88266666666667</v>
      </c>
      <c r="P65">
        <f t="shared" si="2"/>
        <v>18.9526666666667</v>
      </c>
      <c r="W65">
        <f t="shared" ref="W65:AB65" si="4">AVERAGE(W17,W37,W57)</f>
        <v>4.83166666666667</v>
      </c>
      <c r="X65">
        <f t="shared" si="4"/>
        <v>15.2133333333333</v>
      </c>
      <c r="Y65">
        <f t="shared" si="4"/>
        <v>4.965</v>
      </c>
      <c r="Z65">
        <f t="shared" si="4"/>
        <v>4.762</v>
      </c>
      <c r="AA65">
        <f t="shared" si="4"/>
        <v>4.89866666666667</v>
      </c>
      <c r="AB65">
        <f t="shared" si="4"/>
        <v>4.84266666666667</v>
      </c>
    </row>
    <row r="66" spans="1:28">
      <c r="A66">
        <f t="shared" si="1"/>
        <v>25.928</v>
      </c>
      <c r="B66" s="14">
        <v>29.421</v>
      </c>
      <c r="C66" s="14">
        <v>32.321</v>
      </c>
      <c r="D66" s="14">
        <v>33.81733333</v>
      </c>
      <c r="E66" s="14">
        <v>36.896</v>
      </c>
      <c r="F66" s="14">
        <v>34.32166667</v>
      </c>
      <c r="G66" s="14">
        <v>39.20366667</v>
      </c>
      <c r="H66" s="14">
        <v>26.38433333</v>
      </c>
      <c r="I66" s="14">
        <v>30.919</v>
      </c>
      <c r="J66" s="14">
        <v>25.155</v>
      </c>
      <c r="K66">
        <f>AVERAGE(K18,K38,K58)</f>
        <v>5.46333333333333</v>
      </c>
      <c r="P66">
        <f t="shared" si="2"/>
        <v>33.4386666666667</v>
      </c>
      <c r="W66">
        <f t="shared" ref="W66:AB66" si="5">AVERAGE(W18,W38,W58)</f>
        <v>15.436</v>
      </c>
      <c r="X66">
        <f t="shared" si="5"/>
        <v>20.3583333333333</v>
      </c>
      <c r="Y66">
        <f t="shared" si="5"/>
        <v>8.02766666666667</v>
      </c>
      <c r="Z66">
        <f t="shared" si="5"/>
        <v>7.99933333333333</v>
      </c>
      <c r="AA66">
        <f t="shared" si="5"/>
        <v>5.404</v>
      </c>
      <c r="AB66">
        <f t="shared" si="5"/>
        <v>5.11066666666667</v>
      </c>
    </row>
    <row r="67" spans="1:28">
      <c r="A67">
        <f>AVERAGE(A61,A41,A21)</f>
        <v>10.1908333333333</v>
      </c>
      <c r="B67" s="14">
        <v>9.975543333</v>
      </c>
      <c r="C67" s="14">
        <v>9.603333333</v>
      </c>
      <c r="D67" s="14">
        <v>8.665556667</v>
      </c>
      <c r="E67" s="14">
        <v>7.734443333</v>
      </c>
      <c r="F67" s="14">
        <v>7.03111</v>
      </c>
      <c r="G67" s="14">
        <v>6.69778</v>
      </c>
      <c r="H67" s="14">
        <v>5.445556667</v>
      </c>
      <c r="I67" s="14">
        <v>5.20333</v>
      </c>
      <c r="J67" s="14">
        <v>4.284443333</v>
      </c>
      <c r="K67">
        <f>AVERAGE(K61,K41,K21)</f>
        <v>3.76666333333333</v>
      </c>
      <c r="P67">
        <f>AVERAGE(P61,P41,P21)</f>
        <v>7.08778</v>
      </c>
      <c r="W67">
        <f t="shared" ref="T67:AB67" si="6">AVERAGE(W61,W41,W21)</f>
        <v>3.63555333333333</v>
      </c>
      <c r="X67">
        <f t="shared" si="6"/>
        <v>4.40222333333333</v>
      </c>
      <c r="Y67">
        <f t="shared" si="6"/>
        <v>3.83111</v>
      </c>
      <c r="Z67">
        <f t="shared" si="6"/>
        <v>3.65111333333333</v>
      </c>
      <c r="AA67">
        <f t="shared" si="6"/>
        <v>3.69111</v>
      </c>
      <c r="AB67">
        <f t="shared" si="6"/>
        <v>3.70889</v>
      </c>
    </row>
    <row r="68" s="6" customFormat="1" spans="1:33">
      <c r="A68" s="6">
        <f>(((A49-A63)^2+(A29-A63)^2+(A9-A63)^2)/3)^(1/2)</f>
        <v>0.0111280316718137</v>
      </c>
      <c r="B68" s="23">
        <v>0.009657844</v>
      </c>
      <c r="C68" s="23">
        <v>0.007410125</v>
      </c>
      <c r="D68" s="23">
        <v>0.014939895</v>
      </c>
      <c r="E68" s="23">
        <v>0.014264707</v>
      </c>
      <c r="F68" s="23">
        <v>0.018228871</v>
      </c>
      <c r="G68" s="23">
        <v>0.045854956</v>
      </c>
      <c r="H68" s="23">
        <v>0.009511538</v>
      </c>
      <c r="I68" s="23">
        <v>0.018117158</v>
      </c>
      <c r="J68" s="23">
        <v>0.034575518</v>
      </c>
      <c r="K68" s="6">
        <f>(((K49-K63)^2+(K29-K63)^2+(K9-K63)^2)/3)^(1/2)</f>
        <v>0.09457941436815</v>
      </c>
      <c r="W68" s="6">
        <f t="shared" ref="W68:AG68" si="7">(((W49-W63)^2+(W29-W63)^2+(W9-W63)^2)/3)^(1/2)</f>
        <v>0.0174893230921675</v>
      </c>
      <c r="X68" s="6">
        <f t="shared" si="7"/>
        <v>0.0492398648341858</v>
      </c>
      <c r="Y68" s="6">
        <f t="shared" si="7"/>
        <v>0.117957562236971</v>
      </c>
      <c r="Z68" s="6">
        <f t="shared" si="7"/>
        <v>0.0499192710505896</v>
      </c>
      <c r="AA68" s="6">
        <f t="shared" si="7"/>
        <v>0.0226107186971135</v>
      </c>
      <c r="AB68" s="6">
        <f t="shared" si="7"/>
        <v>0.0511286014759731</v>
      </c>
      <c r="AC68" s="6">
        <f t="shared" si="7"/>
        <v>0</v>
      </c>
      <c r="AD68" s="6">
        <f t="shared" si="7"/>
        <v>0</v>
      </c>
      <c r="AE68" s="6">
        <f t="shared" si="7"/>
        <v>0</v>
      </c>
      <c r="AF68" s="6">
        <f t="shared" si="7"/>
        <v>0</v>
      </c>
      <c r="AG68" s="6">
        <f t="shared" si="7"/>
        <v>0</v>
      </c>
    </row>
    <row r="69" spans="1:33">
      <c r="A69">
        <f t="shared" ref="A69:A71" si="8">(((A56-A64)^2+(A36-A64)^2+(A16-A64)^2)/3)^(1/2)</f>
        <v>0.266739573366984</v>
      </c>
      <c r="B69" s="14">
        <v>0.286305587</v>
      </c>
      <c r="C69" s="14">
        <v>0.619070809</v>
      </c>
      <c r="D69" s="14">
        <v>0.439868415</v>
      </c>
      <c r="E69" s="14">
        <v>1.210603431</v>
      </c>
      <c r="F69" s="14">
        <v>0.246345286</v>
      </c>
      <c r="G69" s="14">
        <v>0.979344792</v>
      </c>
      <c r="H69" s="14">
        <v>1.189914656</v>
      </c>
      <c r="I69" s="14">
        <v>1.015630182</v>
      </c>
      <c r="J69" s="14">
        <v>0.326832611</v>
      </c>
      <c r="K69">
        <f>(((K56-K64)^2+(K36-K64)^2+(K16-K64)^2)/3)^(1/2)</f>
        <v>0.0491618641722309</v>
      </c>
      <c r="W69">
        <f t="shared" ref="W69:AG69" si="9">(((W56-W64)^2+(W36-W64)^2+(W16-W64)^2)/3)^(1/2)</f>
        <v>0.0426796855137844</v>
      </c>
      <c r="X69">
        <f t="shared" si="9"/>
        <v>0.355378045967327</v>
      </c>
      <c r="Y69">
        <f t="shared" si="9"/>
        <v>0.0261066189989349</v>
      </c>
      <c r="Z69">
        <f t="shared" si="9"/>
        <v>0.118805162626321</v>
      </c>
      <c r="AA69">
        <f t="shared" si="9"/>
        <v>0.0381138644939957</v>
      </c>
      <c r="AB69">
        <f t="shared" si="9"/>
        <v>0.107282596704012</v>
      </c>
      <c r="AC69">
        <f t="shared" si="9"/>
        <v>0</v>
      </c>
      <c r="AD69">
        <f t="shared" si="9"/>
        <v>0</v>
      </c>
      <c r="AE69">
        <f t="shared" si="9"/>
        <v>0</v>
      </c>
      <c r="AF69">
        <f t="shared" si="9"/>
        <v>0</v>
      </c>
      <c r="AG69">
        <f t="shared" si="9"/>
        <v>0</v>
      </c>
    </row>
    <row r="70" spans="1:33">
      <c r="A70">
        <f t="shared" si="8"/>
        <v>1.14507651369776</v>
      </c>
      <c r="B70" s="14">
        <v>0.768612169</v>
      </c>
      <c r="C70" s="14">
        <v>1.059613452</v>
      </c>
      <c r="D70" s="14">
        <v>0.112151683</v>
      </c>
      <c r="E70" s="14">
        <v>2.12390479</v>
      </c>
      <c r="F70" s="14">
        <v>1.908822732</v>
      </c>
      <c r="G70" s="14">
        <v>2.259438918</v>
      </c>
      <c r="H70" s="14">
        <v>1.190361383</v>
      </c>
      <c r="I70" s="14">
        <v>3.222560714</v>
      </c>
      <c r="J70" s="14">
        <v>0.806707437</v>
      </c>
      <c r="K70">
        <f>(((K57-K65)^2+(K37-K65)^2+(K17-K65)^2)/3)^(1/2)</f>
        <v>0.0479328233630731</v>
      </c>
      <c r="W70">
        <f t="shared" ref="W70:AG70" si="10">(((W57-W65)^2+(W37-W65)^2+(W17-W65)^2)/3)^(1/2)</f>
        <v>0.0950099410003441</v>
      </c>
      <c r="X70">
        <f t="shared" si="10"/>
        <v>0.764456379105804</v>
      </c>
      <c r="Y70">
        <f t="shared" si="10"/>
        <v>0.057224703290333</v>
      </c>
      <c r="Z70">
        <f t="shared" si="10"/>
        <v>0.0830220854150668</v>
      </c>
      <c r="AA70">
        <f t="shared" si="10"/>
        <v>0.0540760780957922</v>
      </c>
      <c r="AB70">
        <f t="shared" si="10"/>
        <v>0.107506072179926</v>
      </c>
      <c r="AC70">
        <f t="shared" si="10"/>
        <v>0</v>
      </c>
      <c r="AD70">
        <f t="shared" si="10"/>
        <v>0</v>
      </c>
      <c r="AE70">
        <f t="shared" si="10"/>
        <v>0</v>
      </c>
      <c r="AF70">
        <f t="shared" si="10"/>
        <v>0</v>
      </c>
      <c r="AG70">
        <f t="shared" si="10"/>
        <v>0</v>
      </c>
    </row>
    <row r="71" spans="1:33">
      <c r="A71">
        <f t="shared" si="8"/>
        <v>3.2821639203428</v>
      </c>
      <c r="B71" s="14">
        <v>2.373630553</v>
      </c>
      <c r="C71" s="14">
        <v>1.749914474</v>
      </c>
      <c r="D71" s="14">
        <v>1.245648515</v>
      </c>
      <c r="E71" s="14">
        <v>3.409255148</v>
      </c>
      <c r="F71" s="14">
        <v>5.158312472</v>
      </c>
      <c r="G71" s="14">
        <v>7.917949412</v>
      </c>
      <c r="H71" s="14">
        <v>3.281903953</v>
      </c>
      <c r="I71" s="14">
        <v>4.083305524</v>
      </c>
      <c r="J71" s="14">
        <v>5.813950178</v>
      </c>
      <c r="K71">
        <f>(((K58-K66)^2+(K38-K66)^2+(K18-K66)^2)/3)^(1/2)</f>
        <v>0.333211977909292</v>
      </c>
      <c r="W71">
        <f t="shared" ref="W71:AG71" si="11">(((W58-W66)^2+(W38-W66)^2+(W18-W66)^2)/3)^(1/2)</f>
        <v>7.1271965503041</v>
      </c>
      <c r="X71">
        <f t="shared" si="11"/>
        <v>1.45823873978928</v>
      </c>
      <c r="Y71">
        <f t="shared" si="11"/>
        <v>1.95165747222429</v>
      </c>
      <c r="Z71">
        <f t="shared" si="11"/>
        <v>2.65988537764736</v>
      </c>
      <c r="AA71">
        <f t="shared" si="11"/>
        <v>0.277295269823823</v>
      </c>
      <c r="AB71">
        <f t="shared" si="11"/>
        <v>0.0492634640366353</v>
      </c>
      <c r="AC71">
        <f t="shared" si="11"/>
        <v>0</v>
      </c>
      <c r="AD71">
        <f t="shared" si="11"/>
        <v>0</v>
      </c>
      <c r="AE71">
        <f t="shared" si="11"/>
        <v>0</v>
      </c>
      <c r="AF71">
        <f t="shared" si="11"/>
        <v>0</v>
      </c>
      <c r="AG71">
        <f t="shared" si="11"/>
        <v>0</v>
      </c>
    </row>
    <row r="72" spans="1:33">
      <c r="A72" s="6">
        <f>(((A61-A67)^2+(A41-A67)^2+(A21-A67)^2)/3)^(1/2)</f>
        <v>0.332705659037468</v>
      </c>
      <c r="B72" s="23">
        <v>0.126163641</v>
      </c>
      <c r="C72" s="23">
        <v>0.212516858</v>
      </c>
      <c r="D72" s="23">
        <v>0.163622593</v>
      </c>
      <c r="E72" s="23">
        <v>0.336476874</v>
      </c>
      <c r="F72" s="23">
        <v>0.20674265</v>
      </c>
      <c r="G72" s="23">
        <v>0.50778532</v>
      </c>
      <c r="H72" s="23">
        <v>0.151786977</v>
      </c>
      <c r="I72" s="23">
        <v>0.351378239</v>
      </c>
      <c r="J72" s="23">
        <v>0.250071881</v>
      </c>
      <c r="K72" s="6">
        <f>(((K61-K67)^2+(K41-K67)^2+(K21-K67)^2)/3)^(1/2)</f>
        <v>0.135973853695808</v>
      </c>
      <c r="W72" s="6">
        <f t="shared" ref="W72:AG72" si="12">(((W61-W67)^2+(W41-W67)^2+(W21-W67)^2)/3)^(1/2)</f>
        <v>0.11435275724218</v>
      </c>
      <c r="X72" s="6">
        <f t="shared" si="12"/>
        <v>0.160586901984218</v>
      </c>
      <c r="Y72" s="6">
        <f t="shared" si="12"/>
        <v>0.145480319860339</v>
      </c>
      <c r="Z72" s="6">
        <f t="shared" si="12"/>
        <v>0.106433796741866</v>
      </c>
      <c r="AA72" s="6">
        <f t="shared" si="12"/>
        <v>0.00831449737907629</v>
      </c>
      <c r="AB72" s="6">
        <f t="shared" si="12"/>
        <v>0.065395133356135</v>
      </c>
      <c r="AC72" s="6">
        <f t="shared" si="12"/>
        <v>0</v>
      </c>
      <c r="AD72" s="6">
        <f t="shared" si="12"/>
        <v>0</v>
      </c>
      <c r="AE72" s="6">
        <f t="shared" si="12"/>
        <v>0</v>
      </c>
      <c r="AF72" s="6">
        <f t="shared" si="12"/>
        <v>0</v>
      </c>
      <c r="AG72" s="6">
        <f t="shared" si="12"/>
        <v>0</v>
      </c>
    </row>
    <row r="73" spans="27:27">
      <c r="AA73" t="s">
        <v>506</v>
      </c>
    </row>
    <row r="74" spans="27:27">
      <c r="AA74" t="s">
        <v>507</v>
      </c>
    </row>
    <row r="75" spans="27:27">
      <c r="AA75">
        <v>4.726</v>
      </c>
    </row>
    <row r="76" spans="27:27">
      <c r="AA76">
        <v>4.916</v>
      </c>
    </row>
    <row r="77" spans="27:27">
      <c r="AA77">
        <v>6.267</v>
      </c>
    </row>
    <row r="78" spans="27:27">
      <c r="AA78" t="s">
        <v>508</v>
      </c>
    </row>
    <row r="79" spans="27:27">
      <c r="AA79" t="s">
        <v>238</v>
      </c>
    </row>
    <row r="80" spans="27:27">
      <c r="AA80">
        <v>3.78</v>
      </c>
    </row>
    <row r="81" spans="27:27">
      <c r="AA81" t="s">
        <v>97</v>
      </c>
    </row>
    <row r="93" ht="1" customHeight="1" spans="1:1">
      <c r="A93" s="21" t="s">
        <v>509</v>
      </c>
    </row>
    <row r="94" s="28" customFormat="1" hidden="1" spans="1:2">
      <c r="A94" s="32" t="s">
        <v>510</v>
      </c>
      <c r="B94" s="28" t="s">
        <v>99</v>
      </c>
    </row>
    <row r="95" s="29" customFormat="1" hidden="1" spans="1:28">
      <c r="A95" s="29">
        <v>0</v>
      </c>
      <c r="B95" s="29">
        <v>10</v>
      </c>
      <c r="C95" s="29">
        <v>20</v>
      </c>
      <c r="D95" s="29">
        <v>30</v>
      </c>
      <c r="E95" s="29">
        <v>40</v>
      </c>
      <c r="F95" s="29">
        <v>50</v>
      </c>
      <c r="G95" s="29">
        <v>60</v>
      </c>
      <c r="H95" s="29">
        <v>70</v>
      </c>
      <c r="I95" s="29">
        <v>80</v>
      </c>
      <c r="J95" s="29">
        <v>90</v>
      </c>
      <c r="K95" s="29">
        <v>100</v>
      </c>
      <c r="O95" s="29" t="s">
        <v>511</v>
      </c>
      <c r="P95" s="29" t="s">
        <v>512</v>
      </c>
      <c r="T95" s="29" t="s">
        <v>19</v>
      </c>
      <c r="W95" s="29">
        <v>16</v>
      </c>
      <c r="X95" s="29">
        <v>32</v>
      </c>
      <c r="Y95" s="29">
        <v>64</v>
      </c>
      <c r="Z95" s="29">
        <v>128</v>
      </c>
      <c r="AA95" s="29">
        <v>256</v>
      </c>
      <c r="AB95" s="29">
        <v>512</v>
      </c>
    </row>
    <row r="96" hidden="1" spans="1:23">
      <c r="A96" t="s">
        <v>104</v>
      </c>
      <c r="B96" t="s">
        <v>104</v>
      </c>
      <c r="C96" t="s">
        <v>104</v>
      </c>
      <c r="D96" t="s">
        <v>104</v>
      </c>
      <c r="E96" t="s">
        <v>104</v>
      </c>
      <c r="F96" t="s">
        <v>104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O96" t="s">
        <v>104</v>
      </c>
      <c r="P96" t="s">
        <v>104</v>
      </c>
      <c r="T96" t="s">
        <v>104</v>
      </c>
      <c r="W96" t="s">
        <v>104</v>
      </c>
    </row>
    <row r="97" hidden="1" spans="1:23">
      <c r="A97" t="s">
        <v>42</v>
      </c>
      <c r="B97" t="s">
        <v>42</v>
      </c>
      <c r="C97" t="s">
        <v>42</v>
      </c>
      <c r="D97" t="s">
        <v>42</v>
      </c>
      <c r="E97" t="s">
        <v>42</v>
      </c>
      <c r="F97" t="s">
        <v>42</v>
      </c>
      <c r="G97" t="s">
        <v>42</v>
      </c>
      <c r="H97" t="s">
        <v>42</v>
      </c>
      <c r="I97" t="s">
        <v>42</v>
      </c>
      <c r="J97" t="s">
        <v>42</v>
      </c>
      <c r="K97" t="s">
        <v>42</v>
      </c>
      <c r="O97" t="s">
        <v>42</v>
      </c>
      <c r="P97" t="s">
        <v>42</v>
      </c>
      <c r="T97" t="s">
        <v>42</v>
      </c>
      <c r="W97" t="s">
        <v>42</v>
      </c>
    </row>
    <row r="98" hidden="1" spans="1:23">
      <c r="A98" t="s">
        <v>43</v>
      </c>
      <c r="B98" t="s">
        <v>43</v>
      </c>
      <c r="C98" t="s">
        <v>43</v>
      </c>
      <c r="D98" t="s">
        <v>43</v>
      </c>
      <c r="E98" t="s">
        <v>43</v>
      </c>
      <c r="F98" t="s">
        <v>43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O98" t="s">
        <v>43</v>
      </c>
      <c r="P98" t="s">
        <v>43</v>
      </c>
      <c r="T98" t="s">
        <v>43</v>
      </c>
      <c r="W98" t="s">
        <v>43</v>
      </c>
    </row>
    <row r="99" hidden="1" spans="1:23">
      <c r="A99" t="s">
        <v>44</v>
      </c>
      <c r="B99" t="s">
        <v>44</v>
      </c>
      <c r="C99" t="s">
        <v>44</v>
      </c>
      <c r="D99" t="s">
        <v>44</v>
      </c>
      <c r="E99" t="s">
        <v>44</v>
      </c>
      <c r="F99" t="s">
        <v>44</v>
      </c>
      <c r="G99" t="s">
        <v>44</v>
      </c>
      <c r="H99" t="s">
        <v>44</v>
      </c>
      <c r="I99" t="s">
        <v>44</v>
      </c>
      <c r="J99" t="s">
        <v>44</v>
      </c>
      <c r="K99" t="s">
        <v>44</v>
      </c>
      <c r="O99" t="s">
        <v>44</v>
      </c>
      <c r="P99" t="s">
        <v>44</v>
      </c>
      <c r="T99" t="s">
        <v>44</v>
      </c>
      <c r="W99" t="s">
        <v>44</v>
      </c>
    </row>
    <row r="100" hidden="1" spans="1:23">
      <c r="A100" t="s">
        <v>513</v>
      </c>
      <c r="B100" t="s">
        <v>514</v>
      </c>
      <c r="C100" t="s">
        <v>515</v>
      </c>
      <c r="D100" t="s">
        <v>516</v>
      </c>
      <c r="E100" t="s">
        <v>517</v>
      </c>
      <c r="F100" t="s">
        <v>518</v>
      </c>
      <c r="G100" t="s">
        <v>519</v>
      </c>
      <c r="H100" t="s">
        <v>520</v>
      </c>
      <c r="I100" t="s">
        <v>521</v>
      </c>
      <c r="J100" t="s">
        <v>522</v>
      </c>
      <c r="K100" t="s">
        <v>523</v>
      </c>
      <c r="O100" t="s">
        <v>524</v>
      </c>
      <c r="P100" t="s">
        <v>525</v>
      </c>
      <c r="T100" t="s">
        <v>526</v>
      </c>
      <c r="W100" t="s">
        <v>518</v>
      </c>
    </row>
    <row r="101" hidden="1" spans="1:23">
      <c r="A101">
        <v>2516.98</v>
      </c>
      <c r="B101">
        <v>2326.61</v>
      </c>
      <c r="C101">
        <v>2265.79</v>
      </c>
      <c r="D101">
        <v>2106.94</v>
      </c>
      <c r="E101">
        <v>1750.95</v>
      </c>
      <c r="F101">
        <v>1731.15</v>
      </c>
      <c r="G101">
        <v>1670.84</v>
      </c>
      <c r="H101">
        <v>1560.61</v>
      </c>
      <c r="I101">
        <v>1478.15</v>
      </c>
      <c r="J101">
        <v>1322.89</v>
      </c>
      <c r="K101">
        <v>1246.85</v>
      </c>
      <c r="O101">
        <v>3659.1</v>
      </c>
      <c r="P101">
        <v>2224.14</v>
      </c>
      <c r="T101">
        <v>1667.05</v>
      </c>
      <c r="W101">
        <v>1731.15</v>
      </c>
    </row>
    <row r="102" hidden="1" spans="1:23">
      <c r="A102">
        <v>1.70066</v>
      </c>
      <c r="B102">
        <v>1.57203</v>
      </c>
      <c r="C102">
        <v>1.53094</v>
      </c>
      <c r="D102">
        <v>1.42361</v>
      </c>
      <c r="E102">
        <v>1.18307</v>
      </c>
      <c r="F102">
        <v>1.1697</v>
      </c>
      <c r="G102">
        <v>1.12894</v>
      </c>
      <c r="H102">
        <v>1.05446</v>
      </c>
      <c r="I102">
        <v>0.998751</v>
      </c>
      <c r="J102">
        <v>0.893846</v>
      </c>
      <c r="K102">
        <v>0.842468</v>
      </c>
      <c r="O102">
        <v>2.47237</v>
      </c>
      <c r="P102">
        <v>1.5028</v>
      </c>
      <c r="T102">
        <v>1.12639</v>
      </c>
      <c r="W102">
        <v>1.1697</v>
      </c>
    </row>
    <row r="103" hidden="1" spans="1:23">
      <c r="A103" t="s">
        <v>527</v>
      </c>
      <c r="B103" t="s">
        <v>528</v>
      </c>
      <c r="C103" t="s">
        <v>529</v>
      </c>
      <c r="D103" t="s">
        <v>530</v>
      </c>
      <c r="E103" t="s">
        <v>531</v>
      </c>
      <c r="F103" t="s">
        <v>532</v>
      </c>
      <c r="G103" t="s">
        <v>533</v>
      </c>
      <c r="H103" t="s">
        <v>534</v>
      </c>
      <c r="I103" t="s">
        <v>535</v>
      </c>
      <c r="J103" t="s">
        <v>536</v>
      </c>
      <c r="K103" t="s">
        <v>537</v>
      </c>
      <c r="O103" t="s">
        <v>538</v>
      </c>
      <c r="P103" t="s">
        <v>539</v>
      </c>
      <c r="T103" t="s">
        <v>540</v>
      </c>
      <c r="W103" t="s">
        <v>532</v>
      </c>
    </row>
    <row r="104" ht="14" hidden="1" customHeight="1" spans="1:23">
      <c r="A104" t="s">
        <v>541</v>
      </c>
      <c r="B104" t="s">
        <v>542</v>
      </c>
      <c r="C104" t="s">
        <v>543</v>
      </c>
      <c r="D104" t="s">
        <v>544</v>
      </c>
      <c r="E104" t="s">
        <v>545</v>
      </c>
      <c r="F104" t="s">
        <v>546</v>
      </c>
      <c r="G104" t="s">
        <v>547</v>
      </c>
      <c r="H104" t="s">
        <v>548</v>
      </c>
      <c r="I104" t="s">
        <v>549</v>
      </c>
      <c r="J104" t="s">
        <v>550</v>
      </c>
      <c r="K104" t="s">
        <v>551</v>
      </c>
      <c r="O104" t="s">
        <v>552</v>
      </c>
      <c r="P104" t="s">
        <v>553</v>
      </c>
      <c r="T104" t="s">
        <v>554</v>
      </c>
      <c r="W104" t="s">
        <v>546</v>
      </c>
    </row>
    <row r="105" hidden="1" spans="1:23">
      <c r="A105" t="s">
        <v>555</v>
      </c>
      <c r="B105" t="s">
        <v>556</v>
      </c>
      <c r="C105" t="s">
        <v>557</v>
      </c>
      <c r="D105" t="s">
        <v>558</v>
      </c>
      <c r="E105" t="s">
        <v>559</v>
      </c>
      <c r="F105" t="s">
        <v>560</v>
      </c>
      <c r="G105" t="s">
        <v>561</v>
      </c>
      <c r="H105" t="s">
        <v>562</v>
      </c>
      <c r="I105" t="s">
        <v>563</v>
      </c>
      <c r="J105" t="s">
        <v>564</v>
      </c>
      <c r="K105" t="s">
        <v>565</v>
      </c>
      <c r="O105" t="s">
        <v>566</v>
      </c>
      <c r="P105" t="s">
        <v>567</v>
      </c>
      <c r="T105" t="s">
        <v>568</v>
      </c>
      <c r="W105" t="s">
        <v>560</v>
      </c>
    </row>
    <row r="106" hidden="1" spans="2:23">
      <c r="B106" t="s">
        <v>569</v>
      </c>
      <c r="C106" t="s">
        <v>570</v>
      </c>
      <c r="D106" t="s">
        <v>571</v>
      </c>
      <c r="E106" t="s">
        <v>572</v>
      </c>
      <c r="F106" t="s">
        <v>573</v>
      </c>
      <c r="G106" t="s">
        <v>574</v>
      </c>
      <c r="H106" t="s">
        <v>575</v>
      </c>
      <c r="I106" t="s">
        <v>576</v>
      </c>
      <c r="J106" t="s">
        <v>577</v>
      </c>
      <c r="O106">
        <v>9.964</v>
      </c>
      <c r="P106">
        <v>11.27</v>
      </c>
      <c r="T106" t="s">
        <v>578</v>
      </c>
      <c r="W106" t="s">
        <v>573</v>
      </c>
    </row>
    <row r="107" hidden="1" spans="2:23">
      <c r="B107" t="s">
        <v>579</v>
      </c>
      <c r="C107" t="s">
        <v>580</v>
      </c>
      <c r="D107" t="s">
        <v>581</v>
      </c>
      <c r="E107" t="s">
        <v>582</v>
      </c>
      <c r="F107" t="s">
        <v>583</v>
      </c>
      <c r="G107" t="s">
        <v>584</v>
      </c>
      <c r="H107" t="s">
        <v>585</v>
      </c>
      <c r="I107" t="s">
        <v>586</v>
      </c>
      <c r="J107" t="s">
        <v>587</v>
      </c>
      <c r="O107">
        <v>10.338</v>
      </c>
      <c r="P107">
        <v>13.608</v>
      </c>
      <c r="T107" t="s">
        <v>588</v>
      </c>
      <c r="W107" t="s">
        <v>583</v>
      </c>
    </row>
    <row r="108" hidden="1" spans="2:23">
      <c r="B108" t="s">
        <v>589</v>
      </c>
      <c r="C108" t="s">
        <v>590</v>
      </c>
      <c r="D108" t="s">
        <v>591</v>
      </c>
      <c r="E108" t="s">
        <v>592</v>
      </c>
      <c r="F108" t="s">
        <v>593</v>
      </c>
      <c r="G108" t="s">
        <v>594</v>
      </c>
      <c r="H108" t="s">
        <v>595</v>
      </c>
      <c r="I108" t="s">
        <v>596</v>
      </c>
      <c r="J108" t="s">
        <v>597</v>
      </c>
      <c r="O108">
        <v>14.981</v>
      </c>
      <c r="P108">
        <v>25.502</v>
      </c>
      <c r="T108" t="s">
        <v>598</v>
      </c>
      <c r="W108" t="s">
        <v>593</v>
      </c>
    </row>
    <row r="109" hidden="1" spans="1:23">
      <c r="A109">
        <v>20.927</v>
      </c>
      <c r="B109">
        <v>18.791</v>
      </c>
      <c r="C109">
        <v>18.558</v>
      </c>
      <c r="D109">
        <v>18.1</v>
      </c>
      <c r="E109">
        <v>22.118</v>
      </c>
      <c r="F109">
        <v>16.436</v>
      </c>
      <c r="G109">
        <v>17.542</v>
      </c>
      <c r="H109">
        <v>16.355</v>
      </c>
      <c r="I109">
        <v>16.497</v>
      </c>
      <c r="J109">
        <v>16.742</v>
      </c>
      <c r="K109">
        <v>30.185</v>
      </c>
      <c r="O109" t="s">
        <v>599</v>
      </c>
      <c r="P109" t="s">
        <v>600</v>
      </c>
      <c r="T109">
        <v>23.9</v>
      </c>
      <c r="W109">
        <v>16.436</v>
      </c>
    </row>
    <row r="110" hidden="1" spans="1:23">
      <c r="A110">
        <v>22.975</v>
      </c>
      <c r="B110">
        <v>21.747</v>
      </c>
      <c r="C110">
        <v>22.433</v>
      </c>
      <c r="D110">
        <v>21.918</v>
      </c>
      <c r="E110">
        <v>28.754</v>
      </c>
      <c r="F110">
        <v>24.745</v>
      </c>
      <c r="G110">
        <v>29.318</v>
      </c>
      <c r="H110">
        <v>23.706</v>
      </c>
      <c r="I110">
        <v>21.935</v>
      </c>
      <c r="J110">
        <v>27.309</v>
      </c>
      <c r="K110">
        <v>40.466</v>
      </c>
      <c r="O110" t="s">
        <v>238</v>
      </c>
      <c r="P110" t="s">
        <v>238</v>
      </c>
      <c r="T110">
        <v>29.65</v>
      </c>
      <c r="W110">
        <v>24.745</v>
      </c>
    </row>
    <row r="111" hidden="1" spans="1:23">
      <c r="A111">
        <v>33.067</v>
      </c>
      <c r="B111">
        <v>31.848</v>
      </c>
      <c r="C111">
        <v>41.885</v>
      </c>
      <c r="D111">
        <v>42.743</v>
      </c>
      <c r="E111">
        <v>39.287</v>
      </c>
      <c r="F111">
        <v>42.709</v>
      </c>
      <c r="G111">
        <v>45.891</v>
      </c>
      <c r="H111">
        <v>44.379</v>
      </c>
      <c r="I111">
        <v>56.784</v>
      </c>
      <c r="J111">
        <v>43.292</v>
      </c>
      <c r="K111">
        <v>55.733</v>
      </c>
      <c r="O111">
        <v>8.21333</v>
      </c>
      <c r="P111">
        <v>9.12667</v>
      </c>
      <c r="T111">
        <v>42.669</v>
      </c>
      <c r="W111">
        <v>42.709</v>
      </c>
    </row>
    <row r="112" hidden="1" spans="1:23">
      <c r="A112" t="s">
        <v>208</v>
      </c>
      <c r="B112" t="s">
        <v>601</v>
      </c>
      <c r="C112" t="s">
        <v>602</v>
      </c>
      <c r="D112" t="s">
        <v>603</v>
      </c>
      <c r="E112" t="s">
        <v>604</v>
      </c>
      <c r="F112" t="s">
        <v>605</v>
      </c>
      <c r="G112" t="s">
        <v>606</v>
      </c>
      <c r="H112" t="s">
        <v>607</v>
      </c>
      <c r="I112" t="s">
        <v>608</v>
      </c>
      <c r="J112" t="s">
        <v>609</v>
      </c>
      <c r="K112" t="s">
        <v>610</v>
      </c>
      <c r="O112" t="s">
        <v>97</v>
      </c>
      <c r="P112" t="s">
        <v>375</v>
      </c>
      <c r="T112" t="s">
        <v>611</v>
      </c>
      <c r="W112" t="s">
        <v>605</v>
      </c>
    </row>
    <row r="113" hidden="1" spans="1:23">
      <c r="A113" t="s">
        <v>612</v>
      </c>
      <c r="B113" t="s">
        <v>613</v>
      </c>
      <c r="C113" t="s">
        <v>614</v>
      </c>
      <c r="D113" t="s">
        <v>615</v>
      </c>
      <c r="E113" t="s">
        <v>616</v>
      </c>
      <c r="F113" t="s">
        <v>617</v>
      </c>
      <c r="G113" t="s">
        <v>618</v>
      </c>
      <c r="H113" t="s">
        <v>619</v>
      </c>
      <c r="I113" t="s">
        <v>620</v>
      </c>
      <c r="J113" t="s">
        <v>621</v>
      </c>
      <c r="K113" t="s">
        <v>238</v>
      </c>
      <c r="T113" t="s">
        <v>622</v>
      </c>
      <c r="W113" t="s">
        <v>617</v>
      </c>
    </row>
    <row r="114" hidden="1" spans="1:23">
      <c r="A114">
        <v>11.6267</v>
      </c>
      <c r="B114">
        <v>11.1033</v>
      </c>
      <c r="C114">
        <v>10.9433</v>
      </c>
      <c r="D114">
        <v>10.4867</v>
      </c>
      <c r="E114">
        <v>10.75</v>
      </c>
      <c r="F114">
        <v>10.1567</v>
      </c>
      <c r="G114">
        <v>10.6433</v>
      </c>
      <c r="H114">
        <v>9.97</v>
      </c>
      <c r="I114">
        <v>10.1533</v>
      </c>
      <c r="J114">
        <v>10.6467</v>
      </c>
      <c r="K114">
        <v>13.74</v>
      </c>
      <c r="O114">
        <v>2.47237</v>
      </c>
      <c r="P114">
        <v>1.5028</v>
      </c>
      <c r="Q114">
        <v>0.834319666666667</v>
      </c>
      <c r="T114">
        <v>11.49</v>
      </c>
      <c r="W114">
        <v>10.1567</v>
      </c>
    </row>
    <row r="115" hidden="1" spans="1:23">
      <c r="A115" t="s">
        <v>97</v>
      </c>
      <c r="B115" t="s">
        <v>97</v>
      </c>
      <c r="C115" t="s">
        <v>375</v>
      </c>
      <c r="D115" t="s">
        <v>97</v>
      </c>
      <c r="E115" t="s">
        <v>97</v>
      </c>
      <c r="F115" t="s">
        <v>375</v>
      </c>
      <c r="G115" t="s">
        <v>97</v>
      </c>
      <c r="H115" t="s">
        <v>97</v>
      </c>
      <c r="I115" t="s">
        <v>97</v>
      </c>
      <c r="J115" t="s">
        <v>97</v>
      </c>
      <c r="K115" t="s">
        <v>97</v>
      </c>
      <c r="O115">
        <v>8.21333</v>
      </c>
      <c r="P115">
        <v>9.12667</v>
      </c>
      <c r="Q115">
        <v>13.2311333333333</v>
      </c>
      <c r="T115" t="s">
        <v>97</v>
      </c>
      <c r="W115" t="s">
        <v>375</v>
      </c>
    </row>
    <row r="116" hidden="1" spans="1:23">
      <c r="A116" t="s">
        <v>104</v>
      </c>
      <c r="B116" t="s">
        <v>104</v>
      </c>
      <c r="C116" t="s">
        <v>104</v>
      </c>
      <c r="D116" t="s">
        <v>104</v>
      </c>
      <c r="E116" t="s">
        <v>104</v>
      </c>
      <c r="F116" t="s">
        <v>104</v>
      </c>
      <c r="G116" t="s">
        <v>104</v>
      </c>
      <c r="H116" t="s">
        <v>104</v>
      </c>
      <c r="I116" t="s">
        <v>104</v>
      </c>
      <c r="J116" t="s">
        <v>104</v>
      </c>
      <c r="K116" t="s">
        <v>104</v>
      </c>
      <c r="T116" t="s">
        <v>104</v>
      </c>
      <c r="W116" t="s">
        <v>104</v>
      </c>
    </row>
    <row r="117" hidden="1" spans="1:23">
      <c r="A117" t="s">
        <v>42</v>
      </c>
      <c r="B117" t="s">
        <v>42</v>
      </c>
      <c r="C117" t="s">
        <v>42</v>
      </c>
      <c r="D117" t="s">
        <v>42</v>
      </c>
      <c r="E117" t="s">
        <v>42</v>
      </c>
      <c r="F117" t="s">
        <v>42</v>
      </c>
      <c r="G117" t="s">
        <v>42</v>
      </c>
      <c r="H117" t="s">
        <v>42</v>
      </c>
      <c r="I117" t="s">
        <v>42</v>
      </c>
      <c r="J117" t="s">
        <v>42</v>
      </c>
      <c r="K117" t="s">
        <v>42</v>
      </c>
      <c r="T117" t="s">
        <v>42</v>
      </c>
      <c r="W117" t="s">
        <v>42</v>
      </c>
    </row>
    <row r="118" hidden="1" spans="1:23">
      <c r="A118" t="s">
        <v>43</v>
      </c>
      <c r="B118" t="s">
        <v>43</v>
      </c>
      <c r="C118" t="s">
        <v>43</v>
      </c>
      <c r="D118" t="s">
        <v>43</v>
      </c>
      <c r="E118" t="s">
        <v>43</v>
      </c>
      <c r="F118" t="s">
        <v>43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O118">
        <v>0.420269</v>
      </c>
      <c r="P118">
        <v>0.374049</v>
      </c>
      <c r="Q118">
        <v>0.357992333333333</v>
      </c>
      <c r="T118" t="s">
        <v>43</v>
      </c>
      <c r="W118" t="s">
        <v>43</v>
      </c>
    </row>
    <row r="119" hidden="1" spans="1:23">
      <c r="A119" t="s">
        <v>44</v>
      </c>
      <c r="B119" t="s">
        <v>44</v>
      </c>
      <c r="C119" t="s">
        <v>44</v>
      </c>
      <c r="D119" t="s">
        <v>44</v>
      </c>
      <c r="E119" t="s">
        <v>44</v>
      </c>
      <c r="F119" t="s">
        <v>44</v>
      </c>
      <c r="G119" t="s">
        <v>44</v>
      </c>
      <c r="H119" t="s">
        <v>44</v>
      </c>
      <c r="I119" t="s">
        <v>44</v>
      </c>
      <c r="J119" t="s">
        <v>44</v>
      </c>
      <c r="K119" t="s">
        <v>44</v>
      </c>
      <c r="O119">
        <v>66.8267</v>
      </c>
      <c r="P119">
        <v>75.5933</v>
      </c>
      <c r="Q119">
        <v>81.5311</v>
      </c>
      <c r="T119" t="s">
        <v>44</v>
      </c>
      <c r="W119" t="s">
        <v>44</v>
      </c>
    </row>
    <row r="120" hidden="1" spans="1:23">
      <c r="A120" t="s">
        <v>623</v>
      </c>
      <c r="B120" t="s">
        <v>624</v>
      </c>
      <c r="C120" t="s">
        <v>625</v>
      </c>
      <c r="D120" t="s">
        <v>626</v>
      </c>
      <c r="E120" t="s">
        <v>627</v>
      </c>
      <c r="F120" t="s">
        <v>628</v>
      </c>
      <c r="G120" t="s">
        <v>629</v>
      </c>
      <c r="H120" t="s">
        <v>630</v>
      </c>
      <c r="I120" t="s">
        <v>631</v>
      </c>
      <c r="J120" t="s">
        <v>632</v>
      </c>
      <c r="K120" t="s">
        <v>633</v>
      </c>
      <c r="T120" t="s">
        <v>634</v>
      </c>
      <c r="W120" t="s">
        <v>628</v>
      </c>
    </row>
    <row r="121" hidden="1" spans="1:23">
      <c r="A121">
        <v>2551.41</v>
      </c>
      <c r="B121">
        <v>2383.45</v>
      </c>
      <c r="C121">
        <v>2223.5</v>
      </c>
      <c r="D121">
        <v>2034.75</v>
      </c>
      <c r="E121">
        <v>1775.54</v>
      </c>
      <c r="F121">
        <v>1788.89</v>
      </c>
      <c r="G121">
        <v>1695.52</v>
      </c>
      <c r="H121">
        <v>1567.65</v>
      </c>
      <c r="I121">
        <v>1481.59</v>
      </c>
      <c r="J121">
        <v>1342.61</v>
      </c>
      <c r="K121">
        <v>1222.02</v>
      </c>
      <c r="T121">
        <v>1738.47</v>
      </c>
      <c r="W121">
        <v>1788.89</v>
      </c>
    </row>
    <row r="122" hidden="1" spans="1:23">
      <c r="A122">
        <v>1.72392</v>
      </c>
      <c r="B122">
        <v>1.61044</v>
      </c>
      <c r="C122">
        <v>1.50236</v>
      </c>
      <c r="D122">
        <v>1.37483</v>
      </c>
      <c r="E122">
        <v>1.19969</v>
      </c>
      <c r="F122">
        <v>1.20871</v>
      </c>
      <c r="G122">
        <v>1.14562</v>
      </c>
      <c r="H122">
        <v>1.05923</v>
      </c>
      <c r="I122">
        <v>1.00108</v>
      </c>
      <c r="J122">
        <v>0.907167</v>
      </c>
      <c r="K122">
        <v>0.825692</v>
      </c>
      <c r="T122">
        <v>1.17464</v>
      </c>
      <c r="W122">
        <v>1.20871</v>
      </c>
    </row>
    <row r="123" hidden="1" spans="1:23">
      <c r="A123" t="s">
        <v>635</v>
      </c>
      <c r="B123" t="s">
        <v>636</v>
      </c>
      <c r="C123" t="s">
        <v>637</v>
      </c>
      <c r="D123" t="s">
        <v>638</v>
      </c>
      <c r="E123" t="s">
        <v>639</v>
      </c>
      <c r="F123" t="s">
        <v>640</v>
      </c>
      <c r="G123" t="s">
        <v>641</v>
      </c>
      <c r="H123" t="s">
        <v>642</v>
      </c>
      <c r="I123" t="s">
        <v>643</v>
      </c>
      <c r="J123" t="s">
        <v>644</v>
      </c>
      <c r="K123" t="s">
        <v>645</v>
      </c>
      <c r="T123" t="s">
        <v>646</v>
      </c>
      <c r="W123" t="s">
        <v>640</v>
      </c>
    </row>
    <row r="124" hidden="1" spans="1:23">
      <c r="A124" t="s">
        <v>647</v>
      </c>
      <c r="B124" t="s">
        <v>648</v>
      </c>
      <c r="C124" t="s">
        <v>649</v>
      </c>
      <c r="D124" t="s">
        <v>650</v>
      </c>
      <c r="E124" t="s">
        <v>651</v>
      </c>
      <c r="F124" t="s">
        <v>652</v>
      </c>
      <c r="G124" t="s">
        <v>653</v>
      </c>
      <c r="H124" t="s">
        <v>654</v>
      </c>
      <c r="I124" t="s">
        <v>655</v>
      </c>
      <c r="J124" t="s">
        <v>656</v>
      </c>
      <c r="K124" t="s">
        <v>657</v>
      </c>
      <c r="T124" t="s">
        <v>658</v>
      </c>
      <c r="W124" t="s">
        <v>652</v>
      </c>
    </row>
    <row r="125" hidden="1" spans="1:23">
      <c r="A125" t="s">
        <v>659</v>
      </c>
      <c r="B125" t="s">
        <v>660</v>
      </c>
      <c r="C125" t="s">
        <v>661</v>
      </c>
      <c r="D125" t="s">
        <v>662</v>
      </c>
      <c r="E125" t="s">
        <v>663</v>
      </c>
      <c r="F125" t="s">
        <v>664</v>
      </c>
      <c r="G125" t="s">
        <v>665</v>
      </c>
      <c r="H125" t="s">
        <v>666</v>
      </c>
      <c r="I125" t="s">
        <v>667</v>
      </c>
      <c r="J125" t="s">
        <v>668</v>
      </c>
      <c r="K125" t="s">
        <v>669</v>
      </c>
      <c r="T125" t="s">
        <v>670</v>
      </c>
      <c r="W125" t="s">
        <v>664</v>
      </c>
    </row>
    <row r="126" hidden="1" spans="2:23">
      <c r="B126" t="s">
        <v>671</v>
      </c>
      <c r="C126" t="s">
        <v>672</v>
      </c>
      <c r="D126" t="s">
        <v>673</v>
      </c>
      <c r="E126" t="s">
        <v>674</v>
      </c>
      <c r="F126" t="s">
        <v>675</v>
      </c>
      <c r="G126" t="s">
        <v>676</v>
      </c>
      <c r="H126" t="s">
        <v>677</v>
      </c>
      <c r="I126" t="s">
        <v>678</v>
      </c>
      <c r="J126" t="s">
        <v>679</v>
      </c>
      <c r="T126" t="s">
        <v>680</v>
      </c>
      <c r="W126" t="s">
        <v>675</v>
      </c>
    </row>
    <row r="127" hidden="1" spans="2:23">
      <c r="B127" t="s">
        <v>681</v>
      </c>
      <c r="C127" t="s">
        <v>682</v>
      </c>
      <c r="D127" t="s">
        <v>683</v>
      </c>
      <c r="E127" t="s">
        <v>684</v>
      </c>
      <c r="F127" t="s">
        <v>685</v>
      </c>
      <c r="G127" t="s">
        <v>686</v>
      </c>
      <c r="H127" t="s">
        <v>687</v>
      </c>
      <c r="I127" t="s">
        <v>688</v>
      </c>
      <c r="J127" t="s">
        <v>689</v>
      </c>
      <c r="T127" t="s">
        <v>690</v>
      </c>
      <c r="W127" t="s">
        <v>685</v>
      </c>
    </row>
    <row r="128" hidden="1" spans="2:23">
      <c r="B128" t="s">
        <v>691</v>
      </c>
      <c r="C128" t="s">
        <v>692</v>
      </c>
      <c r="D128" t="s">
        <v>693</v>
      </c>
      <c r="E128" t="s">
        <v>694</v>
      </c>
      <c r="F128" t="s">
        <v>695</v>
      </c>
      <c r="G128" t="s">
        <v>696</v>
      </c>
      <c r="H128" t="s">
        <v>697</v>
      </c>
      <c r="I128" t="s">
        <v>698</v>
      </c>
      <c r="J128" t="s">
        <v>699</v>
      </c>
      <c r="T128" t="s">
        <v>700</v>
      </c>
      <c r="W128" t="s">
        <v>695</v>
      </c>
    </row>
    <row r="129" hidden="1" spans="1:23">
      <c r="A129">
        <v>20.709</v>
      </c>
      <c r="B129">
        <v>18.993</v>
      </c>
      <c r="C129">
        <v>18.78</v>
      </c>
      <c r="D129">
        <v>19.319</v>
      </c>
      <c r="E129">
        <v>20.987</v>
      </c>
      <c r="F129">
        <v>20.952</v>
      </c>
      <c r="G129">
        <v>14.09</v>
      </c>
      <c r="H129">
        <v>16.343</v>
      </c>
      <c r="I129">
        <v>15.454</v>
      </c>
      <c r="J129">
        <v>19.476</v>
      </c>
      <c r="K129">
        <v>23.071</v>
      </c>
      <c r="T129">
        <v>19.824</v>
      </c>
      <c r="W129">
        <v>20.952</v>
      </c>
    </row>
    <row r="130" hidden="1" spans="1:23">
      <c r="A130">
        <v>22.99</v>
      </c>
      <c r="B130">
        <v>20.955</v>
      </c>
      <c r="C130">
        <v>24.778</v>
      </c>
      <c r="D130">
        <v>24.445</v>
      </c>
      <c r="E130">
        <v>29.114</v>
      </c>
      <c r="F130">
        <v>29.479</v>
      </c>
      <c r="G130">
        <v>27.154</v>
      </c>
      <c r="H130">
        <v>21.173</v>
      </c>
      <c r="I130">
        <v>21.262</v>
      </c>
      <c r="J130">
        <v>28.57</v>
      </c>
      <c r="K130">
        <v>37.252</v>
      </c>
      <c r="T130">
        <v>24.417</v>
      </c>
      <c r="W130">
        <v>29.479</v>
      </c>
    </row>
    <row r="131" hidden="1" spans="1:23">
      <c r="A131">
        <v>27.087</v>
      </c>
      <c r="B131">
        <v>30.672</v>
      </c>
      <c r="C131">
        <v>36.249</v>
      </c>
      <c r="D131">
        <v>38.39</v>
      </c>
      <c r="E131">
        <v>39.781</v>
      </c>
      <c r="F131">
        <v>49.616</v>
      </c>
      <c r="G131">
        <v>48.361</v>
      </c>
      <c r="H131">
        <v>36.397</v>
      </c>
      <c r="I131">
        <v>44.745</v>
      </c>
      <c r="J131">
        <v>50.709</v>
      </c>
      <c r="K131">
        <v>58.781</v>
      </c>
      <c r="T131">
        <v>43.744</v>
      </c>
      <c r="W131">
        <v>49.616</v>
      </c>
    </row>
    <row r="132" hidden="1" spans="1:23">
      <c r="A132" t="s">
        <v>208</v>
      </c>
      <c r="B132" t="s">
        <v>701</v>
      </c>
      <c r="C132" t="s">
        <v>702</v>
      </c>
      <c r="D132" t="s">
        <v>703</v>
      </c>
      <c r="E132" t="s">
        <v>704</v>
      </c>
      <c r="F132" t="s">
        <v>705</v>
      </c>
      <c r="G132" t="s">
        <v>706</v>
      </c>
      <c r="H132" t="s">
        <v>707</v>
      </c>
      <c r="I132" t="s">
        <v>708</v>
      </c>
      <c r="J132" t="s">
        <v>709</v>
      </c>
      <c r="K132" t="s">
        <v>710</v>
      </c>
      <c r="T132" t="s">
        <v>711</v>
      </c>
      <c r="W132" t="s">
        <v>705</v>
      </c>
    </row>
    <row r="133" ht="8" hidden="1" customHeight="1" spans="1:23">
      <c r="A133" t="s">
        <v>712</v>
      </c>
      <c r="B133" t="s">
        <v>713</v>
      </c>
      <c r="C133" t="s">
        <v>714</v>
      </c>
      <c r="D133" t="s">
        <v>715</v>
      </c>
      <c r="E133" t="s">
        <v>716</v>
      </c>
      <c r="F133" t="s">
        <v>717</v>
      </c>
      <c r="G133" t="s">
        <v>718</v>
      </c>
      <c r="H133" t="s">
        <v>719</v>
      </c>
      <c r="I133" t="s">
        <v>720</v>
      </c>
      <c r="J133" t="s">
        <v>721</v>
      </c>
      <c r="K133" t="s">
        <v>238</v>
      </c>
      <c r="T133" t="s">
        <v>722</v>
      </c>
      <c r="W133" t="s">
        <v>717</v>
      </c>
    </row>
    <row r="134" hidden="1" spans="1:23">
      <c r="A134">
        <v>11.9967</v>
      </c>
      <c r="B134">
        <v>11.33</v>
      </c>
      <c r="C134">
        <v>10.9367</v>
      </c>
      <c r="D134">
        <v>10.91</v>
      </c>
      <c r="E134">
        <v>11.19</v>
      </c>
      <c r="F134">
        <v>10.98</v>
      </c>
      <c r="G134">
        <v>9.86333</v>
      </c>
      <c r="H134">
        <v>9.72</v>
      </c>
      <c r="I134">
        <v>10.0733</v>
      </c>
      <c r="J134">
        <v>11.0233</v>
      </c>
      <c r="K134">
        <v>13.2067</v>
      </c>
      <c r="T134">
        <v>10.6267</v>
      </c>
      <c r="W134">
        <v>10.98</v>
      </c>
    </row>
    <row r="135" hidden="1" spans="1:23">
      <c r="A135" t="s">
        <v>97</v>
      </c>
      <c r="B135" t="s">
        <v>97</v>
      </c>
      <c r="C135" t="s">
        <v>97</v>
      </c>
      <c r="D135" t="s">
        <v>97</v>
      </c>
      <c r="E135" t="s">
        <v>97</v>
      </c>
      <c r="F135" t="s">
        <v>97</v>
      </c>
      <c r="G135" t="s">
        <v>375</v>
      </c>
      <c r="H135" t="s">
        <v>97</v>
      </c>
      <c r="I135" t="s">
        <v>97</v>
      </c>
      <c r="J135" t="s">
        <v>97</v>
      </c>
      <c r="K135" t="s">
        <v>97</v>
      </c>
      <c r="T135" t="s">
        <v>97</v>
      </c>
      <c r="W135" t="s">
        <v>97</v>
      </c>
    </row>
    <row r="136" hidden="1" spans="1:23">
      <c r="A136" t="s">
        <v>104</v>
      </c>
      <c r="B136" t="s">
        <v>104</v>
      </c>
      <c r="C136" t="s">
        <v>104</v>
      </c>
      <c r="D136" t="s">
        <v>104</v>
      </c>
      <c r="E136" t="s">
        <v>104</v>
      </c>
      <c r="F136" t="s">
        <v>104</v>
      </c>
      <c r="G136" t="s">
        <v>104</v>
      </c>
      <c r="H136" t="s">
        <v>104</v>
      </c>
      <c r="I136" t="s">
        <v>104</v>
      </c>
      <c r="J136" t="s">
        <v>104</v>
      </c>
      <c r="K136" t="s">
        <v>104</v>
      </c>
      <c r="T136" t="s">
        <v>104</v>
      </c>
      <c r="W136" t="s">
        <v>104</v>
      </c>
    </row>
    <row r="137" hidden="1" spans="1:23">
      <c r="A137" t="s">
        <v>42</v>
      </c>
      <c r="B137" t="s">
        <v>42</v>
      </c>
      <c r="C137" t="s">
        <v>42</v>
      </c>
      <c r="D137" t="s">
        <v>42</v>
      </c>
      <c r="E137" t="s">
        <v>42</v>
      </c>
      <c r="F137" t="s">
        <v>42</v>
      </c>
      <c r="G137" t="s">
        <v>42</v>
      </c>
      <c r="H137" t="s">
        <v>42</v>
      </c>
      <c r="I137" t="s">
        <v>42</v>
      </c>
      <c r="J137" t="s">
        <v>42</v>
      </c>
      <c r="K137" t="s">
        <v>42</v>
      </c>
      <c r="T137" t="s">
        <v>42</v>
      </c>
      <c r="W137" t="s">
        <v>42</v>
      </c>
    </row>
    <row r="138" hidden="1" spans="1:23">
      <c r="A138" t="s">
        <v>43</v>
      </c>
      <c r="B138" t="s">
        <v>43</v>
      </c>
      <c r="C138" t="s">
        <v>43</v>
      </c>
      <c r="D138" t="s">
        <v>43</v>
      </c>
      <c r="E138" t="s">
        <v>43</v>
      </c>
      <c r="F138" t="s">
        <v>43</v>
      </c>
      <c r="G138" t="s">
        <v>43</v>
      </c>
      <c r="H138" t="s">
        <v>43</v>
      </c>
      <c r="I138" t="s">
        <v>43</v>
      </c>
      <c r="J138" t="s">
        <v>43</v>
      </c>
      <c r="K138" t="s">
        <v>43</v>
      </c>
      <c r="T138" t="s">
        <v>43</v>
      </c>
      <c r="W138" t="s">
        <v>43</v>
      </c>
    </row>
    <row r="139" hidden="1" spans="1:23">
      <c r="A139" t="s">
        <v>44</v>
      </c>
      <c r="B139" t="s">
        <v>44</v>
      </c>
      <c r="C139" t="s">
        <v>44</v>
      </c>
      <c r="D139" t="s">
        <v>44</v>
      </c>
      <c r="E139" t="s">
        <v>44</v>
      </c>
      <c r="F139" t="s">
        <v>44</v>
      </c>
      <c r="G139" t="s">
        <v>44</v>
      </c>
      <c r="H139" t="s">
        <v>44</v>
      </c>
      <c r="I139" t="s">
        <v>44</v>
      </c>
      <c r="J139" t="s">
        <v>44</v>
      </c>
      <c r="K139" t="s">
        <v>44</v>
      </c>
      <c r="T139" t="s">
        <v>44</v>
      </c>
      <c r="W139" t="s">
        <v>44</v>
      </c>
    </row>
    <row r="140" hidden="1" spans="1:23">
      <c r="A140" t="s">
        <v>723</v>
      </c>
      <c r="B140" t="s">
        <v>724</v>
      </c>
      <c r="C140" t="s">
        <v>725</v>
      </c>
      <c r="D140" t="s">
        <v>726</v>
      </c>
      <c r="E140" t="s">
        <v>727</v>
      </c>
      <c r="F140" t="s">
        <v>728</v>
      </c>
      <c r="G140" t="s">
        <v>729</v>
      </c>
      <c r="H140" t="s">
        <v>730</v>
      </c>
      <c r="I140" t="s">
        <v>731</v>
      </c>
      <c r="J140" t="s">
        <v>732</v>
      </c>
      <c r="K140" t="s">
        <v>733</v>
      </c>
      <c r="T140" t="s">
        <v>734</v>
      </c>
      <c r="W140" t="s">
        <v>728</v>
      </c>
    </row>
    <row r="141" hidden="1" spans="1:23">
      <c r="A141">
        <v>2475.99</v>
      </c>
      <c r="B141">
        <v>2293.78</v>
      </c>
      <c r="C141">
        <v>2302.13</v>
      </c>
      <c r="D141">
        <v>2074.42</v>
      </c>
      <c r="E141">
        <v>1954</v>
      </c>
      <c r="F141">
        <v>1745.5</v>
      </c>
      <c r="G141">
        <v>1628.52</v>
      </c>
      <c r="H141">
        <v>1559.43</v>
      </c>
      <c r="I141">
        <v>1468.36</v>
      </c>
      <c r="J141">
        <v>1386.64</v>
      </c>
      <c r="K141">
        <v>1235.5</v>
      </c>
      <c r="T141">
        <v>1761.76</v>
      </c>
      <c r="W141">
        <v>1745.5</v>
      </c>
    </row>
    <row r="142" hidden="1" spans="1:23">
      <c r="A142">
        <v>1.67297</v>
      </c>
      <c r="B142">
        <v>1.54985</v>
      </c>
      <c r="C142">
        <v>1.5555</v>
      </c>
      <c r="D142">
        <v>1.40164</v>
      </c>
      <c r="E142">
        <v>1.32027</v>
      </c>
      <c r="F142">
        <v>1.17939</v>
      </c>
      <c r="G142">
        <v>1.10035</v>
      </c>
      <c r="H142">
        <v>1.05367</v>
      </c>
      <c r="I142">
        <v>0.992136</v>
      </c>
      <c r="J142">
        <v>0.936919</v>
      </c>
      <c r="K142">
        <v>0.834799</v>
      </c>
      <c r="T142">
        <v>1.19038</v>
      </c>
      <c r="W142">
        <v>1.17939</v>
      </c>
    </row>
    <row r="143" hidden="1" spans="1:23">
      <c r="A143" t="s">
        <v>735</v>
      </c>
      <c r="B143" t="s">
        <v>736</v>
      </c>
      <c r="C143" t="s">
        <v>737</v>
      </c>
      <c r="D143" t="s">
        <v>738</v>
      </c>
      <c r="E143" t="s">
        <v>739</v>
      </c>
      <c r="F143" t="s">
        <v>740</v>
      </c>
      <c r="G143" t="s">
        <v>741</v>
      </c>
      <c r="H143" t="s">
        <v>742</v>
      </c>
      <c r="I143" t="s">
        <v>743</v>
      </c>
      <c r="J143" t="s">
        <v>744</v>
      </c>
      <c r="K143" t="s">
        <v>745</v>
      </c>
      <c r="T143" t="s">
        <v>746</v>
      </c>
      <c r="W143" t="s">
        <v>740</v>
      </c>
    </row>
    <row r="144" hidden="1" spans="1:23">
      <c r="A144" t="s">
        <v>747</v>
      </c>
      <c r="B144" t="s">
        <v>748</v>
      </c>
      <c r="C144" t="s">
        <v>749</v>
      </c>
      <c r="D144" t="s">
        <v>750</v>
      </c>
      <c r="E144" t="s">
        <v>751</v>
      </c>
      <c r="F144" t="s">
        <v>752</v>
      </c>
      <c r="G144" t="s">
        <v>753</v>
      </c>
      <c r="H144" t="s">
        <v>754</v>
      </c>
      <c r="I144" t="s">
        <v>755</v>
      </c>
      <c r="J144" t="s">
        <v>756</v>
      </c>
      <c r="K144" t="s">
        <v>757</v>
      </c>
      <c r="T144" t="s">
        <v>758</v>
      </c>
      <c r="W144" t="s">
        <v>752</v>
      </c>
    </row>
    <row r="145" hidden="1" spans="1:23">
      <c r="A145" t="s">
        <v>759</v>
      </c>
      <c r="B145" t="s">
        <v>760</v>
      </c>
      <c r="C145" t="s">
        <v>761</v>
      </c>
      <c r="D145" t="s">
        <v>762</v>
      </c>
      <c r="E145" t="s">
        <v>763</v>
      </c>
      <c r="F145" t="s">
        <v>764</v>
      </c>
      <c r="G145" t="s">
        <v>765</v>
      </c>
      <c r="H145" t="s">
        <v>766</v>
      </c>
      <c r="I145" t="s">
        <v>767</v>
      </c>
      <c r="J145" t="s">
        <v>768</v>
      </c>
      <c r="K145" t="s">
        <v>769</v>
      </c>
      <c r="T145" t="s">
        <v>770</v>
      </c>
      <c r="W145" t="s">
        <v>764</v>
      </c>
    </row>
    <row r="146" hidden="1" spans="2:23">
      <c r="B146" t="s">
        <v>771</v>
      </c>
      <c r="C146" t="s">
        <v>772</v>
      </c>
      <c r="D146" t="s">
        <v>773</v>
      </c>
      <c r="E146" t="s">
        <v>774</v>
      </c>
      <c r="F146" t="s">
        <v>775</v>
      </c>
      <c r="G146" t="s">
        <v>776</v>
      </c>
      <c r="H146" t="s">
        <v>777</v>
      </c>
      <c r="I146" t="s">
        <v>778</v>
      </c>
      <c r="J146" t="s">
        <v>779</v>
      </c>
      <c r="T146" t="s">
        <v>780</v>
      </c>
      <c r="W146" t="s">
        <v>775</v>
      </c>
    </row>
    <row r="147" hidden="1" spans="2:23">
      <c r="B147" t="s">
        <v>781</v>
      </c>
      <c r="C147" t="s">
        <v>782</v>
      </c>
      <c r="D147" t="s">
        <v>783</v>
      </c>
      <c r="E147" t="s">
        <v>784</v>
      </c>
      <c r="F147" t="s">
        <v>785</v>
      </c>
      <c r="G147" t="s">
        <v>786</v>
      </c>
      <c r="H147" t="s">
        <v>787</v>
      </c>
      <c r="I147" t="s">
        <v>788</v>
      </c>
      <c r="J147" t="s">
        <v>789</v>
      </c>
      <c r="T147" t="s">
        <v>790</v>
      </c>
      <c r="W147" t="s">
        <v>785</v>
      </c>
    </row>
    <row r="148" hidden="1" spans="2:23">
      <c r="B148" t="s">
        <v>791</v>
      </c>
      <c r="C148" t="s">
        <v>792</v>
      </c>
      <c r="D148" t="s">
        <v>793</v>
      </c>
      <c r="E148" t="s">
        <v>794</v>
      </c>
      <c r="F148" t="s">
        <v>795</v>
      </c>
      <c r="G148" t="s">
        <v>796</v>
      </c>
      <c r="H148" t="s">
        <v>797</v>
      </c>
      <c r="I148" t="s">
        <v>798</v>
      </c>
      <c r="J148" t="s">
        <v>799</v>
      </c>
      <c r="T148" t="s">
        <v>800</v>
      </c>
      <c r="W148" t="s">
        <v>795</v>
      </c>
    </row>
    <row r="149" ht="13" hidden="1" customHeight="1" spans="1:23">
      <c r="A149">
        <v>20.272</v>
      </c>
      <c r="B149">
        <v>19.271</v>
      </c>
      <c r="C149">
        <v>18.316</v>
      </c>
      <c r="D149">
        <v>19.122</v>
      </c>
      <c r="E149">
        <v>18.995</v>
      </c>
      <c r="F149">
        <v>18.99</v>
      </c>
      <c r="G149">
        <v>18.025</v>
      </c>
      <c r="H149">
        <v>17.962</v>
      </c>
      <c r="I149">
        <v>17.565</v>
      </c>
      <c r="J149">
        <v>13.444</v>
      </c>
      <c r="K149">
        <v>20.546</v>
      </c>
      <c r="T149">
        <v>18.631</v>
      </c>
      <c r="W149">
        <v>18.99</v>
      </c>
    </row>
    <row r="150" hidden="1" spans="1:23">
      <c r="A150">
        <v>22.083</v>
      </c>
      <c r="B150">
        <v>20.471</v>
      </c>
      <c r="C150">
        <v>21.954</v>
      </c>
      <c r="D150">
        <v>27.092</v>
      </c>
      <c r="E150">
        <v>25.505</v>
      </c>
      <c r="F150">
        <v>27.991</v>
      </c>
      <c r="G150">
        <v>29.622</v>
      </c>
      <c r="H150">
        <v>21.296</v>
      </c>
      <c r="I150">
        <v>23.956</v>
      </c>
      <c r="J150">
        <v>21.44</v>
      </c>
      <c r="K150">
        <v>32.26</v>
      </c>
      <c r="T150">
        <v>28.84</v>
      </c>
      <c r="W150">
        <v>27.991</v>
      </c>
    </row>
    <row r="151" hidden="1" spans="1:23">
      <c r="A151">
        <v>31.597</v>
      </c>
      <c r="B151">
        <v>25.491</v>
      </c>
      <c r="C151">
        <v>41.665</v>
      </c>
      <c r="D151">
        <v>38.727</v>
      </c>
      <c r="E151">
        <v>42.956</v>
      </c>
      <c r="F151">
        <v>39.907</v>
      </c>
      <c r="G151">
        <v>56.222</v>
      </c>
      <c r="H151">
        <v>47.051</v>
      </c>
      <c r="I151">
        <v>44.826</v>
      </c>
      <c r="J151">
        <v>33.224</v>
      </c>
      <c r="K151">
        <v>47.287</v>
      </c>
      <c r="T151">
        <v>43.819</v>
      </c>
      <c r="W151">
        <v>39.907</v>
      </c>
    </row>
    <row r="152" hidden="1" spans="1:23">
      <c r="A152" t="s">
        <v>208</v>
      </c>
      <c r="B152" t="s">
        <v>801</v>
      </c>
      <c r="C152" t="s">
        <v>802</v>
      </c>
      <c r="D152" t="s">
        <v>803</v>
      </c>
      <c r="E152" t="s">
        <v>804</v>
      </c>
      <c r="F152" t="s">
        <v>805</v>
      </c>
      <c r="G152" t="s">
        <v>806</v>
      </c>
      <c r="H152" t="s">
        <v>807</v>
      </c>
      <c r="I152" t="s">
        <v>808</v>
      </c>
      <c r="J152" t="s">
        <v>809</v>
      </c>
      <c r="K152" t="s">
        <v>810</v>
      </c>
      <c r="T152" t="s">
        <v>811</v>
      </c>
      <c r="W152" t="s">
        <v>805</v>
      </c>
    </row>
    <row r="153" hidden="1" spans="1:23">
      <c r="A153" t="s">
        <v>812</v>
      </c>
      <c r="B153" t="s">
        <v>813</v>
      </c>
      <c r="C153" t="s">
        <v>814</v>
      </c>
      <c r="D153" t="s">
        <v>815</v>
      </c>
      <c r="E153" t="s">
        <v>816</v>
      </c>
      <c r="F153" t="s">
        <v>817</v>
      </c>
      <c r="G153" t="s">
        <v>818</v>
      </c>
      <c r="H153" t="s">
        <v>819</v>
      </c>
      <c r="I153" t="s">
        <v>820</v>
      </c>
      <c r="J153" t="s">
        <v>821</v>
      </c>
      <c r="K153" t="s">
        <v>238</v>
      </c>
      <c r="T153" t="s">
        <v>822</v>
      </c>
      <c r="W153" t="s">
        <v>817</v>
      </c>
    </row>
    <row r="154" hidden="1" spans="1:23">
      <c r="A154">
        <v>12.22</v>
      </c>
      <c r="B154">
        <v>11.55</v>
      </c>
      <c r="C154">
        <v>10.7467</v>
      </c>
      <c r="D154">
        <v>10.7767</v>
      </c>
      <c r="E154">
        <v>10.6033</v>
      </c>
      <c r="F154">
        <v>10.4067</v>
      </c>
      <c r="G154">
        <v>10.6933</v>
      </c>
      <c r="H154">
        <v>10.3233</v>
      </c>
      <c r="I154">
        <v>10.1733</v>
      </c>
      <c r="J154">
        <v>9.47667</v>
      </c>
      <c r="K154">
        <v>12.7467</v>
      </c>
      <c r="T154">
        <v>10.9</v>
      </c>
      <c r="W154">
        <v>10.4067</v>
      </c>
    </row>
    <row r="155" hidden="1" spans="1:25">
      <c r="A155" t="s">
        <v>97</v>
      </c>
      <c r="B155" t="s">
        <v>97</v>
      </c>
      <c r="C155" t="s">
        <v>97</v>
      </c>
      <c r="D155" t="s">
        <v>97</v>
      </c>
      <c r="E155" t="s">
        <v>97</v>
      </c>
      <c r="F155" t="s">
        <v>97</v>
      </c>
      <c r="G155" t="s">
        <v>97</v>
      </c>
      <c r="H155" t="s">
        <v>97</v>
      </c>
      <c r="I155" t="s">
        <v>97</v>
      </c>
      <c r="J155" t="s">
        <v>97</v>
      </c>
      <c r="K155" t="s">
        <v>97</v>
      </c>
      <c r="T155" t="s">
        <v>97</v>
      </c>
      <c r="V155" t="s">
        <v>17</v>
      </c>
      <c r="W155" t="s">
        <v>97</v>
      </c>
      <c r="Y155" t="s">
        <v>823</v>
      </c>
    </row>
    <row r="156" hidden="1" spans="1:25">
      <c r="A156">
        <f t="shared" ref="A156:K156" si="13">AVERAGE(A102,A122,A142)</f>
        <v>1.69918333333333</v>
      </c>
      <c r="B156">
        <f t="shared" si="13"/>
        <v>1.57744</v>
      </c>
      <c r="C156">
        <f t="shared" si="13"/>
        <v>1.5296</v>
      </c>
      <c r="D156">
        <f t="shared" si="13"/>
        <v>1.40002666666667</v>
      </c>
      <c r="E156">
        <f t="shared" si="13"/>
        <v>1.23434333333333</v>
      </c>
      <c r="F156">
        <f t="shared" si="13"/>
        <v>1.18593333333333</v>
      </c>
      <c r="G156">
        <f t="shared" si="13"/>
        <v>1.12497</v>
      </c>
      <c r="H156">
        <f t="shared" si="13"/>
        <v>1.05578666666667</v>
      </c>
      <c r="I156">
        <f t="shared" si="13"/>
        <v>0.997322333333333</v>
      </c>
      <c r="J156">
        <f t="shared" si="13"/>
        <v>0.912644</v>
      </c>
      <c r="K156">
        <f t="shared" si="13"/>
        <v>0.834319666666667</v>
      </c>
      <c r="T156">
        <f>AVERAGE(T102,T122,T142)</f>
        <v>1.16380333333333</v>
      </c>
      <c r="V156">
        <f>(((T142-T156)^2+(T122-T156)^2+(T102-T156)^2)/3)^(1/2)</f>
        <v>0.0272244379597123</v>
      </c>
      <c r="W156">
        <f>AVERAGE(W102,W122,W142)</f>
        <v>1.18593333333333</v>
      </c>
      <c r="Y156">
        <f>(((W142-W156)^2+(W122-W156)^2+(W102-W156)^2)/3)^(1/2)</f>
        <v>0.0165842582656633</v>
      </c>
    </row>
    <row r="157" hidden="1" spans="1:23">
      <c r="A157">
        <f t="shared" ref="A157:K157" si="14">AVERAGE(A109,A129,A149)</f>
        <v>20.636</v>
      </c>
      <c r="B157">
        <f t="shared" si="14"/>
        <v>19.0183333333333</v>
      </c>
      <c r="C157">
        <f t="shared" si="14"/>
        <v>18.5513333333333</v>
      </c>
      <c r="D157">
        <f t="shared" si="14"/>
        <v>18.847</v>
      </c>
      <c r="E157">
        <f t="shared" si="14"/>
        <v>20.7</v>
      </c>
      <c r="F157">
        <f t="shared" si="14"/>
        <v>18.7926666666667</v>
      </c>
      <c r="G157">
        <f t="shared" si="14"/>
        <v>16.5523333333333</v>
      </c>
      <c r="H157">
        <f t="shared" si="14"/>
        <v>16.8866666666667</v>
      </c>
      <c r="I157">
        <f t="shared" si="14"/>
        <v>16.5053333333333</v>
      </c>
      <c r="J157">
        <f t="shared" si="14"/>
        <v>16.554</v>
      </c>
      <c r="K157">
        <f t="shared" si="14"/>
        <v>24.6006666666667</v>
      </c>
      <c r="T157">
        <f t="shared" ref="T157:T159" si="15">AVERAGE(T109,T129,T149)</f>
        <v>20.785</v>
      </c>
      <c r="W157">
        <f t="shared" ref="W157:W159" si="16">AVERAGE(W109,W129,W149)</f>
        <v>18.7926666666667</v>
      </c>
    </row>
    <row r="158" hidden="1" spans="1:23">
      <c r="A158">
        <f t="shared" ref="A158:K158" si="17">AVERAGE(A110,A130,A150)</f>
        <v>22.6826666666667</v>
      </c>
      <c r="B158">
        <f t="shared" si="17"/>
        <v>21.0576666666667</v>
      </c>
      <c r="C158">
        <f t="shared" si="17"/>
        <v>23.055</v>
      </c>
      <c r="D158">
        <f t="shared" si="17"/>
        <v>24.485</v>
      </c>
      <c r="E158">
        <f t="shared" si="17"/>
        <v>27.791</v>
      </c>
      <c r="F158">
        <f t="shared" si="17"/>
        <v>27.405</v>
      </c>
      <c r="G158">
        <f t="shared" si="17"/>
        <v>28.698</v>
      </c>
      <c r="H158">
        <f t="shared" si="17"/>
        <v>22.0583333333333</v>
      </c>
      <c r="I158">
        <f t="shared" si="17"/>
        <v>22.3843333333333</v>
      </c>
      <c r="J158">
        <f t="shared" si="17"/>
        <v>25.773</v>
      </c>
      <c r="K158">
        <f t="shared" si="17"/>
        <v>36.6593333333333</v>
      </c>
      <c r="T158">
        <f t="shared" si="15"/>
        <v>27.6356666666667</v>
      </c>
      <c r="W158">
        <f t="shared" si="16"/>
        <v>27.405</v>
      </c>
    </row>
    <row r="159" hidden="1" spans="1:23">
      <c r="A159">
        <f t="shared" ref="A159:K159" si="18">AVERAGE(A111,A131,A151)</f>
        <v>30.5836666666667</v>
      </c>
      <c r="B159">
        <f t="shared" si="18"/>
        <v>29.337</v>
      </c>
      <c r="C159">
        <f t="shared" si="18"/>
        <v>39.933</v>
      </c>
      <c r="D159">
        <f t="shared" si="18"/>
        <v>39.9533333333333</v>
      </c>
      <c r="E159">
        <f t="shared" si="18"/>
        <v>40.6746666666667</v>
      </c>
      <c r="F159">
        <f t="shared" si="18"/>
        <v>44.0773333333333</v>
      </c>
      <c r="G159">
        <f t="shared" si="18"/>
        <v>50.158</v>
      </c>
      <c r="H159">
        <f t="shared" si="18"/>
        <v>42.609</v>
      </c>
      <c r="I159">
        <f t="shared" si="18"/>
        <v>48.785</v>
      </c>
      <c r="J159">
        <f t="shared" si="18"/>
        <v>42.4083333333333</v>
      </c>
      <c r="K159">
        <f t="shared" si="18"/>
        <v>53.9336666666667</v>
      </c>
      <c r="T159">
        <f t="shared" si="15"/>
        <v>43.4106666666667</v>
      </c>
      <c r="W159">
        <f t="shared" si="16"/>
        <v>44.0773333333333</v>
      </c>
    </row>
    <row r="160" hidden="1" spans="1:23">
      <c r="A160">
        <f t="shared" ref="A160:K160" si="19">AVERAGE(A154,A134,A114)</f>
        <v>11.9478</v>
      </c>
      <c r="B160">
        <f t="shared" si="19"/>
        <v>11.3277666666667</v>
      </c>
      <c r="C160">
        <f t="shared" si="19"/>
        <v>10.8755666666667</v>
      </c>
      <c r="D160">
        <f t="shared" si="19"/>
        <v>10.7244666666667</v>
      </c>
      <c r="E160">
        <f t="shared" si="19"/>
        <v>10.8477666666667</v>
      </c>
      <c r="F160">
        <f t="shared" si="19"/>
        <v>10.5144666666667</v>
      </c>
      <c r="G160">
        <f t="shared" si="19"/>
        <v>10.3999766666667</v>
      </c>
      <c r="H160">
        <f t="shared" si="19"/>
        <v>10.0044333333333</v>
      </c>
      <c r="I160">
        <f t="shared" si="19"/>
        <v>10.1333</v>
      </c>
      <c r="J160">
        <f t="shared" si="19"/>
        <v>10.3822233333333</v>
      </c>
      <c r="K160">
        <f t="shared" si="19"/>
        <v>13.2311333333333</v>
      </c>
      <c r="T160">
        <f>AVERAGE(T154,T134,T114)</f>
        <v>11.0055666666667</v>
      </c>
      <c r="W160">
        <f>AVERAGE(W154,W134,W114)</f>
        <v>10.5144666666667</v>
      </c>
    </row>
    <row r="161" hidden="1" spans="1:11">
      <c r="A161" s="6">
        <f t="shared" ref="A161:K161" si="20">(((A142-A156)^2+(A122-A156)^2+(A102-A156)^2)/3)^(1/2)</f>
        <v>0.0208264420602485</v>
      </c>
      <c r="B161" s="6">
        <f t="shared" si="20"/>
        <v>0.0250298235444573</v>
      </c>
      <c r="C161" s="6">
        <f t="shared" si="20"/>
        <v>0.0217149963542864</v>
      </c>
      <c r="D161" s="6">
        <f t="shared" si="20"/>
        <v>0.0199470003314339</v>
      </c>
      <c r="E161" s="6">
        <f t="shared" si="20"/>
        <v>0.0611370053422821</v>
      </c>
      <c r="F161" s="6">
        <f t="shared" si="20"/>
        <v>0.0165842582656633</v>
      </c>
      <c r="G161" s="6">
        <f t="shared" si="20"/>
        <v>0.0186933838563274</v>
      </c>
      <c r="H161" s="6">
        <f t="shared" si="20"/>
        <v>0.00245607184114971</v>
      </c>
      <c r="I161" s="6">
        <f t="shared" si="20"/>
        <v>0.00378854416483282</v>
      </c>
      <c r="J161" s="6">
        <f t="shared" si="20"/>
        <v>0.0180059060495901</v>
      </c>
      <c r="K161" s="6">
        <f t="shared" si="20"/>
        <v>0.00685715511143085</v>
      </c>
    </row>
    <row r="162" hidden="1" spans="1:11">
      <c r="A162">
        <f t="shared" ref="A162:K162" si="21">(((A149-A157)^2+(A129-A157)^2+(A109-A157)^2)/3)^(1/2)</f>
        <v>0.272339249221751</v>
      </c>
      <c r="B162">
        <f t="shared" si="21"/>
        <v>0.196776240661542</v>
      </c>
      <c r="C162">
        <f t="shared" si="21"/>
        <v>0.18948585406011</v>
      </c>
      <c r="D162">
        <f t="shared" si="21"/>
        <v>0.534296422097945</v>
      </c>
      <c r="E162">
        <f t="shared" si="21"/>
        <v>1.29100968238042</v>
      </c>
      <c r="F162">
        <f t="shared" si="21"/>
        <v>1.84892208837714</v>
      </c>
      <c r="G162">
        <f t="shared" si="21"/>
        <v>1.75226260081708</v>
      </c>
      <c r="H162">
        <f t="shared" si="21"/>
        <v>0.760391273548618</v>
      </c>
      <c r="I162">
        <f t="shared" si="21"/>
        <v>0.861832285824156</v>
      </c>
      <c r="J162">
        <f t="shared" si="21"/>
        <v>2.46613922288801</v>
      </c>
      <c r="K162">
        <f t="shared" si="21"/>
        <v>4.08105299592587</v>
      </c>
    </row>
    <row r="163" hidden="1" spans="1:11">
      <c r="A163">
        <f t="shared" ref="A163:K163" si="22">(((A150-A158)^2+(A130-A158)^2+(A110-A158)^2)/3)^(1/2)</f>
        <v>0.424072582885944</v>
      </c>
      <c r="B163">
        <f t="shared" si="22"/>
        <v>0.525959018259873</v>
      </c>
      <c r="C163">
        <f t="shared" si="22"/>
        <v>1.23393868027008</v>
      </c>
      <c r="D163">
        <f t="shared" si="22"/>
        <v>2.11246601550573</v>
      </c>
      <c r="E163">
        <f t="shared" si="22"/>
        <v>1.62311367439252</v>
      </c>
      <c r="F163">
        <f t="shared" si="22"/>
        <v>1.97656874406128</v>
      </c>
      <c r="G163">
        <f t="shared" si="22"/>
        <v>1.09880419851158</v>
      </c>
      <c r="H163">
        <f t="shared" si="22"/>
        <v>1.16615788906229</v>
      </c>
      <c r="I163">
        <f t="shared" si="22"/>
        <v>1.14479527524454</v>
      </c>
      <c r="J163">
        <f t="shared" si="22"/>
        <v>3.1068415902113</v>
      </c>
      <c r="K163">
        <f t="shared" si="22"/>
        <v>3.37619601853263</v>
      </c>
    </row>
    <row r="164" hidden="1" spans="1:11">
      <c r="A164">
        <f t="shared" ref="A164:K164" si="23">(((A151-A159)^2+(A131-A159)^2+(A111-A159)^2)/3)^(1/2)</f>
        <v>2.5443051878438</v>
      </c>
      <c r="B164">
        <f t="shared" si="23"/>
        <v>2.76158541421409</v>
      </c>
      <c r="C164">
        <f t="shared" si="23"/>
        <v>2.60652923763894</v>
      </c>
      <c r="D164">
        <f t="shared" si="23"/>
        <v>1.97738418680393</v>
      </c>
      <c r="E164">
        <f t="shared" si="23"/>
        <v>1.62570401843496</v>
      </c>
      <c r="F164">
        <f t="shared" si="23"/>
        <v>4.08006718354272</v>
      </c>
      <c r="G164">
        <f t="shared" si="23"/>
        <v>4.40486829163673</v>
      </c>
      <c r="H164">
        <f t="shared" si="23"/>
        <v>4.52596980399413</v>
      </c>
      <c r="I164">
        <f t="shared" si="23"/>
        <v>5.65624380662644</v>
      </c>
      <c r="J164">
        <f t="shared" si="23"/>
        <v>7.16551725666442</v>
      </c>
      <c r="K164">
        <f t="shared" si="23"/>
        <v>4.86183842685963</v>
      </c>
    </row>
    <row r="165" hidden="1" spans="1:11">
      <c r="A165" s="6">
        <f t="shared" ref="A165:K165" si="24">(((A154-A160)^2+(A134-A160)^2+(A114-A160)^2)/3)^(1/2)</f>
        <v>0.244669341493099</v>
      </c>
      <c r="B165" s="6">
        <f t="shared" si="24"/>
        <v>0.182371348870619</v>
      </c>
      <c r="C165" s="6">
        <f t="shared" si="24"/>
        <v>0.0911623216514854</v>
      </c>
      <c r="D165" s="6">
        <f t="shared" si="24"/>
        <v>0.176714389780672</v>
      </c>
      <c r="E165" s="6">
        <f t="shared" si="24"/>
        <v>0.249296294040288</v>
      </c>
      <c r="F165" s="6">
        <f t="shared" si="24"/>
        <v>0.344640840425056</v>
      </c>
      <c r="G165" s="6">
        <f t="shared" si="24"/>
        <v>0.380015116921537</v>
      </c>
      <c r="H165" s="6">
        <f t="shared" si="24"/>
        <v>0.247496751942772</v>
      </c>
      <c r="I165" s="6">
        <f t="shared" si="24"/>
        <v>0.0432049379893856</v>
      </c>
      <c r="J165" s="6">
        <f t="shared" si="24"/>
        <v>0.658522092584768</v>
      </c>
      <c r="K165" s="6">
        <f t="shared" si="24"/>
        <v>0.40588090480939</v>
      </c>
    </row>
    <row r="166" hidden="1"/>
    <row r="167" s="27" customFormat="1" spans="1:15">
      <c r="A167" s="33" t="s">
        <v>824</v>
      </c>
      <c r="B167" s="27" t="s">
        <v>99</v>
      </c>
      <c r="F167" s="34"/>
      <c r="O167"/>
    </row>
    <row r="168" s="5" customFormat="1" spans="1:28">
      <c r="A168" s="5">
        <v>0</v>
      </c>
      <c r="B168" s="5">
        <v>10</v>
      </c>
      <c r="C168" s="5">
        <v>20</v>
      </c>
      <c r="D168" s="5">
        <v>30</v>
      </c>
      <c r="E168" s="5">
        <v>40</v>
      </c>
      <c r="F168" s="5">
        <v>50</v>
      </c>
      <c r="G168" s="5">
        <v>60</v>
      </c>
      <c r="H168" s="5">
        <v>70</v>
      </c>
      <c r="I168" s="5">
        <v>80</v>
      </c>
      <c r="J168" s="5">
        <v>90</v>
      </c>
      <c r="K168" s="5">
        <v>100</v>
      </c>
      <c r="O168" s="35" t="s">
        <v>511</v>
      </c>
      <c r="P168" s="35" t="s">
        <v>512</v>
      </c>
      <c r="T168" s="5" t="s">
        <v>19</v>
      </c>
      <c r="W168" s="5">
        <v>16</v>
      </c>
      <c r="X168" s="5">
        <v>32</v>
      </c>
      <c r="Y168" s="5">
        <v>64</v>
      </c>
      <c r="Z168" s="5">
        <v>128</v>
      </c>
      <c r="AA168" s="5">
        <v>256</v>
      </c>
      <c r="AB168" s="5">
        <v>512</v>
      </c>
    </row>
    <row r="169" spans="1:20">
      <c r="A169" t="s">
        <v>104</v>
      </c>
      <c r="B169" t="s">
        <v>104</v>
      </c>
      <c r="C169" t="s">
        <v>104</v>
      </c>
      <c r="D169" t="s">
        <v>104</v>
      </c>
      <c r="E169" t="s">
        <v>104</v>
      </c>
      <c r="F169" t="s">
        <v>104</v>
      </c>
      <c r="G169" t="s">
        <v>104</v>
      </c>
      <c r="H169" t="s">
        <v>104</v>
      </c>
      <c r="I169" t="s">
        <v>104</v>
      </c>
      <c r="J169" t="s">
        <v>104</v>
      </c>
      <c r="K169" t="s">
        <v>104</v>
      </c>
      <c r="T169" t="s">
        <v>104</v>
      </c>
    </row>
    <row r="170" spans="1:20">
      <c r="A170" t="s">
        <v>42</v>
      </c>
      <c r="B170" t="s">
        <v>42</v>
      </c>
      <c r="C170" t="s">
        <v>42</v>
      </c>
      <c r="D170" t="s">
        <v>42</v>
      </c>
      <c r="E170" t="s">
        <v>42</v>
      </c>
      <c r="F170" t="s">
        <v>42</v>
      </c>
      <c r="G170" t="s">
        <v>42</v>
      </c>
      <c r="H170" t="s">
        <v>42</v>
      </c>
      <c r="I170" t="s">
        <v>42</v>
      </c>
      <c r="J170" t="s">
        <v>42</v>
      </c>
      <c r="K170" t="s">
        <v>42</v>
      </c>
      <c r="T170" t="s">
        <v>42</v>
      </c>
    </row>
    <row r="171" spans="1:20">
      <c r="A171" t="s">
        <v>43</v>
      </c>
      <c r="B171" t="s">
        <v>43</v>
      </c>
      <c r="C171" t="s">
        <v>43</v>
      </c>
      <c r="D171" t="s">
        <v>43</v>
      </c>
      <c r="E171" t="s">
        <v>43</v>
      </c>
      <c r="F171" t="s">
        <v>43</v>
      </c>
      <c r="G171" t="s">
        <v>43</v>
      </c>
      <c r="H171" t="s">
        <v>43</v>
      </c>
      <c r="I171" t="s">
        <v>43</v>
      </c>
      <c r="J171" t="s">
        <v>43</v>
      </c>
      <c r="K171" t="s">
        <v>43</v>
      </c>
      <c r="T171" t="s">
        <v>43</v>
      </c>
    </row>
    <row r="172" spans="1:20">
      <c r="A172" t="s">
        <v>44</v>
      </c>
      <c r="B172" t="s">
        <v>44</v>
      </c>
      <c r="C172" t="s">
        <v>44</v>
      </c>
      <c r="D172" t="s">
        <v>44</v>
      </c>
      <c r="E172" t="s">
        <v>44</v>
      </c>
      <c r="F172" t="s">
        <v>44</v>
      </c>
      <c r="G172" t="s">
        <v>44</v>
      </c>
      <c r="H172" t="s">
        <v>44</v>
      </c>
      <c r="I172" t="s">
        <v>44</v>
      </c>
      <c r="J172" t="s">
        <v>44</v>
      </c>
      <c r="K172" t="s">
        <v>44</v>
      </c>
      <c r="T172" t="s">
        <v>44</v>
      </c>
    </row>
    <row r="173" spans="1:20">
      <c r="A173" t="s">
        <v>825</v>
      </c>
      <c r="B173" t="s">
        <v>826</v>
      </c>
      <c r="C173" t="s">
        <v>827</v>
      </c>
      <c r="D173" t="s">
        <v>828</v>
      </c>
      <c r="E173" t="s">
        <v>829</v>
      </c>
      <c r="F173" t="s">
        <v>830</v>
      </c>
      <c r="G173" t="s">
        <v>831</v>
      </c>
      <c r="H173" t="s">
        <v>832</v>
      </c>
      <c r="I173" t="s">
        <v>833</v>
      </c>
      <c r="J173" t="s">
        <v>834</v>
      </c>
      <c r="K173" t="s">
        <v>835</v>
      </c>
      <c r="T173" t="s">
        <v>836</v>
      </c>
    </row>
    <row r="174" spans="1:20">
      <c r="A174">
        <v>1794.13</v>
      </c>
      <c r="B174">
        <v>1754.31</v>
      </c>
      <c r="C174">
        <v>1763.45</v>
      </c>
      <c r="D174">
        <v>1690.89</v>
      </c>
      <c r="E174">
        <v>1595.14</v>
      </c>
      <c r="F174">
        <v>1372.66</v>
      </c>
      <c r="G174">
        <v>1335.07</v>
      </c>
      <c r="H174">
        <v>1314.65</v>
      </c>
      <c r="I174">
        <v>1258.74</v>
      </c>
      <c r="J174">
        <v>1266.98</v>
      </c>
      <c r="K174">
        <v>1188.62</v>
      </c>
      <c r="T174" s="21">
        <v>1433.48</v>
      </c>
    </row>
    <row r="175" spans="1:20">
      <c r="A175">
        <v>1.19928</v>
      </c>
      <c r="B175">
        <v>1.17267</v>
      </c>
      <c r="C175">
        <v>1.17878</v>
      </c>
      <c r="D175">
        <v>1.13028</v>
      </c>
      <c r="E175">
        <v>1.06627</v>
      </c>
      <c r="F175">
        <v>0.917554</v>
      </c>
      <c r="G175">
        <v>0.892425</v>
      </c>
      <c r="H175">
        <v>0.878775</v>
      </c>
      <c r="I175">
        <v>0.841405</v>
      </c>
      <c r="J175">
        <v>0.846909</v>
      </c>
      <c r="K175">
        <v>0.79453</v>
      </c>
      <c r="T175">
        <v>0.95821</v>
      </c>
    </row>
    <row r="176" spans="2:20">
      <c r="B176" t="s">
        <v>837</v>
      </c>
      <c r="C176" t="s">
        <v>838</v>
      </c>
      <c r="D176" t="s">
        <v>839</v>
      </c>
      <c r="E176" t="s">
        <v>840</v>
      </c>
      <c r="F176" t="s">
        <v>841</v>
      </c>
      <c r="G176" t="s">
        <v>842</v>
      </c>
      <c r="H176" t="s">
        <v>843</v>
      </c>
      <c r="I176" t="s">
        <v>844</v>
      </c>
      <c r="J176" t="s">
        <v>845</v>
      </c>
      <c r="K176" t="s">
        <v>846</v>
      </c>
      <c r="T176" t="s">
        <v>847</v>
      </c>
    </row>
    <row r="177" spans="2:20">
      <c r="B177" t="s">
        <v>848</v>
      </c>
      <c r="C177" t="s">
        <v>849</v>
      </c>
      <c r="D177" t="s">
        <v>850</v>
      </c>
      <c r="E177" t="s">
        <v>851</v>
      </c>
      <c r="F177" t="s">
        <v>852</v>
      </c>
      <c r="G177" t="s">
        <v>853</v>
      </c>
      <c r="H177" t="s">
        <v>854</v>
      </c>
      <c r="I177" t="s">
        <v>855</v>
      </c>
      <c r="J177" t="s">
        <v>856</v>
      </c>
      <c r="K177" t="s">
        <v>857</v>
      </c>
      <c r="T177" t="s">
        <v>858</v>
      </c>
    </row>
    <row r="178" spans="2:20">
      <c r="B178" t="s">
        <v>859</v>
      </c>
      <c r="C178" t="s">
        <v>860</v>
      </c>
      <c r="D178" t="s">
        <v>861</v>
      </c>
      <c r="E178" t="s">
        <v>862</v>
      </c>
      <c r="F178" t="s">
        <v>863</v>
      </c>
      <c r="G178" t="s">
        <v>864</v>
      </c>
      <c r="H178" t="s">
        <v>865</v>
      </c>
      <c r="I178" t="s">
        <v>866</v>
      </c>
      <c r="J178" t="s">
        <v>867</v>
      </c>
      <c r="K178" t="s">
        <v>868</v>
      </c>
      <c r="T178" t="s">
        <v>869</v>
      </c>
    </row>
    <row r="179" spans="1:20">
      <c r="A179" t="s">
        <v>870</v>
      </c>
      <c r="B179">
        <v>22.439</v>
      </c>
      <c r="C179" t="s">
        <v>871</v>
      </c>
      <c r="D179" t="s">
        <v>872</v>
      </c>
      <c r="E179">
        <v>19.443</v>
      </c>
      <c r="F179">
        <v>26.486</v>
      </c>
      <c r="G179">
        <v>23.178</v>
      </c>
      <c r="H179">
        <v>23.978</v>
      </c>
      <c r="I179" t="s">
        <v>873</v>
      </c>
      <c r="J179" t="s">
        <v>874</v>
      </c>
      <c r="K179">
        <v>9.778</v>
      </c>
      <c r="T179" t="s">
        <v>875</v>
      </c>
    </row>
    <row r="180" spans="1:20">
      <c r="A180" t="s">
        <v>876</v>
      </c>
      <c r="B180">
        <v>27.889</v>
      </c>
      <c r="C180" t="s">
        <v>877</v>
      </c>
      <c r="D180" t="s">
        <v>878</v>
      </c>
      <c r="E180">
        <v>23.544</v>
      </c>
      <c r="F180">
        <v>31.09</v>
      </c>
      <c r="G180">
        <v>26.496</v>
      </c>
      <c r="H180">
        <v>33.602</v>
      </c>
      <c r="I180" t="s">
        <v>879</v>
      </c>
      <c r="J180" t="s">
        <v>880</v>
      </c>
      <c r="K180">
        <v>10.17</v>
      </c>
      <c r="T180" t="s">
        <v>881</v>
      </c>
    </row>
    <row r="181" spans="1:20">
      <c r="A181" t="s">
        <v>882</v>
      </c>
      <c r="B181">
        <v>45.879</v>
      </c>
      <c r="C181" t="s">
        <v>883</v>
      </c>
      <c r="D181" t="s">
        <v>884</v>
      </c>
      <c r="E181">
        <v>41.346</v>
      </c>
      <c r="F181">
        <v>36.325</v>
      </c>
      <c r="G181">
        <v>30.553</v>
      </c>
      <c r="H181">
        <v>56.799</v>
      </c>
      <c r="I181" t="s">
        <v>885</v>
      </c>
      <c r="J181" t="s">
        <v>886</v>
      </c>
      <c r="K181">
        <v>14.193</v>
      </c>
      <c r="T181" t="s">
        <v>887</v>
      </c>
    </row>
    <row r="182" s="18" customFormat="1" spans="1:20">
      <c r="A182">
        <v>25.73</v>
      </c>
      <c r="B182">
        <v>23.896</v>
      </c>
      <c r="C182" s="21">
        <v>18.319</v>
      </c>
      <c r="D182">
        <v>17.587</v>
      </c>
      <c r="E182">
        <v>15.588</v>
      </c>
      <c r="F182">
        <v>21.515</v>
      </c>
      <c r="G182">
        <v>18.188</v>
      </c>
      <c r="H182">
        <v>18.581</v>
      </c>
      <c r="I182">
        <v>18.669</v>
      </c>
      <c r="J182">
        <v>17.943</v>
      </c>
      <c r="K182">
        <v>9.778</v>
      </c>
      <c r="T182">
        <v>21.3</v>
      </c>
    </row>
    <row r="183" s="18" customFormat="1" spans="1:20">
      <c r="A183">
        <v>28.7</v>
      </c>
      <c r="B183">
        <v>27.996</v>
      </c>
      <c r="C183">
        <v>22.67</v>
      </c>
      <c r="D183">
        <v>22.77</v>
      </c>
      <c r="E183">
        <v>21.121</v>
      </c>
      <c r="F183">
        <v>26.987</v>
      </c>
      <c r="G183">
        <v>24.003</v>
      </c>
      <c r="H183">
        <v>23.962</v>
      </c>
      <c r="I183">
        <v>24.709</v>
      </c>
      <c r="J183">
        <v>22.999</v>
      </c>
      <c r="K183">
        <v>10.17</v>
      </c>
      <c r="O183" s="36"/>
      <c r="T183">
        <v>28.056</v>
      </c>
    </row>
    <row r="184" spans="1:20">
      <c r="A184">
        <v>33.156</v>
      </c>
      <c r="B184">
        <v>45.879</v>
      </c>
      <c r="C184">
        <v>33.077</v>
      </c>
      <c r="D184">
        <v>43.564</v>
      </c>
      <c r="E184">
        <v>35.125</v>
      </c>
      <c r="F184">
        <v>34.612</v>
      </c>
      <c r="G184">
        <v>30.553</v>
      </c>
      <c r="H184">
        <v>38.342</v>
      </c>
      <c r="I184">
        <v>39.736</v>
      </c>
      <c r="J184">
        <v>31.836</v>
      </c>
      <c r="K184">
        <v>14.193</v>
      </c>
      <c r="T184">
        <v>35.981</v>
      </c>
    </row>
    <row r="185" spans="1:20">
      <c r="A185" t="s">
        <v>208</v>
      </c>
      <c r="B185" t="s">
        <v>888</v>
      </c>
      <c r="C185" t="s">
        <v>889</v>
      </c>
      <c r="D185" t="s">
        <v>890</v>
      </c>
      <c r="E185" t="s">
        <v>891</v>
      </c>
      <c r="F185" t="s">
        <v>892</v>
      </c>
      <c r="G185" t="s">
        <v>893</v>
      </c>
      <c r="H185" t="s">
        <v>894</v>
      </c>
      <c r="I185" t="s">
        <v>895</v>
      </c>
      <c r="J185" t="s">
        <v>896</v>
      </c>
      <c r="K185" t="s">
        <v>897</v>
      </c>
      <c r="T185" t="s">
        <v>898</v>
      </c>
    </row>
    <row r="186" spans="1:20">
      <c r="A186" t="s">
        <v>899</v>
      </c>
      <c r="B186" t="s">
        <v>900</v>
      </c>
      <c r="C186" t="s">
        <v>901</v>
      </c>
      <c r="D186" t="s">
        <v>902</v>
      </c>
      <c r="E186" t="s">
        <v>903</v>
      </c>
      <c r="F186" t="s">
        <v>904</v>
      </c>
      <c r="G186" t="s">
        <v>905</v>
      </c>
      <c r="H186" t="s">
        <v>906</v>
      </c>
      <c r="I186" t="s">
        <v>907</v>
      </c>
      <c r="J186" t="s">
        <v>908</v>
      </c>
      <c r="K186" s="21" t="s">
        <v>238</v>
      </c>
      <c r="T186" t="s">
        <v>909</v>
      </c>
    </row>
    <row r="187" spans="1:20">
      <c r="A187">
        <v>14.6833</v>
      </c>
      <c r="B187">
        <v>14.4533</v>
      </c>
      <c r="C187">
        <v>12.0867</v>
      </c>
      <c r="D187">
        <v>11.9567</v>
      </c>
      <c r="E187">
        <v>11.3033</v>
      </c>
      <c r="F187">
        <v>11.8933</v>
      </c>
      <c r="G187">
        <v>10.44</v>
      </c>
      <c r="H187">
        <v>10.8967</v>
      </c>
      <c r="I187">
        <v>10.6433</v>
      </c>
      <c r="J187">
        <v>10.0267</v>
      </c>
      <c r="K187">
        <v>8.1</v>
      </c>
      <c r="T187">
        <v>11.2233</v>
      </c>
    </row>
    <row r="188" spans="1:20">
      <c r="A188" t="s">
        <v>97</v>
      </c>
      <c r="B188" t="s">
        <v>97</v>
      </c>
      <c r="C188" t="s">
        <v>97</v>
      </c>
      <c r="D188" t="s">
        <v>97</v>
      </c>
      <c r="E188" t="s">
        <v>97</v>
      </c>
      <c r="F188" t="s">
        <v>97</v>
      </c>
      <c r="G188" t="s">
        <v>97</v>
      </c>
      <c r="H188" t="s">
        <v>97</v>
      </c>
      <c r="I188" t="s">
        <v>97</v>
      </c>
      <c r="J188" t="s">
        <v>97</v>
      </c>
      <c r="K188" t="s">
        <v>97</v>
      </c>
      <c r="T188" t="s">
        <v>97</v>
      </c>
    </row>
    <row r="189" spans="1:20">
      <c r="A189" t="s">
        <v>104</v>
      </c>
      <c r="B189" t="s">
        <v>104</v>
      </c>
      <c r="C189" t="s">
        <v>104</v>
      </c>
      <c r="D189" t="s">
        <v>104</v>
      </c>
      <c r="E189" t="s">
        <v>104</v>
      </c>
      <c r="F189" t="s">
        <v>104</v>
      </c>
      <c r="G189" t="s">
        <v>104</v>
      </c>
      <c r="H189" t="s">
        <v>104</v>
      </c>
      <c r="I189" t="s">
        <v>104</v>
      </c>
      <c r="J189" t="s">
        <v>104</v>
      </c>
      <c r="K189" t="s">
        <v>104</v>
      </c>
      <c r="T189" t="s">
        <v>104</v>
      </c>
    </row>
    <row r="190" spans="1:20">
      <c r="A190" t="s">
        <v>42</v>
      </c>
      <c r="B190" t="s">
        <v>42</v>
      </c>
      <c r="C190" t="s">
        <v>42</v>
      </c>
      <c r="D190" t="s">
        <v>42</v>
      </c>
      <c r="E190" t="s">
        <v>42</v>
      </c>
      <c r="F190" t="s">
        <v>42</v>
      </c>
      <c r="G190" t="s">
        <v>42</v>
      </c>
      <c r="H190" t="s">
        <v>42</v>
      </c>
      <c r="I190" t="s">
        <v>42</v>
      </c>
      <c r="J190" t="s">
        <v>42</v>
      </c>
      <c r="K190" t="s">
        <v>42</v>
      </c>
      <c r="T190" t="s">
        <v>42</v>
      </c>
    </row>
    <row r="191" spans="1:20">
      <c r="A191" t="s">
        <v>43</v>
      </c>
      <c r="B191" t="s">
        <v>43</v>
      </c>
      <c r="C191" t="s">
        <v>43</v>
      </c>
      <c r="D191" t="s">
        <v>43</v>
      </c>
      <c r="E191" t="s">
        <v>43</v>
      </c>
      <c r="F191" t="s">
        <v>43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T191" t="s">
        <v>43</v>
      </c>
    </row>
    <row r="192" spans="1:20">
      <c r="A192" t="s">
        <v>44</v>
      </c>
      <c r="B192" t="s">
        <v>44</v>
      </c>
      <c r="C192" t="s">
        <v>44</v>
      </c>
      <c r="D192" t="s">
        <v>44</v>
      </c>
      <c r="E192" t="s">
        <v>44</v>
      </c>
      <c r="F192" t="s">
        <v>44</v>
      </c>
      <c r="G192" t="s">
        <v>44</v>
      </c>
      <c r="H192" t="s">
        <v>44</v>
      </c>
      <c r="I192" t="s">
        <v>44</v>
      </c>
      <c r="J192" t="s">
        <v>44</v>
      </c>
      <c r="K192" t="s">
        <v>44</v>
      </c>
      <c r="T192" t="s">
        <v>44</v>
      </c>
    </row>
    <row r="193" spans="1:20">
      <c r="A193" t="s">
        <v>910</v>
      </c>
      <c r="B193" t="s">
        <v>911</v>
      </c>
      <c r="C193" t="s">
        <v>912</v>
      </c>
      <c r="D193" t="s">
        <v>913</v>
      </c>
      <c r="E193" t="s">
        <v>914</v>
      </c>
      <c r="F193" t="s">
        <v>915</v>
      </c>
      <c r="G193" t="s">
        <v>916</v>
      </c>
      <c r="H193" t="s">
        <v>831</v>
      </c>
      <c r="I193" t="s">
        <v>917</v>
      </c>
      <c r="J193" t="s">
        <v>918</v>
      </c>
      <c r="K193" t="s">
        <v>919</v>
      </c>
      <c r="T193" t="s">
        <v>920</v>
      </c>
    </row>
    <row r="194" spans="1:20">
      <c r="A194">
        <v>1865.16</v>
      </c>
      <c r="B194">
        <v>1741.71</v>
      </c>
      <c r="C194">
        <v>1631.87</v>
      </c>
      <c r="D194">
        <v>1626.73</v>
      </c>
      <c r="E194">
        <v>1642.39</v>
      </c>
      <c r="F194">
        <v>1377.45</v>
      </c>
      <c r="G194">
        <v>1326.73</v>
      </c>
      <c r="H194">
        <v>1335.07</v>
      </c>
      <c r="I194">
        <v>1304.43</v>
      </c>
      <c r="J194">
        <v>1269.83</v>
      </c>
      <c r="K194">
        <v>1204.71</v>
      </c>
      <c r="T194" s="21">
        <v>1441.64</v>
      </c>
    </row>
    <row r="195" spans="1:20">
      <c r="A195">
        <v>1.24676</v>
      </c>
      <c r="B195">
        <v>1.16424</v>
      </c>
      <c r="C195">
        <v>1.09083</v>
      </c>
      <c r="D195">
        <v>1.08738</v>
      </c>
      <c r="E195">
        <v>1.09786</v>
      </c>
      <c r="F195">
        <v>0.920758</v>
      </c>
      <c r="G195">
        <v>0.886851</v>
      </c>
      <c r="H195">
        <v>0.892425</v>
      </c>
      <c r="I195">
        <v>0.871945</v>
      </c>
      <c r="J195">
        <v>0.848819</v>
      </c>
      <c r="K195">
        <v>0.805287</v>
      </c>
      <c r="T195">
        <v>0.963664</v>
      </c>
    </row>
    <row r="196" spans="2:20">
      <c r="B196" t="s">
        <v>921</v>
      </c>
      <c r="C196" t="s">
        <v>922</v>
      </c>
      <c r="D196" t="s">
        <v>923</v>
      </c>
      <c r="E196" t="s">
        <v>924</v>
      </c>
      <c r="F196" t="s">
        <v>925</v>
      </c>
      <c r="G196" t="s">
        <v>926</v>
      </c>
      <c r="H196" t="s">
        <v>842</v>
      </c>
      <c r="I196" t="s">
        <v>927</v>
      </c>
      <c r="J196" t="s">
        <v>928</v>
      </c>
      <c r="K196" t="s">
        <v>929</v>
      </c>
      <c r="T196" t="s">
        <v>930</v>
      </c>
    </row>
    <row r="197" spans="2:20">
      <c r="B197" t="s">
        <v>931</v>
      </c>
      <c r="C197" t="s">
        <v>932</v>
      </c>
      <c r="D197" t="s">
        <v>933</v>
      </c>
      <c r="E197" t="s">
        <v>934</v>
      </c>
      <c r="F197" t="s">
        <v>935</v>
      </c>
      <c r="G197" t="s">
        <v>936</v>
      </c>
      <c r="H197" t="s">
        <v>853</v>
      </c>
      <c r="I197" t="s">
        <v>937</v>
      </c>
      <c r="J197" t="s">
        <v>938</v>
      </c>
      <c r="K197" t="s">
        <v>939</v>
      </c>
      <c r="T197" t="s">
        <v>940</v>
      </c>
    </row>
    <row r="198" spans="2:20">
      <c r="B198" t="s">
        <v>941</v>
      </c>
      <c r="C198" t="s">
        <v>942</v>
      </c>
      <c r="D198" t="s">
        <v>943</v>
      </c>
      <c r="E198" t="s">
        <v>944</v>
      </c>
      <c r="F198" t="s">
        <v>945</v>
      </c>
      <c r="G198" t="s">
        <v>946</v>
      </c>
      <c r="H198" t="s">
        <v>864</v>
      </c>
      <c r="I198" t="s">
        <v>947</v>
      </c>
      <c r="J198" t="s">
        <v>948</v>
      </c>
      <c r="K198" t="s">
        <v>949</v>
      </c>
      <c r="T198" t="s">
        <v>950</v>
      </c>
    </row>
    <row r="199" spans="1:20">
      <c r="A199" t="s">
        <v>951</v>
      </c>
      <c r="B199">
        <v>22.545</v>
      </c>
      <c r="C199" t="s">
        <v>952</v>
      </c>
      <c r="D199" t="s">
        <v>953</v>
      </c>
      <c r="E199">
        <v>23.948</v>
      </c>
      <c r="F199">
        <v>22.915</v>
      </c>
      <c r="G199">
        <v>24.98</v>
      </c>
      <c r="H199">
        <v>23.178</v>
      </c>
      <c r="I199" t="s">
        <v>954</v>
      </c>
      <c r="J199" t="s">
        <v>955</v>
      </c>
      <c r="T199" t="s">
        <v>956</v>
      </c>
    </row>
    <row r="200" spans="1:20">
      <c r="A200" t="s">
        <v>957</v>
      </c>
      <c r="B200">
        <v>26.692</v>
      </c>
      <c r="C200" t="s">
        <v>958</v>
      </c>
      <c r="D200" t="s">
        <v>959</v>
      </c>
      <c r="E200">
        <v>31.074</v>
      </c>
      <c r="F200">
        <v>28.05</v>
      </c>
      <c r="G200">
        <v>28.758</v>
      </c>
      <c r="H200">
        <v>26.496</v>
      </c>
      <c r="I200" t="s">
        <v>960</v>
      </c>
      <c r="J200" t="s">
        <v>961</v>
      </c>
      <c r="T200" t="s">
        <v>962</v>
      </c>
    </row>
    <row r="201" spans="1:20">
      <c r="A201" t="s">
        <v>963</v>
      </c>
      <c r="B201">
        <v>40.713</v>
      </c>
      <c r="C201" t="s">
        <v>964</v>
      </c>
      <c r="D201" t="s">
        <v>965</v>
      </c>
      <c r="E201">
        <v>36.473</v>
      </c>
      <c r="F201">
        <v>37.189</v>
      </c>
      <c r="G201">
        <v>43.002</v>
      </c>
      <c r="H201">
        <v>30.553</v>
      </c>
      <c r="I201" t="s">
        <v>966</v>
      </c>
      <c r="J201" t="s">
        <v>967</v>
      </c>
      <c r="T201" t="s">
        <v>968</v>
      </c>
    </row>
    <row r="202" spans="1:20">
      <c r="A202">
        <v>25.144</v>
      </c>
      <c r="B202">
        <v>23.121</v>
      </c>
      <c r="C202">
        <v>20.247</v>
      </c>
      <c r="D202">
        <v>18.371</v>
      </c>
      <c r="E202">
        <v>18.264</v>
      </c>
      <c r="F202">
        <v>19.581</v>
      </c>
      <c r="G202">
        <v>18.895</v>
      </c>
      <c r="H202">
        <v>18.188</v>
      </c>
      <c r="I202">
        <v>18.536</v>
      </c>
      <c r="J202">
        <v>19.023</v>
      </c>
      <c r="K202">
        <v>10.625</v>
      </c>
      <c r="T202">
        <v>17.939</v>
      </c>
    </row>
    <row r="203" spans="1:20">
      <c r="A203">
        <v>28.261</v>
      </c>
      <c r="B203">
        <v>26.395</v>
      </c>
      <c r="C203">
        <v>25.64</v>
      </c>
      <c r="D203">
        <v>25.728</v>
      </c>
      <c r="E203">
        <v>25.044</v>
      </c>
      <c r="F203">
        <v>24.628</v>
      </c>
      <c r="G203">
        <v>26.427</v>
      </c>
      <c r="H203">
        <v>24.003</v>
      </c>
      <c r="I203">
        <v>24.984</v>
      </c>
      <c r="J203">
        <v>22.691</v>
      </c>
      <c r="K203">
        <v>11.762</v>
      </c>
      <c r="T203">
        <v>25.485</v>
      </c>
    </row>
    <row r="204" spans="1:20">
      <c r="A204">
        <v>42.148</v>
      </c>
      <c r="B204">
        <v>40.713</v>
      </c>
      <c r="C204">
        <v>36.871</v>
      </c>
      <c r="D204">
        <v>33.078</v>
      </c>
      <c r="E204">
        <v>34.073</v>
      </c>
      <c r="F204">
        <v>36.269</v>
      </c>
      <c r="G204">
        <v>38.517</v>
      </c>
      <c r="H204">
        <v>30.553</v>
      </c>
      <c r="I204">
        <v>31.318</v>
      </c>
      <c r="J204">
        <v>29.33</v>
      </c>
      <c r="K204">
        <v>16.218</v>
      </c>
      <c r="T204">
        <v>34.631</v>
      </c>
    </row>
    <row r="205" spans="1:20">
      <c r="A205" t="s">
        <v>208</v>
      </c>
      <c r="B205" t="s">
        <v>969</v>
      </c>
      <c r="C205" t="s">
        <v>970</v>
      </c>
      <c r="D205" t="s">
        <v>971</v>
      </c>
      <c r="E205" t="s">
        <v>972</v>
      </c>
      <c r="F205" t="s">
        <v>973</v>
      </c>
      <c r="G205" t="s">
        <v>974</v>
      </c>
      <c r="H205" t="s">
        <v>893</v>
      </c>
      <c r="I205" t="s">
        <v>975</v>
      </c>
      <c r="J205" t="s">
        <v>976</v>
      </c>
      <c r="K205" t="s">
        <v>977</v>
      </c>
      <c r="T205" t="s">
        <v>978</v>
      </c>
    </row>
    <row r="206" spans="1:20">
      <c r="A206" t="s">
        <v>979</v>
      </c>
      <c r="B206" t="s">
        <v>980</v>
      </c>
      <c r="C206" t="s">
        <v>981</v>
      </c>
      <c r="D206" t="s">
        <v>982</v>
      </c>
      <c r="E206" t="s">
        <v>983</v>
      </c>
      <c r="F206" t="s">
        <v>984</v>
      </c>
      <c r="G206" t="s">
        <v>985</v>
      </c>
      <c r="H206" t="s">
        <v>905</v>
      </c>
      <c r="I206" t="s">
        <v>986</v>
      </c>
      <c r="J206" t="s">
        <v>987</v>
      </c>
      <c r="K206" t="s">
        <v>238</v>
      </c>
      <c r="T206" t="s">
        <v>988</v>
      </c>
    </row>
    <row r="207" spans="1:20">
      <c r="A207">
        <v>14.2233</v>
      </c>
      <c r="B207">
        <v>14.4733</v>
      </c>
      <c r="C207" s="21">
        <v>13.0533</v>
      </c>
      <c r="D207">
        <v>12.1467</v>
      </c>
      <c r="E207">
        <v>11.2333</v>
      </c>
      <c r="F207">
        <v>11.68</v>
      </c>
      <c r="G207">
        <v>10.9767</v>
      </c>
      <c r="H207">
        <v>10.44</v>
      </c>
      <c r="I207">
        <v>10.39</v>
      </c>
      <c r="J207">
        <v>9.99333</v>
      </c>
      <c r="K207">
        <v>8.60667</v>
      </c>
      <c r="T207">
        <v>10.7633</v>
      </c>
    </row>
    <row r="208" spans="1:20">
      <c r="A208" t="s">
        <v>97</v>
      </c>
      <c r="B208" t="s">
        <v>97</v>
      </c>
      <c r="C208" t="s">
        <v>97</v>
      </c>
      <c r="D208" t="s">
        <v>97</v>
      </c>
      <c r="E208" t="s">
        <v>97</v>
      </c>
      <c r="F208" t="s">
        <v>97</v>
      </c>
      <c r="G208" t="s">
        <v>97</v>
      </c>
      <c r="H208" t="s">
        <v>97</v>
      </c>
      <c r="I208" t="s">
        <v>97</v>
      </c>
      <c r="J208" t="s">
        <v>97</v>
      </c>
      <c r="K208" t="s">
        <v>97</v>
      </c>
      <c r="T208" t="s">
        <v>97</v>
      </c>
    </row>
    <row r="209" spans="1:20">
      <c r="A209" t="s">
        <v>104</v>
      </c>
      <c r="B209" t="s">
        <v>104</v>
      </c>
      <c r="C209" t="s">
        <v>104</v>
      </c>
      <c r="D209" t="s">
        <v>104</v>
      </c>
      <c r="E209" t="s">
        <v>104</v>
      </c>
      <c r="F209" t="s">
        <v>104</v>
      </c>
      <c r="G209" t="s">
        <v>104</v>
      </c>
      <c r="H209" t="s">
        <v>104</v>
      </c>
      <c r="I209" t="s">
        <v>104</v>
      </c>
      <c r="J209" t="s">
        <v>104</v>
      </c>
      <c r="K209" t="s">
        <v>104</v>
      </c>
      <c r="T209" t="s">
        <v>104</v>
      </c>
    </row>
    <row r="210" spans="1:20">
      <c r="A210" t="s">
        <v>42</v>
      </c>
      <c r="B210" t="s">
        <v>42</v>
      </c>
      <c r="C210" t="s">
        <v>42</v>
      </c>
      <c r="D210" t="s">
        <v>42</v>
      </c>
      <c r="E210" t="s">
        <v>42</v>
      </c>
      <c r="F210" t="s">
        <v>42</v>
      </c>
      <c r="G210" t="s">
        <v>42</v>
      </c>
      <c r="H210" t="s">
        <v>42</v>
      </c>
      <c r="I210" t="s">
        <v>42</v>
      </c>
      <c r="J210" t="s">
        <v>42</v>
      </c>
      <c r="K210" t="s">
        <v>42</v>
      </c>
      <c r="T210" t="s">
        <v>42</v>
      </c>
    </row>
    <row r="211" spans="1:20">
      <c r="A211" t="s">
        <v>43</v>
      </c>
      <c r="B211" t="s">
        <v>43</v>
      </c>
      <c r="C211" t="s">
        <v>43</v>
      </c>
      <c r="D211" t="s">
        <v>43</v>
      </c>
      <c r="E211" t="s">
        <v>43</v>
      </c>
      <c r="F211" t="s">
        <v>43</v>
      </c>
      <c r="G211" t="s">
        <v>43</v>
      </c>
      <c r="H211" t="s">
        <v>43</v>
      </c>
      <c r="I211" t="s">
        <v>43</v>
      </c>
      <c r="J211" t="s">
        <v>43</v>
      </c>
      <c r="K211" t="s">
        <v>43</v>
      </c>
      <c r="T211" t="s">
        <v>43</v>
      </c>
    </row>
    <row r="212" spans="1:20">
      <c r="A212" t="s">
        <v>44</v>
      </c>
      <c r="B212" t="s">
        <v>44</v>
      </c>
      <c r="C212" t="s">
        <v>44</v>
      </c>
      <c r="D212" t="s">
        <v>44</v>
      </c>
      <c r="E212" t="s">
        <v>44</v>
      </c>
      <c r="F212" t="s">
        <v>44</v>
      </c>
      <c r="G212" t="s">
        <v>44</v>
      </c>
      <c r="H212" t="s">
        <v>44</v>
      </c>
      <c r="I212" t="s">
        <v>44</v>
      </c>
      <c r="J212" t="s">
        <v>44</v>
      </c>
      <c r="K212" t="s">
        <v>44</v>
      </c>
      <c r="T212" t="s">
        <v>44</v>
      </c>
    </row>
    <row r="213" spans="1:20">
      <c r="A213" t="s">
        <v>989</v>
      </c>
      <c r="B213" t="s">
        <v>990</v>
      </c>
      <c r="C213" t="s">
        <v>991</v>
      </c>
      <c r="D213" t="s">
        <v>992</v>
      </c>
      <c r="E213" t="s">
        <v>993</v>
      </c>
      <c r="F213" t="s">
        <v>994</v>
      </c>
      <c r="G213" t="s">
        <v>995</v>
      </c>
      <c r="H213" t="s">
        <v>996</v>
      </c>
      <c r="I213" t="s">
        <v>997</v>
      </c>
      <c r="J213" t="s">
        <v>998</v>
      </c>
      <c r="K213" t="s">
        <v>999</v>
      </c>
      <c r="T213" t="s">
        <v>1000</v>
      </c>
    </row>
    <row r="214" spans="1:20">
      <c r="A214">
        <v>1827.64</v>
      </c>
      <c r="B214">
        <v>1783.07</v>
      </c>
      <c r="C214">
        <v>1728.62</v>
      </c>
      <c r="D214">
        <v>1657.37</v>
      </c>
      <c r="E214">
        <v>1582.72</v>
      </c>
      <c r="F214">
        <v>1372.31</v>
      </c>
      <c r="G214" s="21">
        <v>1334.63</v>
      </c>
      <c r="H214">
        <v>1316.45</v>
      </c>
      <c r="I214">
        <v>1312.99</v>
      </c>
      <c r="J214">
        <v>1244.61</v>
      </c>
      <c r="K214">
        <v>1206.68</v>
      </c>
      <c r="T214">
        <v>1390.43</v>
      </c>
    </row>
    <row r="215" spans="1:20">
      <c r="A215">
        <v>1.22169</v>
      </c>
      <c r="B215">
        <v>1.19189</v>
      </c>
      <c r="C215">
        <v>1.1555</v>
      </c>
      <c r="D215">
        <v>1.10787</v>
      </c>
      <c r="E215">
        <v>1.05797</v>
      </c>
      <c r="F215">
        <v>0.917319</v>
      </c>
      <c r="G215">
        <v>0.892133</v>
      </c>
      <c r="H215">
        <v>0.879977</v>
      </c>
      <c r="I215">
        <v>0.877669</v>
      </c>
      <c r="J215">
        <v>0.831961</v>
      </c>
      <c r="K215">
        <v>0.806604</v>
      </c>
      <c r="T215">
        <v>0.929432</v>
      </c>
    </row>
    <row r="216" spans="2:20">
      <c r="B216" t="s">
        <v>1001</v>
      </c>
      <c r="C216" t="s">
        <v>1002</v>
      </c>
      <c r="D216" t="s">
        <v>1003</v>
      </c>
      <c r="E216" t="s">
        <v>1004</v>
      </c>
      <c r="F216" t="s">
        <v>1005</v>
      </c>
      <c r="G216" t="s">
        <v>1006</v>
      </c>
      <c r="H216" t="s">
        <v>1007</v>
      </c>
      <c r="I216" t="s">
        <v>1008</v>
      </c>
      <c r="J216" t="s">
        <v>1009</v>
      </c>
      <c r="K216" t="s">
        <v>1010</v>
      </c>
      <c r="T216" t="s">
        <v>1011</v>
      </c>
    </row>
    <row r="217" spans="2:20">
      <c r="B217" t="s">
        <v>1012</v>
      </c>
      <c r="C217" t="s">
        <v>1013</v>
      </c>
      <c r="D217" t="s">
        <v>1014</v>
      </c>
      <c r="E217" t="s">
        <v>1015</v>
      </c>
      <c r="F217" t="s">
        <v>1016</v>
      </c>
      <c r="G217" t="s">
        <v>1017</v>
      </c>
      <c r="H217" t="s">
        <v>1018</v>
      </c>
      <c r="I217" t="s">
        <v>1019</v>
      </c>
      <c r="J217" t="s">
        <v>1020</v>
      </c>
      <c r="K217" t="s">
        <v>1021</v>
      </c>
      <c r="T217" t="s">
        <v>1022</v>
      </c>
    </row>
    <row r="218" spans="2:20">
      <c r="B218" t="s">
        <v>1023</v>
      </c>
      <c r="C218" t="s">
        <v>1024</v>
      </c>
      <c r="D218" t="s">
        <v>1025</v>
      </c>
      <c r="E218" t="s">
        <v>1026</v>
      </c>
      <c r="F218" t="s">
        <v>1027</v>
      </c>
      <c r="G218" t="s">
        <v>1028</v>
      </c>
      <c r="H218" t="s">
        <v>1029</v>
      </c>
      <c r="I218" t="s">
        <v>1030</v>
      </c>
      <c r="J218" t="s">
        <v>1031</v>
      </c>
      <c r="K218" t="s">
        <v>1032</v>
      </c>
      <c r="T218" t="s">
        <v>1033</v>
      </c>
    </row>
    <row r="219" spans="1:20">
      <c r="A219" t="s">
        <v>1034</v>
      </c>
      <c r="B219">
        <v>19.032</v>
      </c>
      <c r="C219" t="s">
        <v>1035</v>
      </c>
      <c r="D219" t="s">
        <v>1036</v>
      </c>
      <c r="E219">
        <v>19.878</v>
      </c>
      <c r="F219">
        <v>25.755</v>
      </c>
      <c r="G219">
        <v>27.227</v>
      </c>
      <c r="H219">
        <v>28.332</v>
      </c>
      <c r="I219" t="s">
        <v>1037</v>
      </c>
      <c r="J219" t="s">
        <v>1038</v>
      </c>
      <c r="T219" t="s">
        <v>1039</v>
      </c>
    </row>
    <row r="220" spans="1:20">
      <c r="A220" t="s">
        <v>1040</v>
      </c>
      <c r="B220">
        <v>24.357</v>
      </c>
      <c r="C220" t="s">
        <v>1041</v>
      </c>
      <c r="D220" t="s">
        <v>1042</v>
      </c>
      <c r="E220">
        <v>25.608</v>
      </c>
      <c r="F220">
        <v>35.389</v>
      </c>
      <c r="G220">
        <v>32.177</v>
      </c>
      <c r="H220">
        <v>34.218</v>
      </c>
      <c r="I220" t="s">
        <v>1043</v>
      </c>
      <c r="J220" t="s">
        <v>1044</v>
      </c>
      <c r="T220" t="s">
        <v>1045</v>
      </c>
    </row>
    <row r="221" spans="1:20">
      <c r="A221" t="s">
        <v>1046</v>
      </c>
      <c r="B221">
        <v>34.066</v>
      </c>
      <c r="C221" t="s">
        <v>1047</v>
      </c>
      <c r="D221" t="s">
        <v>1048</v>
      </c>
      <c r="E221">
        <v>32.715</v>
      </c>
      <c r="F221">
        <v>42.054</v>
      </c>
      <c r="G221" s="21">
        <v>36.565</v>
      </c>
      <c r="H221">
        <v>64.862</v>
      </c>
      <c r="I221" t="s">
        <v>1049</v>
      </c>
      <c r="J221" t="s">
        <v>1050</v>
      </c>
      <c r="T221" t="s">
        <v>1051</v>
      </c>
    </row>
    <row r="222" spans="1:20">
      <c r="A222">
        <v>22.365</v>
      </c>
      <c r="B222">
        <v>19.222</v>
      </c>
      <c r="C222">
        <v>18.592</v>
      </c>
      <c r="D222">
        <v>18.867</v>
      </c>
      <c r="E222">
        <v>17.797</v>
      </c>
      <c r="F222">
        <v>20.392</v>
      </c>
      <c r="G222" s="21">
        <v>21.697</v>
      </c>
      <c r="H222">
        <v>21.542</v>
      </c>
      <c r="I222">
        <v>19.783</v>
      </c>
      <c r="J222">
        <v>20.728</v>
      </c>
      <c r="K222">
        <v>9.57</v>
      </c>
      <c r="T222" s="21">
        <v>19.702</v>
      </c>
    </row>
    <row r="223" spans="1:20">
      <c r="A223">
        <v>25.376</v>
      </c>
      <c r="B223">
        <v>24.366</v>
      </c>
      <c r="C223">
        <v>25.227</v>
      </c>
      <c r="D223">
        <v>28.194</v>
      </c>
      <c r="E223">
        <v>25.533</v>
      </c>
      <c r="F223">
        <v>26.061</v>
      </c>
      <c r="G223">
        <v>27.586</v>
      </c>
      <c r="H223">
        <v>26.592</v>
      </c>
      <c r="I223">
        <v>24.891</v>
      </c>
      <c r="J223">
        <v>26.435</v>
      </c>
      <c r="K223">
        <v>10.304</v>
      </c>
      <c r="T223">
        <v>28.738</v>
      </c>
    </row>
    <row r="224" spans="1:20">
      <c r="A224">
        <v>33.45</v>
      </c>
      <c r="B224">
        <v>34.066</v>
      </c>
      <c r="C224">
        <v>29.562</v>
      </c>
      <c r="D224">
        <v>44.223</v>
      </c>
      <c r="E224">
        <v>32.715</v>
      </c>
      <c r="F224">
        <v>41.042</v>
      </c>
      <c r="G224">
        <v>36.565</v>
      </c>
      <c r="H224">
        <v>35.66</v>
      </c>
      <c r="I224">
        <v>32.897</v>
      </c>
      <c r="J224">
        <v>36.512</v>
      </c>
      <c r="K224">
        <v>14.206</v>
      </c>
      <c r="T224">
        <v>41.247</v>
      </c>
    </row>
    <row r="225" spans="1:20">
      <c r="A225" t="s">
        <v>208</v>
      </c>
      <c r="B225" t="s">
        <v>1052</v>
      </c>
      <c r="C225" t="s">
        <v>1053</v>
      </c>
      <c r="D225" t="s">
        <v>1054</v>
      </c>
      <c r="E225" t="s">
        <v>1055</v>
      </c>
      <c r="F225" t="s">
        <v>1056</v>
      </c>
      <c r="G225" t="s">
        <v>1057</v>
      </c>
      <c r="H225" t="s">
        <v>1058</v>
      </c>
      <c r="I225" t="s">
        <v>1059</v>
      </c>
      <c r="J225" t="s">
        <v>1060</v>
      </c>
      <c r="K225" t="s">
        <v>1061</v>
      </c>
      <c r="T225" t="s">
        <v>1062</v>
      </c>
    </row>
    <row r="226" spans="1:20">
      <c r="A226" t="s">
        <v>1063</v>
      </c>
      <c r="B226" t="s">
        <v>1064</v>
      </c>
      <c r="C226" t="s">
        <v>1065</v>
      </c>
      <c r="D226" t="s">
        <v>1066</v>
      </c>
      <c r="E226" t="s">
        <v>1067</v>
      </c>
      <c r="F226" t="s">
        <v>1068</v>
      </c>
      <c r="G226" t="s">
        <v>1069</v>
      </c>
      <c r="H226" t="s">
        <v>1070</v>
      </c>
      <c r="I226" t="s">
        <v>1071</v>
      </c>
      <c r="J226" t="s">
        <v>1072</v>
      </c>
      <c r="K226" t="s">
        <v>238</v>
      </c>
      <c r="T226" t="s">
        <v>1073</v>
      </c>
    </row>
    <row r="227" spans="1:20">
      <c r="A227">
        <v>14.2467</v>
      </c>
      <c r="B227">
        <v>13.5433</v>
      </c>
      <c r="C227">
        <v>12.5733</v>
      </c>
      <c r="D227">
        <v>12.91</v>
      </c>
      <c r="E227">
        <v>11.1767</v>
      </c>
      <c r="F227">
        <v>12.0167</v>
      </c>
      <c r="G227" s="21">
        <v>11.29</v>
      </c>
      <c r="H227">
        <v>10.8433</v>
      </c>
      <c r="I227">
        <v>10.3633</v>
      </c>
      <c r="J227">
        <v>10.62</v>
      </c>
      <c r="K227">
        <v>8.12667</v>
      </c>
      <c r="T227" s="21">
        <v>11.6567</v>
      </c>
    </row>
    <row r="228" spans="1:20">
      <c r="A228" t="s">
        <v>1074</v>
      </c>
      <c r="B228" t="s">
        <v>97</v>
      </c>
      <c r="C228" t="s">
        <v>97</v>
      </c>
      <c r="D228" t="s">
        <v>97</v>
      </c>
      <c r="E228" t="s">
        <v>97</v>
      </c>
      <c r="F228" t="s">
        <v>97</v>
      </c>
      <c r="G228" t="s">
        <v>97</v>
      </c>
      <c r="H228" t="s">
        <v>1075</v>
      </c>
      <c r="I228" t="s">
        <v>97</v>
      </c>
      <c r="J228" t="s">
        <v>97</v>
      </c>
      <c r="K228" t="s">
        <v>97</v>
      </c>
      <c r="T228" t="s">
        <v>97</v>
      </c>
    </row>
    <row r="229" spans="1:22">
      <c r="A229">
        <f t="shared" ref="A229:K229" si="25">AVERAGE(A175,A195,A215)</f>
        <v>1.22257666666667</v>
      </c>
      <c r="B229">
        <f t="shared" si="25"/>
        <v>1.17626666666667</v>
      </c>
      <c r="C229">
        <f t="shared" si="25"/>
        <v>1.14170333333333</v>
      </c>
      <c r="D229">
        <f t="shared" si="25"/>
        <v>1.10851</v>
      </c>
      <c r="E229">
        <f t="shared" si="25"/>
        <v>1.07403333333333</v>
      </c>
      <c r="F229">
        <f t="shared" si="25"/>
        <v>0.918543666666667</v>
      </c>
      <c r="G229">
        <f t="shared" si="25"/>
        <v>0.890469666666667</v>
      </c>
      <c r="H229">
        <f t="shared" si="25"/>
        <v>0.883725666666667</v>
      </c>
      <c r="I229">
        <f t="shared" si="25"/>
        <v>0.863673</v>
      </c>
      <c r="J229">
        <f t="shared" si="25"/>
        <v>0.842563</v>
      </c>
      <c r="K229">
        <f t="shared" si="25"/>
        <v>0.802140333333333</v>
      </c>
      <c r="T229">
        <f>AVERAGE(T175,T195,T215)</f>
        <v>0.950435333333333</v>
      </c>
      <c r="V229">
        <f>(((T215-T229)^2+(T195-T229)^2+(T175-T229)^2)/3)^(1/2)</f>
        <v>0.0150175794173214</v>
      </c>
    </row>
    <row r="230" spans="1:20">
      <c r="A230">
        <f t="shared" ref="A230:K232" si="26">AVERAGE(A182,A202,A222)</f>
        <v>24.413</v>
      </c>
      <c r="B230">
        <f t="shared" si="26"/>
        <v>22.0796666666667</v>
      </c>
      <c r="C230">
        <f>AVERAGE(C182,C202,C222)</f>
        <v>19.0526666666667</v>
      </c>
      <c r="D230">
        <f>AVERAGE(D182,D202,D222)</f>
        <v>18.275</v>
      </c>
      <c r="E230">
        <f t="shared" si="26"/>
        <v>17.2163333333333</v>
      </c>
      <c r="F230">
        <f t="shared" si="26"/>
        <v>20.496</v>
      </c>
      <c r="G230">
        <f t="shared" si="26"/>
        <v>19.5933333333333</v>
      </c>
      <c r="H230">
        <f t="shared" si="26"/>
        <v>19.437</v>
      </c>
      <c r="I230">
        <f t="shared" si="26"/>
        <v>18.996</v>
      </c>
      <c r="J230">
        <f t="shared" si="26"/>
        <v>19.2313333333333</v>
      </c>
      <c r="K230">
        <f t="shared" si="26"/>
        <v>9.991</v>
      </c>
      <c r="T230">
        <f>(((T215-T229)^2+(T195-T229)^2+(T175-T229)^2)/3)^(1/2)</f>
        <v>0.0150175794173214</v>
      </c>
    </row>
    <row r="231" spans="1:11">
      <c r="A231">
        <f t="shared" si="26"/>
        <v>27.4456666666667</v>
      </c>
      <c r="B231">
        <f t="shared" si="26"/>
        <v>26.2523333333333</v>
      </c>
      <c r="C231">
        <f t="shared" si="26"/>
        <v>24.5123333333333</v>
      </c>
      <c r="D231">
        <f t="shared" si="26"/>
        <v>25.564</v>
      </c>
      <c r="E231">
        <f t="shared" si="26"/>
        <v>23.8993333333333</v>
      </c>
      <c r="F231">
        <f t="shared" si="26"/>
        <v>25.892</v>
      </c>
      <c r="G231">
        <f t="shared" si="26"/>
        <v>26.0053333333333</v>
      </c>
      <c r="H231">
        <f t="shared" si="26"/>
        <v>24.8523333333333</v>
      </c>
      <c r="I231">
        <f t="shared" si="26"/>
        <v>24.8613333333333</v>
      </c>
      <c r="J231">
        <f>AVERAGE(J183,J203,J223)</f>
        <v>24.0416666666667</v>
      </c>
      <c r="K231">
        <f t="shared" si="26"/>
        <v>10.7453333333333</v>
      </c>
    </row>
    <row r="232" spans="1:11">
      <c r="A232">
        <f t="shared" si="26"/>
        <v>36.2513333333333</v>
      </c>
      <c r="B232">
        <f t="shared" si="26"/>
        <v>40.2193333333333</v>
      </c>
      <c r="C232">
        <f t="shared" si="26"/>
        <v>33.17</v>
      </c>
      <c r="D232">
        <f t="shared" si="26"/>
        <v>40.2883333333333</v>
      </c>
      <c r="E232">
        <f t="shared" si="26"/>
        <v>33.971</v>
      </c>
      <c r="F232">
        <f t="shared" si="26"/>
        <v>37.3076666666667</v>
      </c>
      <c r="G232">
        <f t="shared" si="26"/>
        <v>35.2116666666667</v>
      </c>
      <c r="H232">
        <f t="shared" si="26"/>
        <v>34.8516666666667</v>
      </c>
      <c r="I232">
        <f t="shared" si="26"/>
        <v>34.6503333333333</v>
      </c>
      <c r="J232">
        <f t="shared" si="26"/>
        <v>32.5593333333333</v>
      </c>
      <c r="K232">
        <f t="shared" si="26"/>
        <v>14.8723333333333</v>
      </c>
    </row>
    <row r="233" spans="1:11">
      <c r="A233">
        <f t="shared" ref="A233:K233" si="27">AVERAGE(A227,A207,A187)</f>
        <v>14.3844333333333</v>
      </c>
      <c r="B233">
        <f t="shared" si="27"/>
        <v>14.1566333333333</v>
      </c>
      <c r="C233">
        <f t="shared" si="27"/>
        <v>12.5711</v>
      </c>
      <c r="D233">
        <f t="shared" si="27"/>
        <v>12.3378</v>
      </c>
      <c r="E233">
        <f t="shared" si="27"/>
        <v>11.2377666666667</v>
      </c>
      <c r="F233">
        <f t="shared" si="27"/>
        <v>11.8633333333333</v>
      </c>
      <c r="G233">
        <f t="shared" si="27"/>
        <v>10.9022333333333</v>
      </c>
      <c r="H233">
        <f t="shared" si="27"/>
        <v>10.7266666666667</v>
      </c>
      <c r="I233">
        <f t="shared" si="27"/>
        <v>10.4655333333333</v>
      </c>
      <c r="J233">
        <f t="shared" si="27"/>
        <v>10.2133433333333</v>
      </c>
      <c r="K233">
        <f t="shared" si="27"/>
        <v>8.27778</v>
      </c>
    </row>
    <row r="234" spans="1:11">
      <c r="A234" s="6">
        <f t="shared" ref="A234:K234" si="28">(((A215-A229)^2+(A195-A229)^2+(A175-A229)^2)/3)^(1/2)</f>
        <v>0.0193937658941104</v>
      </c>
      <c r="B234" s="6">
        <f t="shared" si="28"/>
        <v>0.0115710164731635</v>
      </c>
      <c r="C234" s="6">
        <f t="shared" si="28"/>
        <v>0.0372071824010126</v>
      </c>
      <c r="D234" s="6">
        <f t="shared" si="28"/>
        <v>0.0175196974859727</v>
      </c>
      <c r="E234" s="6">
        <f t="shared" si="28"/>
        <v>0.0171853626347799</v>
      </c>
      <c r="F234" s="6">
        <f t="shared" si="28"/>
        <v>0.0015687065443295</v>
      </c>
      <c r="G234" s="6">
        <f t="shared" si="28"/>
        <v>0.00256155907386283</v>
      </c>
      <c r="H234" s="6">
        <f t="shared" si="28"/>
        <v>0.00617089952023926</v>
      </c>
      <c r="I234" s="6">
        <f t="shared" si="28"/>
        <v>0.0159183104631114</v>
      </c>
      <c r="J234" s="6">
        <f t="shared" si="28"/>
        <v>0.00753718904278426</v>
      </c>
      <c r="K234" s="6">
        <f t="shared" si="28"/>
        <v>0.0054081113359677</v>
      </c>
    </row>
    <row r="235" spans="1:11">
      <c r="A235">
        <f t="shared" ref="A235:K237" si="29">(((A222-A230)^2+(A202-A230)^2+(A182-A230)^2)/3)^(1/2)</f>
        <v>1.46778222726216</v>
      </c>
      <c r="B235">
        <f t="shared" si="29"/>
        <v>2.04529546901066</v>
      </c>
      <c r="C235">
        <f t="shared" si="29"/>
        <v>0.851843621538341</v>
      </c>
      <c r="D235">
        <f t="shared" si="29"/>
        <v>0.526948447826414</v>
      </c>
      <c r="E235">
        <f t="shared" si="29"/>
        <v>1.16708306854692</v>
      </c>
      <c r="F235">
        <f t="shared" si="29"/>
        <v>0.79296952442491</v>
      </c>
      <c r="G235">
        <f t="shared" si="29"/>
        <v>1.51526066697743</v>
      </c>
      <c r="H235">
        <f t="shared" si="29"/>
        <v>1.4970818280909</v>
      </c>
      <c r="I235">
        <f t="shared" si="29"/>
        <v>0.559135642457773</v>
      </c>
      <c r="J235">
        <f t="shared" si="29"/>
        <v>1.14647527472491</v>
      </c>
      <c r="K235">
        <f t="shared" si="29"/>
        <v>0.456276962673623</v>
      </c>
    </row>
    <row r="236" spans="1:11">
      <c r="A236">
        <f t="shared" si="29"/>
        <v>1.47440843127751</v>
      </c>
      <c r="B236">
        <f t="shared" si="29"/>
        <v>1.48537096002611</v>
      </c>
      <c r="C236">
        <f t="shared" si="29"/>
        <v>1.31359210648596</v>
      </c>
      <c r="D236">
        <f t="shared" si="29"/>
        <v>2.21737322072762</v>
      </c>
      <c r="E236">
        <f t="shared" si="29"/>
        <v>1.97469530701715</v>
      </c>
      <c r="F236">
        <f t="shared" si="29"/>
        <v>0.970443541205085</v>
      </c>
      <c r="G236">
        <f t="shared" si="29"/>
        <v>1.49283272859204</v>
      </c>
      <c r="H236">
        <f t="shared" si="29"/>
        <v>1.23024396857787</v>
      </c>
      <c r="I236">
        <f t="shared" si="29"/>
        <v>0.114211305141927</v>
      </c>
      <c r="J236">
        <f t="shared" si="29"/>
        <v>1.69700703855019</v>
      </c>
      <c r="K236">
        <f t="shared" si="29"/>
        <v>0.720970333801761</v>
      </c>
    </row>
    <row r="237" spans="1:11">
      <c r="A237">
        <f t="shared" si="29"/>
        <v>4.17130014370686</v>
      </c>
      <c r="B237">
        <f t="shared" si="29"/>
        <v>4.83525403216372</v>
      </c>
      <c r="C237">
        <f t="shared" si="29"/>
        <v>2.9846113091434</v>
      </c>
      <c r="D237">
        <f t="shared" si="29"/>
        <v>5.10556887678107</v>
      </c>
      <c r="E237">
        <f t="shared" si="29"/>
        <v>0.986518457337045</v>
      </c>
      <c r="F237">
        <f t="shared" si="29"/>
        <v>2.72584498621783</v>
      </c>
      <c r="G237">
        <f t="shared" si="29"/>
        <v>3.38919433231885</v>
      </c>
      <c r="H237">
        <f t="shared" si="29"/>
        <v>3.2308081892238</v>
      </c>
      <c r="I237">
        <f t="shared" si="29"/>
        <v>3.65342892210713</v>
      </c>
      <c r="J237">
        <f t="shared" si="29"/>
        <v>2.9763164407629</v>
      </c>
      <c r="K237">
        <f t="shared" si="29"/>
        <v>0.951544825825644</v>
      </c>
    </row>
    <row r="238" spans="1:11">
      <c r="A238" s="6">
        <f t="shared" ref="A238:K238" si="30">(((A227-A233)^2+(A207-A233)^2+(A187-A233)^2)/3)^(1/2)</f>
        <v>0.211546454052584</v>
      </c>
      <c r="B238" s="6">
        <f t="shared" si="30"/>
        <v>0.433769011751134</v>
      </c>
      <c r="C238" s="6">
        <f t="shared" si="30"/>
        <v>0.394615863847362</v>
      </c>
      <c r="D238" s="6">
        <f t="shared" si="30"/>
        <v>0.411974618959308</v>
      </c>
      <c r="E238" s="6">
        <f t="shared" si="30"/>
        <v>0.0517806484659622</v>
      </c>
      <c r="F238" s="6">
        <f t="shared" si="30"/>
        <v>0.139080847790852</v>
      </c>
      <c r="G238" s="6">
        <f t="shared" si="30"/>
        <v>0.350983345600456</v>
      </c>
      <c r="H238" s="6">
        <f t="shared" si="30"/>
        <v>0.20387287433322</v>
      </c>
      <c r="I238" s="6">
        <f t="shared" si="30"/>
        <v>0.126171743623082</v>
      </c>
      <c r="J238" s="6">
        <f t="shared" si="30"/>
        <v>0.28787222007149</v>
      </c>
      <c r="K238" s="6">
        <f t="shared" si="30"/>
        <v>0.232815085851411</v>
      </c>
    </row>
    <row r="242" s="27" customFormat="1" spans="1:2">
      <c r="A242" s="27" t="s">
        <v>1076</v>
      </c>
      <c r="B242" s="27" t="s">
        <v>99</v>
      </c>
    </row>
    <row r="243" spans="1:28">
      <c r="A243" s="5">
        <v>0</v>
      </c>
      <c r="B243" s="5">
        <v>10</v>
      </c>
      <c r="C243" s="5">
        <v>20</v>
      </c>
      <c r="D243" s="5">
        <v>30</v>
      </c>
      <c r="E243" s="5">
        <v>40</v>
      </c>
      <c r="F243" s="5">
        <v>50</v>
      </c>
      <c r="G243" s="5">
        <v>60</v>
      </c>
      <c r="H243" s="5">
        <v>70</v>
      </c>
      <c r="I243" s="5">
        <v>80</v>
      </c>
      <c r="J243" s="5">
        <v>90</v>
      </c>
      <c r="K243" s="5">
        <v>100</v>
      </c>
      <c r="T243" s="5" t="s">
        <v>19</v>
      </c>
      <c r="U243" s="5"/>
      <c r="V243" s="5">
        <v>16</v>
      </c>
      <c r="W243" s="5">
        <v>32</v>
      </c>
      <c r="X243" s="5">
        <v>64</v>
      </c>
      <c r="Y243" s="5">
        <v>128</v>
      </c>
      <c r="Z243" s="5">
        <v>256</v>
      </c>
      <c r="AA243" s="5">
        <v>512</v>
      </c>
      <c r="AB243" s="5"/>
    </row>
    <row r="244" spans="1:22">
      <c r="A244" s="14" t="s">
        <v>104</v>
      </c>
      <c r="B244" s="14" t="s">
        <v>104</v>
      </c>
      <c r="C244" s="14" t="s">
        <v>104</v>
      </c>
      <c r="D244" s="14" t="s">
        <v>104</v>
      </c>
      <c r="E244" s="14" t="s">
        <v>104</v>
      </c>
      <c r="F244" s="14" t="s">
        <v>104</v>
      </c>
      <c r="G244" s="14" t="s">
        <v>104</v>
      </c>
      <c r="H244" s="14" t="s">
        <v>104</v>
      </c>
      <c r="I244" s="14" t="s">
        <v>104</v>
      </c>
      <c r="J244" s="14" t="s">
        <v>104</v>
      </c>
      <c r="K244" s="14" t="s">
        <v>104</v>
      </c>
      <c r="O244" t="s">
        <v>511</v>
      </c>
      <c r="P244" t="s">
        <v>512</v>
      </c>
      <c r="T244" s="14" t="s">
        <v>104</v>
      </c>
      <c r="V244" t="s">
        <v>104</v>
      </c>
    </row>
    <row r="245" spans="1:26">
      <c r="A245" s="14" t="s">
        <v>42</v>
      </c>
      <c r="B245" s="14" t="s">
        <v>42</v>
      </c>
      <c r="C245" s="14" t="s">
        <v>42</v>
      </c>
      <c r="D245" s="14" t="s">
        <v>42</v>
      </c>
      <c r="E245" s="14" t="s">
        <v>42</v>
      </c>
      <c r="F245" s="14" t="s">
        <v>42</v>
      </c>
      <c r="G245" s="14" t="s">
        <v>42</v>
      </c>
      <c r="H245" s="14" t="s">
        <v>42</v>
      </c>
      <c r="I245" s="14" t="s">
        <v>42</v>
      </c>
      <c r="J245" s="14" t="s">
        <v>42</v>
      </c>
      <c r="K245" s="14" t="s">
        <v>42</v>
      </c>
      <c r="O245" t="s">
        <v>104</v>
      </c>
      <c r="P245" t="s">
        <v>104</v>
      </c>
      <c r="T245" s="14" t="s">
        <v>42</v>
      </c>
      <c r="V245" t="s">
        <v>42</v>
      </c>
      <c r="Z245" t="s">
        <v>1077</v>
      </c>
    </row>
    <row r="246" ht="17" spans="1:26">
      <c r="A246" s="14" t="s">
        <v>105</v>
      </c>
      <c r="B246" s="14" t="s">
        <v>105</v>
      </c>
      <c r="C246" s="14" t="s">
        <v>105</v>
      </c>
      <c r="D246" s="14" t="s">
        <v>105</v>
      </c>
      <c r="E246" s="14" t="s">
        <v>105</v>
      </c>
      <c r="F246" s="14" t="s">
        <v>105</v>
      </c>
      <c r="G246" s="14" t="s">
        <v>105</v>
      </c>
      <c r="H246" s="14" t="s">
        <v>105</v>
      </c>
      <c r="I246" s="14" t="s">
        <v>105</v>
      </c>
      <c r="J246" s="14" t="s">
        <v>105</v>
      </c>
      <c r="K246" s="14" t="s">
        <v>105</v>
      </c>
      <c r="O246" t="s">
        <v>42</v>
      </c>
      <c r="P246" t="s">
        <v>42</v>
      </c>
      <c r="T246" s="14" t="s">
        <v>105</v>
      </c>
      <c r="V246" t="s">
        <v>43</v>
      </c>
      <c r="Z246">
        <v>397.685</v>
      </c>
    </row>
    <row r="247" spans="1:26">
      <c r="A247" s="14" t="s">
        <v>44</v>
      </c>
      <c r="B247" s="14" t="s">
        <v>44</v>
      </c>
      <c r="C247" s="14" t="s">
        <v>44</v>
      </c>
      <c r="D247" s="14" t="s">
        <v>44</v>
      </c>
      <c r="E247" s="14" t="s">
        <v>44</v>
      </c>
      <c r="F247" s="14" t="s">
        <v>44</v>
      </c>
      <c r="G247" s="14" t="s">
        <v>44</v>
      </c>
      <c r="H247" s="14" t="s">
        <v>44</v>
      </c>
      <c r="I247" s="14" t="s">
        <v>44</v>
      </c>
      <c r="J247" s="14" t="s">
        <v>44</v>
      </c>
      <c r="K247" s="14" t="s">
        <v>44</v>
      </c>
      <c r="O247" t="s">
        <v>43</v>
      </c>
      <c r="P247" t="s">
        <v>43</v>
      </c>
      <c r="T247" s="14" t="s">
        <v>44</v>
      </c>
      <c r="V247" t="s">
        <v>44</v>
      </c>
      <c r="Z247">
        <v>0.268706</v>
      </c>
    </row>
    <row r="248" spans="1:26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O248" t="s">
        <v>44</v>
      </c>
      <c r="P248" t="s">
        <v>44</v>
      </c>
      <c r="V248" t="s">
        <v>1078</v>
      </c>
      <c r="Z248" t="s">
        <v>1079</v>
      </c>
    </row>
    <row r="249" spans="1:26">
      <c r="A249" s="14">
        <v>2709.69</v>
      </c>
      <c r="B249" s="14">
        <v>2601.68</v>
      </c>
      <c r="C249" s="14">
        <v>2295.32</v>
      </c>
      <c r="D249" s="14">
        <v>1767.87</v>
      </c>
      <c r="E249" s="14">
        <v>1427.08</v>
      </c>
      <c r="F249" s="14">
        <v>1184.93</v>
      </c>
      <c r="G249" s="14">
        <v>980.828</v>
      </c>
      <c r="H249" s="14">
        <v>867.152</v>
      </c>
      <c r="I249" s="14">
        <v>793.006</v>
      </c>
      <c r="J249" s="14">
        <v>685.923</v>
      </c>
      <c r="K249" s="14">
        <v>643.013</v>
      </c>
      <c r="T249" s="14">
        <v>1140.79</v>
      </c>
      <c r="V249">
        <v>1112.1</v>
      </c>
      <c r="Z249" t="s">
        <v>1080</v>
      </c>
    </row>
    <row r="250" spans="1:26">
      <c r="A250" s="14">
        <v>1.81129</v>
      </c>
      <c r="B250" s="14">
        <v>1.73909</v>
      </c>
      <c r="C250" s="14">
        <v>1.53431</v>
      </c>
      <c r="D250" s="14">
        <v>1.18173</v>
      </c>
      <c r="E250" s="14">
        <v>0.953929</v>
      </c>
      <c r="F250" s="14">
        <v>0.792066</v>
      </c>
      <c r="G250" s="14">
        <v>0.655634</v>
      </c>
      <c r="H250" s="14">
        <v>0.579647</v>
      </c>
      <c r="I250" s="14">
        <v>0.530084</v>
      </c>
      <c r="J250" s="14">
        <v>0.458505</v>
      </c>
      <c r="K250" s="14">
        <v>0.429822</v>
      </c>
      <c r="O250">
        <v>621.998</v>
      </c>
      <c r="P250">
        <v>553.592</v>
      </c>
      <c r="T250" s="14">
        <v>0.762563</v>
      </c>
      <c r="V250">
        <v>0.751418</v>
      </c>
      <c r="Z250" t="s">
        <v>1081</v>
      </c>
    </row>
    <row r="251" ht="17" spans="1:26">
      <c r="A251" s="14"/>
      <c r="B251" s="14" t="s">
        <v>1082</v>
      </c>
      <c r="C251" s="14" t="s">
        <v>1083</v>
      </c>
      <c r="D251" s="14" t="s">
        <v>1084</v>
      </c>
      <c r="E251" s="14" t="s">
        <v>1085</v>
      </c>
      <c r="F251" s="14" t="s">
        <v>1086</v>
      </c>
      <c r="G251" s="14" t="s">
        <v>1087</v>
      </c>
      <c r="H251" s="14" t="s">
        <v>1088</v>
      </c>
      <c r="I251" s="14" t="s">
        <v>1089</v>
      </c>
      <c r="J251" s="14" t="s">
        <v>1090</v>
      </c>
      <c r="K251" s="14" t="s">
        <v>1091</v>
      </c>
      <c r="O251">
        <v>0.420269</v>
      </c>
      <c r="P251">
        <v>0.374049</v>
      </c>
      <c r="T251" s="14" t="s">
        <v>1092</v>
      </c>
      <c r="V251" t="s">
        <v>1093</v>
      </c>
      <c r="Z251">
        <v>105.366</v>
      </c>
    </row>
    <row r="252" ht="17" spans="1:26">
      <c r="A252" s="14"/>
      <c r="B252" s="14" t="s">
        <v>1094</v>
      </c>
      <c r="C252" s="14" t="s">
        <v>1095</v>
      </c>
      <c r="D252" s="14" t="s">
        <v>1096</v>
      </c>
      <c r="E252" s="14" t="s">
        <v>1097</v>
      </c>
      <c r="F252" s="14" t="s">
        <v>1098</v>
      </c>
      <c r="G252" s="14" t="s">
        <v>1099</v>
      </c>
      <c r="H252" s="14" t="s">
        <v>1100</v>
      </c>
      <c r="I252" s="14" t="s">
        <v>1101</v>
      </c>
      <c r="J252" s="14" t="s">
        <v>1102</v>
      </c>
      <c r="K252" s="14" t="s">
        <v>1103</v>
      </c>
      <c r="O252" t="s">
        <v>1104</v>
      </c>
      <c r="P252" t="s">
        <v>1105</v>
      </c>
      <c r="T252" s="14" t="s">
        <v>1106</v>
      </c>
      <c r="V252" t="s">
        <v>1107</v>
      </c>
      <c r="Z252">
        <v>109.314</v>
      </c>
    </row>
    <row r="253" ht="17" spans="1:26">
      <c r="A253" s="14"/>
      <c r="B253" s="14" t="s">
        <v>1108</v>
      </c>
      <c r="C253" s="14" t="s">
        <v>1109</v>
      </c>
      <c r="D253" s="14" t="s">
        <v>1110</v>
      </c>
      <c r="E253" s="14" t="s">
        <v>1111</v>
      </c>
      <c r="F253" s="14" t="s">
        <v>1112</v>
      </c>
      <c r="G253" s="14" t="s">
        <v>1113</v>
      </c>
      <c r="H253" s="14" t="s">
        <v>1114</v>
      </c>
      <c r="I253" s="14" t="s">
        <v>1115</v>
      </c>
      <c r="J253" s="14" t="s">
        <v>1116</v>
      </c>
      <c r="K253" s="14" t="s">
        <v>1117</v>
      </c>
      <c r="O253" t="s">
        <v>1118</v>
      </c>
      <c r="P253" t="s">
        <v>1119</v>
      </c>
      <c r="T253" s="14" t="s">
        <v>1120</v>
      </c>
      <c r="V253" t="s">
        <v>1121</v>
      </c>
      <c r="Z253">
        <v>111.552</v>
      </c>
    </row>
    <row r="254" ht="17" spans="1:26">
      <c r="A254" s="14" t="s">
        <v>1122</v>
      </c>
      <c r="B254" s="14" t="s">
        <v>1123</v>
      </c>
      <c r="C254" s="14" t="s">
        <v>1124</v>
      </c>
      <c r="D254" s="14" t="s">
        <v>1125</v>
      </c>
      <c r="E254" s="14" t="s">
        <v>1126</v>
      </c>
      <c r="F254" s="14" t="s">
        <v>1127</v>
      </c>
      <c r="G254" s="14" t="s">
        <v>1128</v>
      </c>
      <c r="H254" s="14" t="s">
        <v>1129</v>
      </c>
      <c r="I254" s="14" t="s">
        <v>1130</v>
      </c>
      <c r="J254" s="14" t="s">
        <v>1131</v>
      </c>
      <c r="K254" s="14"/>
      <c r="O254" t="s">
        <v>1132</v>
      </c>
      <c r="P254" t="s">
        <v>1133</v>
      </c>
      <c r="T254" s="14" t="s">
        <v>1134</v>
      </c>
      <c r="V254" t="s">
        <v>1135</v>
      </c>
      <c r="Z254" t="s">
        <v>1136</v>
      </c>
    </row>
    <row r="255" ht="17" spans="1:26">
      <c r="A255" s="14" t="s">
        <v>1137</v>
      </c>
      <c r="B255" s="14" t="s">
        <v>1138</v>
      </c>
      <c r="C255" s="14" t="s">
        <v>1139</v>
      </c>
      <c r="D255" s="14" t="s">
        <v>1140</v>
      </c>
      <c r="E255" s="14" t="s">
        <v>1141</v>
      </c>
      <c r="F255" s="14" t="s">
        <v>1142</v>
      </c>
      <c r="G255" s="14" t="s">
        <v>1143</v>
      </c>
      <c r="H255" s="14" t="s">
        <v>1144</v>
      </c>
      <c r="I255" s="14" t="s">
        <v>1145</v>
      </c>
      <c r="J255" s="14" t="s">
        <v>1146</v>
      </c>
      <c r="K255" s="14"/>
      <c r="T255" s="14" t="s">
        <v>1147</v>
      </c>
      <c r="V255" t="s">
        <v>1148</v>
      </c>
      <c r="Z255" t="s">
        <v>238</v>
      </c>
    </row>
    <row r="256" ht="17" spans="1:26">
      <c r="A256" s="14" t="s">
        <v>1149</v>
      </c>
      <c r="B256" s="14" t="s">
        <v>1150</v>
      </c>
      <c r="C256" s="14" t="s">
        <v>1151</v>
      </c>
      <c r="D256" s="14" t="s">
        <v>1152</v>
      </c>
      <c r="E256" s="14" t="s">
        <v>1153</v>
      </c>
      <c r="F256" s="14" t="s">
        <v>1154</v>
      </c>
      <c r="G256" s="14" t="s">
        <v>1155</v>
      </c>
      <c r="H256" s="14" t="s">
        <v>1156</v>
      </c>
      <c r="I256" s="14" t="s">
        <v>1157</v>
      </c>
      <c r="J256" s="14" t="s">
        <v>1158</v>
      </c>
      <c r="K256" s="14"/>
      <c r="T256" s="14" t="s">
        <v>1159</v>
      </c>
      <c r="V256" t="s">
        <v>1160</v>
      </c>
      <c r="Z256">
        <v>73.7667</v>
      </c>
    </row>
    <row r="257" spans="1:26">
      <c r="A257" s="14">
        <v>16.923</v>
      </c>
      <c r="B257" s="14">
        <v>17.634</v>
      </c>
      <c r="C257" s="14">
        <v>19.267</v>
      </c>
      <c r="D257" s="14">
        <v>32.373</v>
      </c>
      <c r="E257" s="14">
        <v>40.965</v>
      </c>
      <c r="F257" s="14">
        <v>50.6</v>
      </c>
      <c r="G257" s="14">
        <v>51.767</v>
      </c>
      <c r="H257" s="14">
        <v>55.916</v>
      </c>
      <c r="I257" s="14">
        <v>49.224</v>
      </c>
      <c r="J257" s="14">
        <v>77.406</v>
      </c>
      <c r="K257" s="14">
        <v>78.866</v>
      </c>
      <c r="T257" s="14">
        <v>52.66</v>
      </c>
      <c r="V257">
        <v>58.384</v>
      </c>
      <c r="Z257" t="s">
        <v>97</v>
      </c>
    </row>
    <row r="258" spans="1:22">
      <c r="A258" s="14">
        <v>18.481</v>
      </c>
      <c r="B258" s="14">
        <v>20.032</v>
      </c>
      <c r="C258" s="14">
        <v>28.054</v>
      </c>
      <c r="D258" s="14">
        <v>38.969</v>
      </c>
      <c r="E258" s="14">
        <v>49.712</v>
      </c>
      <c r="F258" s="14">
        <v>55.467</v>
      </c>
      <c r="G258" s="14">
        <v>61.077</v>
      </c>
      <c r="H258" s="14">
        <v>63.832</v>
      </c>
      <c r="I258" s="14">
        <v>57.42</v>
      </c>
      <c r="J258" s="14">
        <v>91.539</v>
      </c>
      <c r="K258" s="14">
        <v>92.599</v>
      </c>
      <c r="O258">
        <v>85.694</v>
      </c>
      <c r="P258">
        <v>120.747</v>
      </c>
      <c r="T258" s="14">
        <v>59.193</v>
      </c>
      <c r="V258">
        <v>64.148</v>
      </c>
    </row>
    <row r="259" spans="1:22">
      <c r="A259" s="14">
        <v>22.338</v>
      </c>
      <c r="B259" s="14">
        <v>25.192</v>
      </c>
      <c r="C259" s="14">
        <v>43.117</v>
      </c>
      <c r="D259" s="14">
        <v>49.585</v>
      </c>
      <c r="E259" s="14">
        <v>66.243</v>
      </c>
      <c r="F259" s="14">
        <v>69.763</v>
      </c>
      <c r="G259" s="14">
        <v>76.101</v>
      </c>
      <c r="H259" s="14">
        <v>93.465</v>
      </c>
      <c r="I259" s="14">
        <v>74.736</v>
      </c>
      <c r="J259" s="14">
        <v>103.705</v>
      </c>
      <c r="K259" s="14">
        <v>131.521</v>
      </c>
      <c r="O259">
        <v>86.333</v>
      </c>
      <c r="P259">
        <v>124.262</v>
      </c>
      <c r="T259" s="14">
        <v>74.81</v>
      </c>
      <c r="V259">
        <v>96.771</v>
      </c>
    </row>
    <row r="260" spans="1:22">
      <c r="A260" s="14" t="s">
        <v>208</v>
      </c>
      <c r="B260" s="14" t="s">
        <v>1161</v>
      </c>
      <c r="C260" s="14" t="s">
        <v>1162</v>
      </c>
      <c r="D260" s="14" t="s">
        <v>1163</v>
      </c>
      <c r="E260" s="14" t="s">
        <v>1164</v>
      </c>
      <c r="F260" s="14" t="s">
        <v>1165</v>
      </c>
      <c r="G260" s="14" t="s">
        <v>1166</v>
      </c>
      <c r="H260" s="14" t="s">
        <v>1167</v>
      </c>
      <c r="I260" s="14" t="s">
        <v>1168</v>
      </c>
      <c r="J260" s="14" t="s">
        <v>1169</v>
      </c>
      <c r="K260" s="14" t="s">
        <v>1170</v>
      </c>
      <c r="O260">
        <v>87.642</v>
      </c>
      <c r="P260">
        <v>128.472</v>
      </c>
      <c r="T260" s="14" t="s">
        <v>1171</v>
      </c>
      <c r="V260" t="s">
        <v>1172</v>
      </c>
    </row>
    <row r="261" spans="1:22">
      <c r="A261" s="14" t="s">
        <v>1173</v>
      </c>
      <c r="B261" s="14" t="s">
        <v>1174</v>
      </c>
      <c r="C261" s="14" t="s">
        <v>1175</v>
      </c>
      <c r="D261" s="14" t="s">
        <v>1176</v>
      </c>
      <c r="E261" s="14" t="s">
        <v>1177</v>
      </c>
      <c r="F261" s="14" t="s">
        <v>1178</v>
      </c>
      <c r="G261" s="14" t="s">
        <v>1179</v>
      </c>
      <c r="H261" s="14" t="s">
        <v>1180</v>
      </c>
      <c r="I261" s="14" t="s">
        <v>1181</v>
      </c>
      <c r="J261" s="14" t="s">
        <v>1182</v>
      </c>
      <c r="K261" s="14" t="s">
        <v>238</v>
      </c>
      <c r="O261" t="s">
        <v>1183</v>
      </c>
      <c r="P261" t="s">
        <v>1184</v>
      </c>
      <c r="T261" s="14" t="s">
        <v>1185</v>
      </c>
      <c r="V261" t="s">
        <v>1186</v>
      </c>
    </row>
    <row r="262" spans="1:22">
      <c r="A262" s="14">
        <v>10.4267</v>
      </c>
      <c r="B262" s="14">
        <v>10.28</v>
      </c>
      <c r="C262" s="14">
        <v>11.1333</v>
      </c>
      <c r="D262" s="14">
        <v>13.5433</v>
      </c>
      <c r="E262" s="14">
        <v>17.14</v>
      </c>
      <c r="F262" s="14">
        <v>22.02</v>
      </c>
      <c r="G262" s="14">
        <v>25.1567</v>
      </c>
      <c r="H262" s="14">
        <v>29.39</v>
      </c>
      <c r="I262" s="14">
        <v>27.1167</v>
      </c>
      <c r="J262" s="14">
        <v>47.3033</v>
      </c>
      <c r="K262" s="14">
        <v>49.24</v>
      </c>
      <c r="O262" t="s">
        <v>238</v>
      </c>
      <c r="P262" t="s">
        <v>238</v>
      </c>
      <c r="T262" s="14">
        <v>23.2033</v>
      </c>
      <c r="V262">
        <v>27.3333</v>
      </c>
    </row>
    <row r="263" spans="1:22">
      <c r="A263" s="14" t="s">
        <v>97</v>
      </c>
      <c r="B263" s="14" t="s">
        <v>97</v>
      </c>
      <c r="C263" s="14" t="s">
        <v>97</v>
      </c>
      <c r="D263" s="14" t="s">
        <v>97</v>
      </c>
      <c r="E263" s="14" t="s">
        <v>97</v>
      </c>
      <c r="F263" s="14" t="s">
        <v>97</v>
      </c>
      <c r="G263" s="14" t="s">
        <v>97</v>
      </c>
      <c r="H263" s="14" t="s">
        <v>97</v>
      </c>
      <c r="I263" s="14" t="s">
        <v>97</v>
      </c>
      <c r="J263" s="14" t="s">
        <v>97</v>
      </c>
      <c r="K263" s="14" t="s">
        <v>97</v>
      </c>
      <c r="O263">
        <v>66.8267</v>
      </c>
      <c r="P263">
        <v>88.5933</v>
      </c>
      <c r="T263" s="14" t="s">
        <v>97</v>
      </c>
      <c r="V263" t="s">
        <v>243</v>
      </c>
    </row>
    <row r="264" spans="1:22">
      <c r="A264" s="14" t="s">
        <v>104</v>
      </c>
      <c r="B264" s="14" t="s">
        <v>104</v>
      </c>
      <c r="C264" s="14" t="s">
        <v>104</v>
      </c>
      <c r="D264" s="14" t="s">
        <v>104</v>
      </c>
      <c r="E264" s="14" t="s">
        <v>104</v>
      </c>
      <c r="F264" s="14" t="s">
        <v>104</v>
      </c>
      <c r="G264" s="14" t="s">
        <v>104</v>
      </c>
      <c r="H264" s="14" t="s">
        <v>104</v>
      </c>
      <c r="I264" s="14" t="s">
        <v>104</v>
      </c>
      <c r="J264" s="14" t="s">
        <v>104</v>
      </c>
      <c r="K264" s="14" t="s">
        <v>104</v>
      </c>
      <c r="O264" t="s">
        <v>97</v>
      </c>
      <c r="P264" t="s">
        <v>375</v>
      </c>
      <c r="T264" s="14" t="s">
        <v>104</v>
      </c>
      <c r="V264" t="s">
        <v>104</v>
      </c>
    </row>
    <row r="265" spans="1:22">
      <c r="A265" s="14" t="s">
        <v>42</v>
      </c>
      <c r="B265" s="14" t="s">
        <v>42</v>
      </c>
      <c r="C265" s="14" t="s">
        <v>42</v>
      </c>
      <c r="D265" s="14" t="s">
        <v>42</v>
      </c>
      <c r="E265" s="14" t="s">
        <v>42</v>
      </c>
      <c r="F265" s="14" t="s">
        <v>42</v>
      </c>
      <c r="G265" s="14" t="s">
        <v>42</v>
      </c>
      <c r="H265" s="14" t="s">
        <v>42</v>
      </c>
      <c r="I265" s="14" t="s">
        <v>42</v>
      </c>
      <c r="J265" s="14" t="s">
        <v>42</v>
      </c>
      <c r="K265" s="14" t="s">
        <v>42</v>
      </c>
      <c r="O265">
        <v>0.420269</v>
      </c>
      <c r="P265">
        <v>0.374049</v>
      </c>
      <c r="T265" s="14" t="s">
        <v>42</v>
      </c>
      <c r="V265" t="s">
        <v>42</v>
      </c>
    </row>
    <row r="266" ht="17" spans="1:22">
      <c r="A266" s="14" t="s">
        <v>105</v>
      </c>
      <c r="B266" s="14" t="s">
        <v>105</v>
      </c>
      <c r="C266" s="14" t="s">
        <v>105</v>
      </c>
      <c r="D266" s="14" t="s">
        <v>105</v>
      </c>
      <c r="E266" s="14" t="s">
        <v>105</v>
      </c>
      <c r="F266" s="14" t="s">
        <v>105</v>
      </c>
      <c r="G266" s="14" t="s">
        <v>105</v>
      </c>
      <c r="H266" s="14" t="s">
        <v>105</v>
      </c>
      <c r="I266" s="14" t="s">
        <v>105</v>
      </c>
      <c r="J266" s="14" t="s">
        <v>105</v>
      </c>
      <c r="K266" s="14" t="s">
        <v>105</v>
      </c>
      <c r="O266">
        <v>66.8267</v>
      </c>
      <c r="P266">
        <v>88.5933</v>
      </c>
      <c r="T266" s="14" t="s">
        <v>105</v>
      </c>
      <c r="V266" t="s">
        <v>43</v>
      </c>
    </row>
    <row r="267" spans="1:22">
      <c r="A267" s="14" t="s">
        <v>44</v>
      </c>
      <c r="B267" s="14" t="s">
        <v>44</v>
      </c>
      <c r="C267" s="14" t="s">
        <v>44</v>
      </c>
      <c r="D267" s="14" t="s">
        <v>44</v>
      </c>
      <c r="E267" s="14" t="s">
        <v>44</v>
      </c>
      <c r="F267" s="14" t="s">
        <v>44</v>
      </c>
      <c r="G267" s="14" t="s">
        <v>44</v>
      </c>
      <c r="H267" s="14" t="s">
        <v>44</v>
      </c>
      <c r="I267" s="14" t="s">
        <v>44</v>
      </c>
      <c r="J267" s="14" t="s">
        <v>44</v>
      </c>
      <c r="K267" s="14" t="s">
        <v>44</v>
      </c>
      <c r="T267" s="14" t="s">
        <v>44</v>
      </c>
      <c r="V267" t="s">
        <v>44</v>
      </c>
    </row>
    <row r="268" s="30" customFormat="1" ht="17" spans="1:28">
      <c r="A268" s="14" t="s">
        <v>1187</v>
      </c>
      <c r="B268" s="14" t="s">
        <v>1188</v>
      </c>
      <c r="C268" s="14" t="s">
        <v>1189</v>
      </c>
      <c r="D268" s="14" t="s">
        <v>1190</v>
      </c>
      <c r="E268" s="14" t="s">
        <v>1191</v>
      </c>
      <c r="F268" s="14" t="s">
        <v>1192</v>
      </c>
      <c r="G268" s="14" t="s">
        <v>1193</v>
      </c>
      <c r="H268" s="14" t="s">
        <v>1194</v>
      </c>
      <c r="I268" s="14" t="s">
        <v>1195</v>
      </c>
      <c r="J268" s="14" t="s">
        <v>1196</v>
      </c>
      <c r="K268" s="14" t="s">
        <v>1197</v>
      </c>
      <c r="T268"/>
      <c r="U268"/>
      <c r="V268" t="s">
        <v>1198</v>
      </c>
      <c r="W268"/>
      <c r="X268"/>
      <c r="Y268"/>
      <c r="Z268"/>
      <c r="AA268"/>
      <c r="AB268"/>
    </row>
    <row r="269" spans="1:22">
      <c r="A269" s="14">
        <v>2774.33</v>
      </c>
      <c r="B269" s="14">
        <v>2703.23</v>
      </c>
      <c r="C269" s="14">
        <v>2288.51</v>
      </c>
      <c r="D269" s="14">
        <v>1786.2</v>
      </c>
      <c r="E269" s="14">
        <v>1425.58</v>
      </c>
      <c r="F269" s="14">
        <v>1201.78</v>
      </c>
      <c r="G269" s="14">
        <v>1021.99</v>
      </c>
      <c r="H269" s="14">
        <v>870.3</v>
      </c>
      <c r="I269" s="14">
        <v>782.094</v>
      </c>
      <c r="J269" s="14">
        <v>688.643</v>
      </c>
      <c r="K269" s="14">
        <v>630.779</v>
      </c>
      <c r="T269" s="14">
        <v>1129.09</v>
      </c>
      <c r="V269">
        <v>1120.87</v>
      </c>
    </row>
    <row r="270" spans="1:22">
      <c r="A270" s="14">
        <v>1.8145</v>
      </c>
      <c r="B270" s="14">
        <v>1.80697</v>
      </c>
      <c r="C270" s="14">
        <v>1.52975</v>
      </c>
      <c r="D270" s="14">
        <v>1.19398</v>
      </c>
      <c r="E270" s="14">
        <v>0.952928</v>
      </c>
      <c r="F270" s="14">
        <v>0.803331</v>
      </c>
      <c r="G270" s="14">
        <v>0.683148</v>
      </c>
      <c r="H270" s="14">
        <v>0.581751</v>
      </c>
      <c r="I270" s="14">
        <v>0.52279</v>
      </c>
      <c r="J270" s="14">
        <v>0.460323</v>
      </c>
      <c r="K270" s="14">
        <v>0.421644</v>
      </c>
      <c r="T270" s="14">
        <v>0.754738</v>
      </c>
      <c r="V270">
        <v>0.757345</v>
      </c>
    </row>
    <row r="271" ht="17" spans="1:22">
      <c r="A271" s="14"/>
      <c r="B271" s="14" t="s">
        <v>1199</v>
      </c>
      <c r="C271" s="14" t="s">
        <v>1200</v>
      </c>
      <c r="D271" s="14" t="s">
        <v>1201</v>
      </c>
      <c r="E271" s="14" t="s">
        <v>1202</v>
      </c>
      <c r="F271" s="14" t="s">
        <v>1203</v>
      </c>
      <c r="G271" s="14" t="s">
        <v>1204</v>
      </c>
      <c r="H271" s="14" t="s">
        <v>1205</v>
      </c>
      <c r="I271" s="14" t="s">
        <v>1206</v>
      </c>
      <c r="J271" s="14" t="s">
        <v>1207</v>
      </c>
      <c r="K271" s="14" t="s">
        <v>1208</v>
      </c>
      <c r="T271" s="14" t="s">
        <v>1209</v>
      </c>
      <c r="V271" t="s">
        <v>1210</v>
      </c>
    </row>
    <row r="272" ht="17" spans="1:22">
      <c r="A272" s="14"/>
      <c r="B272" s="14" t="s">
        <v>1211</v>
      </c>
      <c r="C272" s="14" t="s">
        <v>1212</v>
      </c>
      <c r="D272" s="14" t="s">
        <v>1213</v>
      </c>
      <c r="E272" s="14" t="s">
        <v>1214</v>
      </c>
      <c r="F272" s="14" t="s">
        <v>1215</v>
      </c>
      <c r="G272" s="14" t="s">
        <v>1216</v>
      </c>
      <c r="H272" s="14" t="s">
        <v>1217</v>
      </c>
      <c r="I272" s="14" t="s">
        <v>1218</v>
      </c>
      <c r="J272" s="14" t="s">
        <v>1219</v>
      </c>
      <c r="K272" s="14" t="s">
        <v>1220</v>
      </c>
      <c r="T272" s="14" t="s">
        <v>1221</v>
      </c>
      <c r="V272" t="s">
        <v>1222</v>
      </c>
    </row>
    <row r="273" ht="17" spans="1:22">
      <c r="A273" s="14"/>
      <c r="B273" s="14" t="s">
        <v>1223</v>
      </c>
      <c r="C273" s="14" t="s">
        <v>1224</v>
      </c>
      <c r="D273" s="14" t="s">
        <v>1225</v>
      </c>
      <c r="E273" s="14" t="s">
        <v>1226</v>
      </c>
      <c r="F273" s="14" t="s">
        <v>1227</v>
      </c>
      <c r="G273" s="14" t="s">
        <v>1228</v>
      </c>
      <c r="H273" s="14" t="s">
        <v>1229</v>
      </c>
      <c r="I273" s="14" t="s">
        <v>1230</v>
      </c>
      <c r="J273" s="14" t="s">
        <v>1231</v>
      </c>
      <c r="K273" s="14" t="s">
        <v>1232</v>
      </c>
      <c r="T273" s="14" t="s">
        <v>1233</v>
      </c>
      <c r="V273" t="s">
        <v>1234</v>
      </c>
    </row>
    <row r="274" ht="17" spans="1:22">
      <c r="A274" s="14" t="s">
        <v>1235</v>
      </c>
      <c r="B274" s="14" t="s">
        <v>1236</v>
      </c>
      <c r="C274" s="14" t="s">
        <v>1237</v>
      </c>
      <c r="D274" s="14" t="s">
        <v>1238</v>
      </c>
      <c r="E274" s="14" t="s">
        <v>1239</v>
      </c>
      <c r="F274" s="14" t="s">
        <v>1240</v>
      </c>
      <c r="G274" s="14" t="s">
        <v>1241</v>
      </c>
      <c r="H274" s="14" t="s">
        <v>1242</v>
      </c>
      <c r="I274" s="14" t="s">
        <v>1243</v>
      </c>
      <c r="J274" s="14" t="s">
        <v>1244</v>
      </c>
      <c r="K274" s="14"/>
      <c r="T274" s="14" t="s">
        <v>1245</v>
      </c>
      <c r="V274" t="s">
        <v>1246</v>
      </c>
    </row>
    <row r="275" ht="17" spans="1:22">
      <c r="A275" s="14" t="s">
        <v>1247</v>
      </c>
      <c r="B275" s="14" t="s">
        <v>1248</v>
      </c>
      <c r="C275" s="14" t="s">
        <v>1249</v>
      </c>
      <c r="D275" s="14" t="s">
        <v>1250</v>
      </c>
      <c r="E275" s="14" t="s">
        <v>1251</v>
      </c>
      <c r="F275" s="14" t="s">
        <v>1252</v>
      </c>
      <c r="G275" s="14" t="s">
        <v>1253</v>
      </c>
      <c r="H275" s="14" t="s">
        <v>1254</v>
      </c>
      <c r="I275" s="14" t="s">
        <v>1255</v>
      </c>
      <c r="J275" s="14" t="s">
        <v>1256</v>
      </c>
      <c r="K275" s="14"/>
      <c r="T275" s="14" t="s">
        <v>1257</v>
      </c>
      <c r="V275" t="s">
        <v>1258</v>
      </c>
    </row>
    <row r="276" ht="17" spans="1:22">
      <c r="A276" s="14" t="s">
        <v>1259</v>
      </c>
      <c r="B276" s="14" t="s">
        <v>1260</v>
      </c>
      <c r="C276" s="14" t="s">
        <v>1261</v>
      </c>
      <c r="D276" s="14" t="s">
        <v>1262</v>
      </c>
      <c r="E276" s="14" t="s">
        <v>1263</v>
      </c>
      <c r="F276" s="14" t="s">
        <v>1264</v>
      </c>
      <c r="G276" s="14" t="s">
        <v>1265</v>
      </c>
      <c r="H276" s="14" t="s">
        <v>1266</v>
      </c>
      <c r="I276" s="14" t="s">
        <v>1267</v>
      </c>
      <c r="J276" s="14" t="s">
        <v>1268</v>
      </c>
      <c r="K276" s="14"/>
      <c r="T276" s="14" t="s">
        <v>1269</v>
      </c>
      <c r="V276" t="s">
        <v>1270</v>
      </c>
    </row>
    <row r="277" spans="1:22">
      <c r="A277" s="14">
        <v>16.219</v>
      </c>
      <c r="B277" s="14">
        <v>15.825</v>
      </c>
      <c r="C277" s="14">
        <v>19.947</v>
      </c>
      <c r="D277" s="14">
        <v>31.006</v>
      </c>
      <c r="E277" s="14">
        <v>40.214</v>
      </c>
      <c r="F277" s="14">
        <v>48.163</v>
      </c>
      <c r="G277" s="14">
        <v>47.197</v>
      </c>
      <c r="H277" s="14">
        <v>47.043</v>
      </c>
      <c r="I277" s="14">
        <v>53.851</v>
      </c>
      <c r="J277" s="14">
        <v>57.305</v>
      </c>
      <c r="K277" s="14">
        <v>79.644</v>
      </c>
      <c r="T277" s="14">
        <v>51.342</v>
      </c>
      <c r="V277">
        <v>59.613</v>
      </c>
    </row>
    <row r="278" spans="1:22">
      <c r="A278" s="14">
        <v>18.174</v>
      </c>
      <c r="B278" s="14">
        <v>20.019</v>
      </c>
      <c r="C278" s="14">
        <v>28.142</v>
      </c>
      <c r="D278" s="14">
        <v>36.01</v>
      </c>
      <c r="E278" s="14">
        <v>44.861</v>
      </c>
      <c r="F278" s="14">
        <v>53.681</v>
      </c>
      <c r="G278" s="14">
        <v>53.35</v>
      </c>
      <c r="H278" s="14">
        <v>53.428</v>
      </c>
      <c r="I278" s="14">
        <v>59.365</v>
      </c>
      <c r="J278" s="14">
        <v>72.599</v>
      </c>
      <c r="K278" s="14">
        <v>90.098</v>
      </c>
      <c r="T278" s="14">
        <v>56.3</v>
      </c>
      <c r="V278">
        <v>64.068</v>
      </c>
    </row>
    <row r="279" spans="1:22">
      <c r="A279" s="14">
        <v>22.851</v>
      </c>
      <c r="B279" s="14">
        <v>31.509</v>
      </c>
      <c r="C279" s="14">
        <v>35.411</v>
      </c>
      <c r="D279" s="14">
        <v>43.194</v>
      </c>
      <c r="E279" s="14">
        <v>49.846</v>
      </c>
      <c r="F279" s="14">
        <v>62.261</v>
      </c>
      <c r="G279" s="14">
        <v>68.518</v>
      </c>
      <c r="H279" s="14">
        <v>68.676</v>
      </c>
      <c r="I279" s="14">
        <v>82.813</v>
      </c>
      <c r="J279" s="14">
        <v>94.515</v>
      </c>
      <c r="K279" s="14">
        <v>140.049</v>
      </c>
      <c r="T279" s="14">
        <v>63.442</v>
      </c>
      <c r="V279">
        <v>77.562</v>
      </c>
    </row>
    <row r="280" spans="1:22">
      <c r="A280" s="14" t="s">
        <v>208</v>
      </c>
      <c r="B280" s="14" t="s">
        <v>1271</v>
      </c>
      <c r="C280" s="14" t="s">
        <v>1272</v>
      </c>
      <c r="D280" s="14" t="s">
        <v>1273</v>
      </c>
      <c r="E280" s="14" t="s">
        <v>1274</v>
      </c>
      <c r="F280" s="14" t="s">
        <v>1275</v>
      </c>
      <c r="G280" s="14" t="s">
        <v>1276</v>
      </c>
      <c r="H280" s="14" t="s">
        <v>1277</v>
      </c>
      <c r="I280" s="14" t="s">
        <v>1278</v>
      </c>
      <c r="J280" s="14" t="s">
        <v>1279</v>
      </c>
      <c r="K280" s="14" t="s">
        <v>1280</v>
      </c>
      <c r="T280" s="14" t="s">
        <v>1281</v>
      </c>
      <c r="V280" t="s">
        <v>1282</v>
      </c>
    </row>
    <row r="281" spans="1:22">
      <c r="A281" s="14" t="s">
        <v>1283</v>
      </c>
      <c r="B281" s="14" t="s">
        <v>1284</v>
      </c>
      <c r="C281" s="14" t="s">
        <v>1285</v>
      </c>
      <c r="D281" s="14" t="s">
        <v>1286</v>
      </c>
      <c r="E281" s="14" t="s">
        <v>1287</v>
      </c>
      <c r="F281" s="14" t="s">
        <v>1288</v>
      </c>
      <c r="G281" s="14" t="s">
        <v>1289</v>
      </c>
      <c r="H281" s="14" t="s">
        <v>1290</v>
      </c>
      <c r="I281" s="14" t="s">
        <v>1291</v>
      </c>
      <c r="J281" s="14" t="s">
        <v>1292</v>
      </c>
      <c r="K281" s="14" t="s">
        <v>238</v>
      </c>
      <c r="T281" s="14" t="s">
        <v>1293</v>
      </c>
      <c r="V281" t="s">
        <v>1294</v>
      </c>
    </row>
    <row r="282" spans="1:22">
      <c r="A282" s="14">
        <v>9.33333</v>
      </c>
      <c r="B282" s="14">
        <v>9.75667</v>
      </c>
      <c r="C282" s="14">
        <v>10.88</v>
      </c>
      <c r="D282" s="14">
        <v>13.0333</v>
      </c>
      <c r="E282" s="14">
        <v>15.2533</v>
      </c>
      <c r="F282" s="14">
        <v>20.2033</v>
      </c>
      <c r="G282" s="14">
        <v>23.31</v>
      </c>
      <c r="H282" s="14">
        <v>24.0733</v>
      </c>
      <c r="I282" s="14">
        <v>28.8933</v>
      </c>
      <c r="J282" s="14">
        <v>32.1933</v>
      </c>
      <c r="K282" s="14">
        <v>51.38</v>
      </c>
      <c r="T282" s="14">
        <v>20.9367</v>
      </c>
      <c r="V282">
        <v>28.18</v>
      </c>
    </row>
    <row r="283" spans="1:22">
      <c r="A283" s="14" t="s">
        <v>97</v>
      </c>
      <c r="B283" s="14" t="s">
        <v>97</v>
      </c>
      <c r="C283" s="14" t="s">
        <v>97</v>
      </c>
      <c r="D283" s="14" t="s">
        <v>97</v>
      </c>
      <c r="E283" s="14" t="s">
        <v>97</v>
      </c>
      <c r="F283" s="14" t="s">
        <v>97</v>
      </c>
      <c r="G283" s="14" t="s">
        <v>97</v>
      </c>
      <c r="H283" s="14" t="s">
        <v>97</v>
      </c>
      <c r="I283" s="14" t="s">
        <v>97</v>
      </c>
      <c r="J283" s="14" t="s">
        <v>97</v>
      </c>
      <c r="K283" s="14" t="s">
        <v>97</v>
      </c>
      <c r="T283" s="14" t="s">
        <v>97</v>
      </c>
      <c r="V283" t="s">
        <v>97</v>
      </c>
    </row>
    <row r="284" spans="1:22">
      <c r="A284" s="14" t="s">
        <v>104</v>
      </c>
      <c r="B284" s="14" t="s">
        <v>104</v>
      </c>
      <c r="C284" s="14" t="s">
        <v>104</v>
      </c>
      <c r="D284" s="14" t="s">
        <v>104</v>
      </c>
      <c r="E284" s="14" t="s">
        <v>104</v>
      </c>
      <c r="F284" s="14" t="s">
        <v>104</v>
      </c>
      <c r="G284" s="14" t="s">
        <v>104</v>
      </c>
      <c r="H284" s="14" t="s">
        <v>104</v>
      </c>
      <c r="I284" s="14" t="s">
        <v>104</v>
      </c>
      <c r="J284" s="14" t="s">
        <v>104</v>
      </c>
      <c r="K284" s="14" t="s">
        <v>104</v>
      </c>
      <c r="T284" s="14" t="s">
        <v>1295</v>
      </c>
      <c r="V284" t="s">
        <v>104</v>
      </c>
    </row>
    <row r="285" spans="1:22">
      <c r="A285" s="14" t="s">
        <v>42</v>
      </c>
      <c r="B285" s="14" t="s">
        <v>42</v>
      </c>
      <c r="C285" s="14" t="s">
        <v>42</v>
      </c>
      <c r="D285" s="14" t="s">
        <v>42</v>
      </c>
      <c r="E285" s="14" t="s">
        <v>42</v>
      </c>
      <c r="F285" s="14" t="s">
        <v>42</v>
      </c>
      <c r="G285" s="14" t="s">
        <v>42</v>
      </c>
      <c r="H285" s="14" t="s">
        <v>42</v>
      </c>
      <c r="I285" s="14" t="s">
        <v>42</v>
      </c>
      <c r="J285" s="14" t="s">
        <v>42</v>
      </c>
      <c r="K285" s="14" t="s">
        <v>42</v>
      </c>
      <c r="T285" s="14" t="s">
        <v>104</v>
      </c>
      <c r="V285" t="s">
        <v>42</v>
      </c>
    </row>
    <row r="286" ht="17" spans="1:22">
      <c r="A286" s="14" t="s">
        <v>105</v>
      </c>
      <c r="B286" s="14" t="s">
        <v>105</v>
      </c>
      <c r="C286" s="14" t="s">
        <v>105</v>
      </c>
      <c r="D286" s="14" t="s">
        <v>105</v>
      </c>
      <c r="E286" s="14" t="s">
        <v>105</v>
      </c>
      <c r="F286" s="14" t="s">
        <v>105</v>
      </c>
      <c r="G286" s="14" t="s">
        <v>105</v>
      </c>
      <c r="H286" s="14" t="s">
        <v>105</v>
      </c>
      <c r="I286" s="14" t="s">
        <v>105</v>
      </c>
      <c r="J286" s="14" t="s">
        <v>105</v>
      </c>
      <c r="K286" s="14" t="s">
        <v>105</v>
      </c>
      <c r="T286" s="14" t="s">
        <v>42</v>
      </c>
      <c r="V286" t="s">
        <v>43</v>
      </c>
    </row>
    <row r="287" ht="17" spans="1:22">
      <c r="A287" s="14" t="s">
        <v>44</v>
      </c>
      <c r="B287" s="14" t="s">
        <v>44</v>
      </c>
      <c r="C287" s="14" t="s">
        <v>44</v>
      </c>
      <c r="D287" s="14" t="s">
        <v>44</v>
      </c>
      <c r="E287" s="14" t="s">
        <v>44</v>
      </c>
      <c r="F287" s="14" t="s">
        <v>44</v>
      </c>
      <c r="G287" s="14" t="s">
        <v>44</v>
      </c>
      <c r="H287" s="14" t="s">
        <v>44</v>
      </c>
      <c r="I287" s="14" t="s">
        <v>44</v>
      </c>
      <c r="J287" s="14" t="s">
        <v>44</v>
      </c>
      <c r="K287" s="14" t="s">
        <v>44</v>
      </c>
      <c r="T287" s="14" t="s">
        <v>105</v>
      </c>
      <c r="V287" t="s">
        <v>44</v>
      </c>
    </row>
    <row r="288" ht="17" spans="1:22">
      <c r="A288" s="14" t="s">
        <v>1296</v>
      </c>
      <c r="B288" s="14" t="s">
        <v>1297</v>
      </c>
      <c r="C288" s="14" t="s">
        <v>1298</v>
      </c>
      <c r="D288" s="14" t="s">
        <v>1299</v>
      </c>
      <c r="E288" s="14" t="s">
        <v>1300</v>
      </c>
      <c r="F288" s="14" t="s">
        <v>1301</v>
      </c>
      <c r="G288" s="14" t="s">
        <v>1302</v>
      </c>
      <c r="H288" s="14" t="s">
        <v>1303</v>
      </c>
      <c r="I288" s="14" t="s">
        <v>1304</v>
      </c>
      <c r="J288" s="14" t="s">
        <v>1305</v>
      </c>
      <c r="K288" s="14" t="s">
        <v>1306</v>
      </c>
      <c r="T288" s="14" t="s">
        <v>44</v>
      </c>
      <c r="V288" t="s">
        <v>1307</v>
      </c>
    </row>
    <row r="289" spans="1:22">
      <c r="A289" s="14">
        <v>2750.61</v>
      </c>
      <c r="B289" s="14">
        <v>2620.56</v>
      </c>
      <c r="C289" s="14">
        <v>2262.5</v>
      </c>
      <c r="D289" s="14">
        <v>1794.78</v>
      </c>
      <c r="E289" s="14">
        <v>1382.21</v>
      </c>
      <c r="F289" s="14">
        <v>1224.84</v>
      </c>
      <c r="G289" s="14">
        <v>992.542</v>
      </c>
      <c r="H289" s="14">
        <v>878.084</v>
      </c>
      <c r="I289" s="14">
        <v>781.259</v>
      </c>
      <c r="J289" s="14">
        <v>695.882</v>
      </c>
      <c r="K289" s="14">
        <v>662.378</v>
      </c>
      <c r="T289" s="14">
        <v>1151.99</v>
      </c>
      <c r="V289">
        <v>1093.59</v>
      </c>
    </row>
    <row r="290" spans="1:22">
      <c r="A290" s="14">
        <v>1.81864</v>
      </c>
      <c r="B290" s="14">
        <v>1.75171</v>
      </c>
      <c r="C290" s="14">
        <v>1.51237</v>
      </c>
      <c r="D290" s="14">
        <v>1.19972</v>
      </c>
      <c r="E290" s="14">
        <v>0.923939</v>
      </c>
      <c r="F290" s="14">
        <v>0.818745</v>
      </c>
      <c r="G290" s="14">
        <v>0.663464</v>
      </c>
      <c r="H290" s="14">
        <v>0.586955</v>
      </c>
      <c r="I290" s="14">
        <v>0.522232</v>
      </c>
      <c r="J290" s="14">
        <v>0.465162</v>
      </c>
      <c r="K290" s="14">
        <v>0.442766</v>
      </c>
      <c r="T290" s="14">
        <v>0.770044</v>
      </c>
      <c r="V290">
        <v>0.73891</v>
      </c>
    </row>
    <row r="291" ht="17" spans="1:22">
      <c r="A291" s="14"/>
      <c r="B291" s="14" t="s">
        <v>1308</v>
      </c>
      <c r="C291" s="14" t="s">
        <v>1309</v>
      </c>
      <c r="D291" s="14" t="s">
        <v>1310</v>
      </c>
      <c r="E291" s="14" t="s">
        <v>1311</v>
      </c>
      <c r="F291" s="14" t="s">
        <v>1312</v>
      </c>
      <c r="G291" s="14" t="s">
        <v>1313</v>
      </c>
      <c r="H291" s="14" t="s">
        <v>1314</v>
      </c>
      <c r="I291" s="14" t="s">
        <v>1315</v>
      </c>
      <c r="J291" s="14" t="s">
        <v>1316</v>
      </c>
      <c r="K291" s="14" t="s">
        <v>1317</v>
      </c>
      <c r="T291" s="14" t="s">
        <v>1318</v>
      </c>
      <c r="V291" t="s">
        <v>1319</v>
      </c>
    </row>
    <row r="292" ht="17" spans="1:22">
      <c r="A292" s="14"/>
      <c r="B292" s="14" t="s">
        <v>1320</v>
      </c>
      <c r="C292" s="14" t="s">
        <v>1321</v>
      </c>
      <c r="D292" s="14" t="s">
        <v>1322</v>
      </c>
      <c r="E292" s="14" t="s">
        <v>1323</v>
      </c>
      <c r="F292" s="14" t="s">
        <v>1324</v>
      </c>
      <c r="G292" s="14" t="s">
        <v>1325</v>
      </c>
      <c r="H292" s="14" t="s">
        <v>1326</v>
      </c>
      <c r="I292" s="14" t="s">
        <v>1327</v>
      </c>
      <c r="J292" s="14" t="s">
        <v>1328</v>
      </c>
      <c r="K292" s="14" t="s">
        <v>1329</v>
      </c>
      <c r="T292" s="14" t="s">
        <v>1330</v>
      </c>
      <c r="V292" t="s">
        <v>1331</v>
      </c>
    </row>
    <row r="293" ht="17" spans="1:22">
      <c r="A293" s="14"/>
      <c r="B293" s="14" t="s">
        <v>1332</v>
      </c>
      <c r="C293" s="14" t="s">
        <v>1333</v>
      </c>
      <c r="D293" s="14" t="s">
        <v>1334</v>
      </c>
      <c r="E293" s="14" t="s">
        <v>1335</v>
      </c>
      <c r="F293" s="14" t="s">
        <v>1336</v>
      </c>
      <c r="G293" s="14" t="s">
        <v>1337</v>
      </c>
      <c r="H293" s="14" t="s">
        <v>1338</v>
      </c>
      <c r="I293" s="14" t="s">
        <v>1339</v>
      </c>
      <c r="J293" s="14" t="s">
        <v>1340</v>
      </c>
      <c r="K293" s="14" t="s">
        <v>1341</v>
      </c>
      <c r="T293" s="14" t="s">
        <v>1342</v>
      </c>
      <c r="V293" t="s">
        <v>1343</v>
      </c>
    </row>
    <row r="294" ht="17" spans="1:22">
      <c r="A294" s="14" t="s">
        <v>1344</v>
      </c>
      <c r="B294" s="14" t="s">
        <v>1345</v>
      </c>
      <c r="C294" s="14" t="s">
        <v>1346</v>
      </c>
      <c r="D294" s="14" t="s">
        <v>1347</v>
      </c>
      <c r="E294" s="14" t="s">
        <v>1348</v>
      </c>
      <c r="F294" s="14" t="s">
        <v>1349</v>
      </c>
      <c r="G294" s="14" t="s">
        <v>1350</v>
      </c>
      <c r="H294" s="14" t="s">
        <v>1351</v>
      </c>
      <c r="I294" s="14" t="s">
        <v>1352</v>
      </c>
      <c r="J294" s="14" t="s">
        <v>1353</v>
      </c>
      <c r="K294" s="14"/>
      <c r="T294" s="14" t="s">
        <v>1354</v>
      </c>
      <c r="V294" t="s">
        <v>1355</v>
      </c>
    </row>
    <row r="295" ht="17" spans="1:22">
      <c r="A295" s="14" t="s">
        <v>1356</v>
      </c>
      <c r="B295" s="14" t="s">
        <v>1357</v>
      </c>
      <c r="C295" s="14" t="s">
        <v>1358</v>
      </c>
      <c r="D295" s="14" t="s">
        <v>1359</v>
      </c>
      <c r="E295" s="14" t="s">
        <v>1360</v>
      </c>
      <c r="F295" s="14" t="s">
        <v>1361</v>
      </c>
      <c r="G295" s="14" t="s">
        <v>1362</v>
      </c>
      <c r="H295" s="14" t="s">
        <v>1363</v>
      </c>
      <c r="I295" s="14" t="s">
        <v>1364</v>
      </c>
      <c r="J295" s="14" t="s">
        <v>1365</v>
      </c>
      <c r="K295" s="14"/>
      <c r="T295" s="14" t="s">
        <v>1366</v>
      </c>
      <c r="V295" t="s">
        <v>1367</v>
      </c>
    </row>
    <row r="296" ht="17" spans="1:22">
      <c r="A296" s="14" t="s">
        <v>1368</v>
      </c>
      <c r="B296" s="14" t="s">
        <v>1369</v>
      </c>
      <c r="C296" s="14" t="s">
        <v>1370</v>
      </c>
      <c r="D296" s="14" t="s">
        <v>1371</v>
      </c>
      <c r="E296" s="14" t="s">
        <v>1372</v>
      </c>
      <c r="F296" s="14" t="s">
        <v>1373</v>
      </c>
      <c r="G296" s="14" t="s">
        <v>1374</v>
      </c>
      <c r="H296" s="14" t="s">
        <v>1375</v>
      </c>
      <c r="I296" s="14" t="s">
        <v>1376</v>
      </c>
      <c r="J296" s="14" t="s">
        <v>1377</v>
      </c>
      <c r="K296" s="14"/>
      <c r="T296" s="14" t="s">
        <v>1378</v>
      </c>
      <c r="V296" t="s">
        <v>1379</v>
      </c>
    </row>
    <row r="297" spans="1:22">
      <c r="A297" s="14">
        <v>15.503</v>
      </c>
      <c r="B297" s="14">
        <v>17.497</v>
      </c>
      <c r="C297" s="14">
        <v>22.29</v>
      </c>
      <c r="D297" s="14">
        <v>29.586</v>
      </c>
      <c r="E297" s="14">
        <v>45.715</v>
      </c>
      <c r="F297" s="14">
        <v>49.353</v>
      </c>
      <c r="G297" s="14">
        <v>51.202</v>
      </c>
      <c r="H297" s="14">
        <v>54.542</v>
      </c>
      <c r="I297" s="14">
        <v>47.456</v>
      </c>
      <c r="J297" s="14">
        <v>55.522</v>
      </c>
      <c r="K297" s="14">
        <v>61.625</v>
      </c>
      <c r="T297" s="14">
        <v>48.334</v>
      </c>
      <c r="V297">
        <v>59.533</v>
      </c>
    </row>
    <row r="298" spans="1:22">
      <c r="A298" s="14">
        <v>17.996</v>
      </c>
      <c r="B298" s="14">
        <v>23.809</v>
      </c>
      <c r="C298" s="14">
        <v>28.465</v>
      </c>
      <c r="D298" s="14">
        <v>34.281</v>
      </c>
      <c r="E298" s="14">
        <v>50.764</v>
      </c>
      <c r="F298" s="14">
        <v>53.25</v>
      </c>
      <c r="G298" s="14">
        <v>59.887</v>
      </c>
      <c r="H298" s="14">
        <v>62.407</v>
      </c>
      <c r="I298" s="14">
        <v>55.129</v>
      </c>
      <c r="J298" s="14">
        <v>63.19</v>
      </c>
      <c r="K298" s="14">
        <v>68.603</v>
      </c>
      <c r="T298" s="14">
        <v>52.856</v>
      </c>
      <c r="V298">
        <v>64.174</v>
      </c>
    </row>
    <row r="299" spans="1:22">
      <c r="A299" s="14">
        <v>28.436</v>
      </c>
      <c r="B299" s="14">
        <v>35.575</v>
      </c>
      <c r="C299" s="14">
        <v>48.196</v>
      </c>
      <c r="D299" s="14">
        <v>43.557</v>
      </c>
      <c r="E299" s="14">
        <v>61.82</v>
      </c>
      <c r="F299" s="14">
        <v>61.477</v>
      </c>
      <c r="G299" s="14">
        <v>71.885</v>
      </c>
      <c r="H299" s="14">
        <v>76.858</v>
      </c>
      <c r="I299" s="14">
        <v>79.655</v>
      </c>
      <c r="J299" s="14">
        <v>83.505</v>
      </c>
      <c r="K299" s="14">
        <v>88.707</v>
      </c>
      <c r="T299" s="14">
        <v>72.629</v>
      </c>
      <c r="V299">
        <v>78.124</v>
      </c>
    </row>
    <row r="300" spans="1:22">
      <c r="A300" s="14" t="s">
        <v>208</v>
      </c>
      <c r="B300" s="14" t="s">
        <v>1380</v>
      </c>
      <c r="C300" s="14" t="s">
        <v>1381</v>
      </c>
      <c r="D300" s="14" t="s">
        <v>1382</v>
      </c>
      <c r="E300" s="14" t="s">
        <v>1383</v>
      </c>
      <c r="F300" s="14" t="s">
        <v>1384</v>
      </c>
      <c r="G300" s="14" t="s">
        <v>1385</v>
      </c>
      <c r="H300" s="14" t="s">
        <v>1386</v>
      </c>
      <c r="I300" s="14" t="s">
        <v>1387</v>
      </c>
      <c r="J300" s="14" t="s">
        <v>1388</v>
      </c>
      <c r="K300" s="14" t="s">
        <v>1389</v>
      </c>
      <c r="T300" s="14" t="s">
        <v>1390</v>
      </c>
      <c r="V300" t="s">
        <v>1391</v>
      </c>
    </row>
    <row r="301" spans="1:22">
      <c r="A301" s="14" t="s">
        <v>1392</v>
      </c>
      <c r="B301" s="14" t="s">
        <v>1393</v>
      </c>
      <c r="C301" s="14" t="s">
        <v>1394</v>
      </c>
      <c r="D301" s="14" t="s">
        <v>1395</v>
      </c>
      <c r="E301" s="14" t="s">
        <v>1396</v>
      </c>
      <c r="F301" s="14" t="s">
        <v>1397</v>
      </c>
      <c r="G301" s="14" t="s">
        <v>1398</v>
      </c>
      <c r="H301" s="14" t="s">
        <v>1399</v>
      </c>
      <c r="I301" s="14" t="s">
        <v>1400</v>
      </c>
      <c r="J301" s="14" t="s">
        <v>1401</v>
      </c>
      <c r="K301" s="14" t="s">
        <v>238</v>
      </c>
      <c r="T301" s="14" t="s">
        <v>1402</v>
      </c>
      <c r="V301" t="s">
        <v>1403</v>
      </c>
    </row>
    <row r="302" spans="1:22">
      <c r="A302" s="14">
        <v>9.88667</v>
      </c>
      <c r="B302" s="14">
        <v>10.55</v>
      </c>
      <c r="C302" s="14">
        <v>11.5767</v>
      </c>
      <c r="D302" s="14">
        <v>12.51</v>
      </c>
      <c r="E302" s="14">
        <v>18.0867</v>
      </c>
      <c r="F302" s="14">
        <v>21.0833</v>
      </c>
      <c r="G302" s="14">
        <v>24.3233</v>
      </c>
      <c r="H302" s="14">
        <v>27.9133</v>
      </c>
      <c r="I302" s="14">
        <v>26.5233</v>
      </c>
      <c r="J302" s="14">
        <v>32.9167</v>
      </c>
      <c r="K302" s="14">
        <v>41.9667</v>
      </c>
      <c r="T302" s="14">
        <v>20.85</v>
      </c>
      <c r="V302">
        <v>30.2833</v>
      </c>
    </row>
    <row r="303" spans="1:22">
      <c r="A303" s="14" t="s">
        <v>97</v>
      </c>
      <c r="B303" s="14" t="s">
        <v>1404</v>
      </c>
      <c r="C303" s="14" t="s">
        <v>1405</v>
      </c>
      <c r="D303" s="14" t="s">
        <v>1406</v>
      </c>
      <c r="E303" s="14" t="s">
        <v>1407</v>
      </c>
      <c r="F303" s="14" t="s">
        <v>1408</v>
      </c>
      <c r="G303" s="14" t="s">
        <v>1409</v>
      </c>
      <c r="H303" s="14" t="s">
        <v>1410</v>
      </c>
      <c r="I303" s="14" t="s">
        <v>1411</v>
      </c>
      <c r="J303" s="14" t="s">
        <v>1412</v>
      </c>
      <c r="K303" s="14" t="s">
        <v>97</v>
      </c>
      <c r="T303" s="14" t="s">
        <v>1413</v>
      </c>
      <c r="V303" t="s">
        <v>97</v>
      </c>
    </row>
    <row r="304" spans="1:24">
      <c r="A304" s="14">
        <v>1.81481</v>
      </c>
      <c r="B304" s="14">
        <v>1.765923333</v>
      </c>
      <c r="C304" s="14">
        <v>1.525476667</v>
      </c>
      <c r="D304" s="14">
        <v>1.19181</v>
      </c>
      <c r="E304" s="14">
        <v>0.943598667</v>
      </c>
      <c r="F304" s="14">
        <v>0.804714</v>
      </c>
      <c r="G304" s="14">
        <v>0.667415333</v>
      </c>
      <c r="H304" s="14">
        <v>0.582784333</v>
      </c>
      <c r="I304" s="14">
        <v>0.525035333</v>
      </c>
      <c r="J304" s="14">
        <v>0.46133</v>
      </c>
      <c r="K304" s="14">
        <v>0.431410667</v>
      </c>
      <c r="T304">
        <f>AVERAGE(T250,T270,T290)</f>
        <v>0.762448333333333</v>
      </c>
      <c r="V304">
        <f>AVERAGE(V250,V270,V290)</f>
        <v>0.749224333333333</v>
      </c>
      <c r="X304">
        <f>(((V290-V304)^2+(V270-V304)^2+(V250-V304)^2)/3)^(1/2)</f>
        <v>0.00768424519534761</v>
      </c>
    </row>
    <row r="305" spans="1:22">
      <c r="A305" s="14">
        <v>16.215</v>
      </c>
      <c r="B305" s="14">
        <v>16.98533333</v>
      </c>
      <c r="C305" s="14">
        <v>20.50133333</v>
      </c>
      <c r="D305" s="14">
        <v>30.98833333</v>
      </c>
      <c r="E305" s="14">
        <v>42.298</v>
      </c>
      <c r="F305" s="14">
        <v>49.372</v>
      </c>
      <c r="G305" s="14">
        <v>50.05533333</v>
      </c>
      <c r="H305" s="14">
        <v>52.50033333</v>
      </c>
      <c r="I305" s="14">
        <v>50.177</v>
      </c>
      <c r="J305" s="14">
        <v>63.411</v>
      </c>
      <c r="K305" s="14">
        <v>73.37833333</v>
      </c>
      <c r="T305">
        <f>(((T290-T304)^2+(T270-T304)^2+(T250-T304)^2)/3)^(1/2)</f>
        <v>0.00624917436324366</v>
      </c>
      <c r="V305">
        <f t="shared" ref="V305:V307" si="31">AVERAGE(V257,V277,V297)</f>
        <v>59.1766666666667</v>
      </c>
    </row>
    <row r="306" spans="1:22">
      <c r="A306" s="14">
        <v>18.217</v>
      </c>
      <c r="B306" s="14">
        <v>21.28666667</v>
      </c>
      <c r="C306" s="14">
        <v>28.22033333</v>
      </c>
      <c r="D306" s="14">
        <v>36.42</v>
      </c>
      <c r="E306" s="14">
        <v>48.44566667</v>
      </c>
      <c r="F306" s="14">
        <v>54.13266667</v>
      </c>
      <c r="G306" s="14">
        <v>58.10466667</v>
      </c>
      <c r="H306" s="14">
        <v>59.889</v>
      </c>
      <c r="I306" s="14">
        <v>57.30466667</v>
      </c>
      <c r="J306" s="14">
        <v>75.776</v>
      </c>
      <c r="K306" s="14">
        <v>83.76666667</v>
      </c>
      <c r="V306">
        <f t="shared" si="31"/>
        <v>64.13</v>
      </c>
    </row>
    <row r="307" spans="1:22">
      <c r="A307" s="14">
        <v>24.54166667</v>
      </c>
      <c r="B307" s="14">
        <v>30.75866667</v>
      </c>
      <c r="C307" s="14">
        <v>42.24133333</v>
      </c>
      <c r="D307" s="14">
        <v>45.44533333</v>
      </c>
      <c r="E307" s="14">
        <v>59.303</v>
      </c>
      <c r="F307" s="14">
        <v>64.50033333</v>
      </c>
      <c r="G307" s="14">
        <v>72.168</v>
      </c>
      <c r="H307" s="14">
        <v>79.66633333</v>
      </c>
      <c r="I307" s="14">
        <v>79.068</v>
      </c>
      <c r="J307" s="14">
        <v>93.90833333</v>
      </c>
      <c r="K307" s="14">
        <v>120.0923333</v>
      </c>
      <c r="V307">
        <f t="shared" si="31"/>
        <v>84.1523333333333</v>
      </c>
    </row>
    <row r="308" spans="1:22">
      <c r="A308" s="14">
        <v>9.882233333</v>
      </c>
      <c r="B308" s="14">
        <v>10.19555667</v>
      </c>
      <c r="C308" s="14">
        <v>11.19666667</v>
      </c>
      <c r="D308" s="14">
        <v>13.02886667</v>
      </c>
      <c r="E308" s="14">
        <v>16.82666667</v>
      </c>
      <c r="F308" s="14">
        <v>21.1022</v>
      </c>
      <c r="G308" s="14">
        <v>24.26333333</v>
      </c>
      <c r="H308" s="14">
        <v>27.12553333</v>
      </c>
      <c r="I308" s="14">
        <v>27.5111</v>
      </c>
      <c r="J308" s="14">
        <v>37.4711</v>
      </c>
      <c r="K308" s="14">
        <v>47.5289</v>
      </c>
      <c r="V308">
        <f>AVERAGE(V302,V282,V262)</f>
        <v>28.5988666666667</v>
      </c>
    </row>
    <row r="309" spans="1:11">
      <c r="A309" s="23">
        <v>0.003008621</v>
      </c>
      <c r="B309" s="23">
        <v>0.029478102</v>
      </c>
      <c r="C309" s="23">
        <v>0.009452934</v>
      </c>
      <c r="D309" s="23">
        <v>0.007502964</v>
      </c>
      <c r="E309" s="23">
        <v>0.013907489</v>
      </c>
      <c r="F309" s="23">
        <v>0.010935471</v>
      </c>
      <c r="G309" s="23">
        <v>0.011574824</v>
      </c>
      <c r="H309" s="23">
        <v>0.00307165</v>
      </c>
      <c r="I309" s="23">
        <v>0.003577207</v>
      </c>
      <c r="J309" s="23">
        <v>0.002809442</v>
      </c>
      <c r="K309" s="23">
        <v>0.008695885</v>
      </c>
    </row>
    <row r="310" spans="1:11">
      <c r="A310" s="14">
        <v>0.579719472</v>
      </c>
      <c r="B310" s="14">
        <v>0.822383663</v>
      </c>
      <c r="C310" s="14">
        <v>1.294886439</v>
      </c>
      <c r="D310" s="14">
        <v>1.137856562</v>
      </c>
      <c r="E310" s="14">
        <v>2.435558389</v>
      </c>
      <c r="F310" s="14">
        <v>0.994991792</v>
      </c>
      <c r="G310" s="14">
        <v>2.034266179</v>
      </c>
      <c r="H310" s="14">
        <v>3.899472984</v>
      </c>
      <c r="I310" s="14">
        <v>2.696313904</v>
      </c>
      <c r="J310" s="14">
        <v>9.922694224</v>
      </c>
      <c r="K310" s="14">
        <v>8.316928693</v>
      </c>
    </row>
    <row r="311" spans="1:11">
      <c r="A311" s="14">
        <v>0.200321408</v>
      </c>
      <c r="B311" s="14">
        <v>1.783566901</v>
      </c>
      <c r="C311" s="14">
        <v>0.176696224</v>
      </c>
      <c r="D311" s="14">
        <v>1.935701595</v>
      </c>
      <c r="E311" s="14">
        <v>2.570869157</v>
      </c>
      <c r="F311" s="14">
        <v>0.95978273</v>
      </c>
      <c r="G311" s="14">
        <v>3.396975746</v>
      </c>
      <c r="H311" s="14">
        <v>4.605507355</v>
      </c>
      <c r="I311" s="14">
        <v>1.731261647</v>
      </c>
      <c r="J311" s="14">
        <v>11.78944293</v>
      </c>
      <c r="K311" s="14">
        <v>10.77083532</v>
      </c>
    </row>
    <row r="312" spans="1:24">
      <c r="A312" s="14">
        <v>2.7616621</v>
      </c>
      <c r="B312" s="14">
        <v>4.271917784</v>
      </c>
      <c r="C312" s="14">
        <v>5.256053674</v>
      </c>
      <c r="D312" s="14">
        <v>2.93093527</v>
      </c>
      <c r="E312" s="14">
        <v>6.926609031</v>
      </c>
      <c r="F312" s="14">
        <v>3.735006411</v>
      </c>
      <c r="G312" s="14">
        <v>3.102207708</v>
      </c>
      <c r="H312" s="14">
        <v>10.31305588</v>
      </c>
      <c r="I312" s="14">
        <v>3.323442894</v>
      </c>
      <c r="J312" s="14">
        <v>8.257765369</v>
      </c>
      <c r="K312" s="14">
        <v>22.46420942</v>
      </c>
      <c r="X312" t="s">
        <v>17</v>
      </c>
    </row>
    <row r="313" spans="1:24">
      <c r="A313" s="23">
        <v>0.446377458</v>
      </c>
      <c r="B313" s="23">
        <v>0.329333802</v>
      </c>
      <c r="C313" s="23">
        <v>0.287934279</v>
      </c>
      <c r="D313" s="23">
        <v>0.421854606</v>
      </c>
      <c r="E313" s="23">
        <v>1.177758386</v>
      </c>
      <c r="F313" s="23">
        <v>0.741785068</v>
      </c>
      <c r="G313" s="23">
        <v>0.755103623</v>
      </c>
      <c r="H313" s="23">
        <v>2.240871402</v>
      </c>
      <c r="I313" s="23">
        <v>1.006938767</v>
      </c>
      <c r="J313" s="23">
        <v>6.958684958</v>
      </c>
      <c r="K313" s="23">
        <v>4.028932996</v>
      </c>
      <c r="W313">
        <v>0.0304769858527163</v>
      </c>
      <c r="X313">
        <v>0.0414019140727683</v>
      </c>
    </row>
    <row r="314" spans="23:24">
      <c r="W314">
        <v>0.0165842582656633</v>
      </c>
      <c r="X314">
        <v>0.0272244379597123</v>
      </c>
    </row>
    <row r="315" spans="23:24">
      <c r="W315">
        <v>0.00768424519534761</v>
      </c>
      <c r="X315">
        <v>0.00522553310411696</v>
      </c>
    </row>
    <row r="325" spans="9:9">
      <c r="I325" s="30"/>
    </row>
    <row r="328" spans="1:11">
      <c r="A328" s="30" t="s">
        <v>98</v>
      </c>
      <c r="B328" s="30" t="s">
        <v>1414</v>
      </c>
      <c r="C328" s="30"/>
      <c r="D328" s="30" t="s">
        <v>97</v>
      </c>
      <c r="E328" s="30"/>
      <c r="F328" s="30"/>
      <c r="G328" s="30"/>
      <c r="H328" s="30"/>
      <c r="J328" s="30"/>
      <c r="K328" s="30"/>
    </row>
    <row r="468" spans="13:17">
      <c r="M468" t="s">
        <v>1415</v>
      </c>
      <c r="Q468" t="s">
        <v>1416</v>
      </c>
    </row>
    <row r="469" spans="13:17">
      <c r="M469" t="s">
        <v>1417</v>
      </c>
      <c r="Q469" t="s">
        <v>1418</v>
      </c>
    </row>
    <row r="470" spans="13:17">
      <c r="M470" t="s">
        <v>1419</v>
      </c>
      <c r="Q470" t="s">
        <v>1420</v>
      </c>
    </row>
    <row r="471" spans="13:17">
      <c r="M471" t="s">
        <v>1421</v>
      </c>
      <c r="Q471" t="s">
        <v>1422</v>
      </c>
    </row>
    <row r="472" spans="13:17">
      <c r="M472" t="s">
        <v>1423</v>
      </c>
      <c r="Q472" t="s">
        <v>1424</v>
      </c>
    </row>
    <row r="473" spans="13:17">
      <c r="M473" t="s">
        <v>1425</v>
      </c>
      <c r="Q473" t="s">
        <v>1426</v>
      </c>
    </row>
    <row r="474" spans="13:17">
      <c r="M474" t="s">
        <v>1427</v>
      </c>
      <c r="Q474">
        <v>60.208</v>
      </c>
    </row>
    <row r="475" spans="13:17">
      <c r="M475" t="s">
        <v>1428</v>
      </c>
      <c r="Q475">
        <v>63.702</v>
      </c>
    </row>
    <row r="476" spans="13:17">
      <c r="M476" t="s">
        <v>1429</v>
      </c>
      <c r="Q476">
        <v>73.646</v>
      </c>
    </row>
    <row r="477" spans="13:17">
      <c r="M477" t="s">
        <v>1430</v>
      </c>
      <c r="Q477" t="s">
        <v>1431</v>
      </c>
    </row>
    <row r="478" spans="13:17">
      <c r="M478" t="s">
        <v>1432</v>
      </c>
      <c r="Q478" t="s">
        <v>1433</v>
      </c>
    </row>
    <row r="479" spans="13:17">
      <c r="M479" t="s">
        <v>1434</v>
      </c>
      <c r="Q479">
        <v>30.395</v>
      </c>
    </row>
    <row r="480" spans="13:17">
      <c r="M480" t="s">
        <v>1435</v>
      </c>
      <c r="Q480" t="s">
        <v>97</v>
      </c>
    </row>
    <row r="481" spans="13:13">
      <c r="M481" t="s">
        <v>1436</v>
      </c>
    </row>
    <row r="482" spans="13:13">
      <c r="M482" t="s">
        <v>1437</v>
      </c>
    </row>
    <row r="483" spans="13:13">
      <c r="M483" t="s">
        <v>1438</v>
      </c>
    </row>
    <row r="484" spans="13:13">
      <c r="M484" t="s">
        <v>1439</v>
      </c>
    </row>
    <row r="485" spans="13:13">
      <c r="M485" t="s">
        <v>1440</v>
      </c>
    </row>
    <row r="486" spans="13:13">
      <c r="M486" t="s">
        <v>1441</v>
      </c>
    </row>
    <row r="487" spans="13:13">
      <c r="M487" t="s">
        <v>1442</v>
      </c>
    </row>
    <row r="488" spans="13:13">
      <c r="M488" t="s">
        <v>1443</v>
      </c>
    </row>
    <row r="489" spans="13:13">
      <c r="M489" t="s">
        <v>1444</v>
      </c>
    </row>
    <row r="490" spans="13:13">
      <c r="M490" t="s">
        <v>1445</v>
      </c>
    </row>
    <row r="491" spans="13:13">
      <c r="M491" t="s">
        <v>1446</v>
      </c>
    </row>
    <row r="492" spans="13:13">
      <c r="M492" t="s">
        <v>1447</v>
      </c>
    </row>
    <row r="493" spans="13:13">
      <c r="M493" t="s">
        <v>1448</v>
      </c>
    </row>
    <row r="494" spans="13:13">
      <c r="M494" t="s">
        <v>1449</v>
      </c>
    </row>
    <row r="495" spans="13:13">
      <c r="M495" t="s">
        <v>1450</v>
      </c>
    </row>
    <row r="496" spans="13:13">
      <c r="M496" t="s">
        <v>1451</v>
      </c>
    </row>
    <row r="497" spans="13:13">
      <c r="M497" t="s">
        <v>1452</v>
      </c>
    </row>
    <row r="498" spans="13:13">
      <c r="M498" t="s">
        <v>1453</v>
      </c>
    </row>
    <row r="499" spans="13:13">
      <c r="M499" t="s">
        <v>1454</v>
      </c>
    </row>
    <row r="500" spans="13:13">
      <c r="M500" t="s">
        <v>1455</v>
      </c>
    </row>
    <row r="501" spans="13:13">
      <c r="M501" t="s">
        <v>1456</v>
      </c>
    </row>
    <row r="502" spans="13:13">
      <c r="M502" t="s">
        <v>1457</v>
      </c>
    </row>
    <row r="503" spans="13:13">
      <c r="M503" t="s">
        <v>1458</v>
      </c>
    </row>
    <row r="504" spans="13:13">
      <c r="M504" t="s">
        <v>1459</v>
      </c>
    </row>
    <row r="505" spans="13:13">
      <c r="M505" t="s">
        <v>1460</v>
      </c>
    </row>
    <row r="506" spans="13:13">
      <c r="M506" t="s">
        <v>1461</v>
      </c>
    </row>
    <row r="507" spans="13:13">
      <c r="M507" t="s">
        <v>1462</v>
      </c>
    </row>
    <row r="508" spans="13:13">
      <c r="M508" t="s">
        <v>1463</v>
      </c>
    </row>
    <row r="509" spans="13:13">
      <c r="M509" t="s">
        <v>1464</v>
      </c>
    </row>
    <row r="510" spans="13:13">
      <c r="M510" t="s">
        <v>1465</v>
      </c>
    </row>
    <row r="511" spans="13:13">
      <c r="M511" t="s">
        <v>1466</v>
      </c>
    </row>
    <row r="512" spans="13:13">
      <c r="M512" t="s">
        <v>1467</v>
      </c>
    </row>
    <row r="513" spans="13:13">
      <c r="M513" t="s">
        <v>1468</v>
      </c>
    </row>
    <row r="514" spans="13:13">
      <c r="M514" t="s">
        <v>1469</v>
      </c>
    </row>
    <row r="515" spans="13:13">
      <c r="M515" t="s">
        <v>1470</v>
      </c>
    </row>
    <row r="516" spans="13:13">
      <c r="M516" t="s">
        <v>1471</v>
      </c>
    </row>
    <row r="517" spans="13:13">
      <c r="M517" t="s">
        <v>1472</v>
      </c>
    </row>
    <row r="518" spans="13:13">
      <c r="M518" t="s">
        <v>1473</v>
      </c>
    </row>
    <row r="519" spans="13:13">
      <c r="M519" t="s">
        <v>1474</v>
      </c>
    </row>
    <row r="520" spans="13:13">
      <c r="M520" t="s">
        <v>1475</v>
      </c>
    </row>
    <row r="521" spans="13:13">
      <c r="M521" t="s">
        <v>1476</v>
      </c>
    </row>
    <row r="522" spans="13:13">
      <c r="M522" t="s">
        <v>1477</v>
      </c>
    </row>
    <row r="523" spans="13:13">
      <c r="M523" t="s">
        <v>1478</v>
      </c>
    </row>
    <row r="524" spans="13:13">
      <c r="M524" t="s">
        <v>1479</v>
      </c>
    </row>
    <row r="525" spans="13:13">
      <c r="M525" t="s">
        <v>1480</v>
      </c>
    </row>
    <row r="526" spans="13:13">
      <c r="M526" t="s">
        <v>1481</v>
      </c>
    </row>
    <row r="527" spans="13:13">
      <c r="M527" t="s">
        <v>1482</v>
      </c>
    </row>
    <row r="528" spans="2:13">
      <c r="B528" t="s">
        <v>1483</v>
      </c>
      <c r="M528" t="s">
        <v>1484</v>
      </c>
    </row>
    <row r="529" spans="2:13">
      <c r="B529" t="s">
        <v>1485</v>
      </c>
      <c r="I529" t="s">
        <v>1486</v>
      </c>
      <c r="M529" t="s">
        <v>1487</v>
      </c>
    </row>
    <row r="530" spans="2:13">
      <c r="B530" t="s">
        <v>1488</v>
      </c>
      <c r="I530" t="s">
        <v>1489</v>
      </c>
      <c r="M530" t="s">
        <v>1490</v>
      </c>
    </row>
    <row r="531" spans="2:13">
      <c r="B531" t="s">
        <v>1491</v>
      </c>
      <c r="I531" t="s">
        <v>1492</v>
      </c>
      <c r="M531" t="s">
        <v>1493</v>
      </c>
    </row>
    <row r="532" spans="2:13">
      <c r="B532" t="s">
        <v>1494</v>
      </c>
      <c r="I532">
        <v>9.616</v>
      </c>
      <c r="M532" t="s">
        <v>1495</v>
      </c>
    </row>
    <row r="533" spans="2:13">
      <c r="B533" t="s">
        <v>1496</v>
      </c>
      <c r="I533">
        <v>10.287</v>
      </c>
      <c r="M533" t="s">
        <v>1497</v>
      </c>
    </row>
    <row r="534" spans="2:13">
      <c r="B534" t="s">
        <v>1498</v>
      </c>
      <c r="I534">
        <v>24.784</v>
      </c>
      <c r="M534" t="s">
        <v>1499</v>
      </c>
    </row>
    <row r="535" spans="2:13">
      <c r="B535" t="s">
        <v>1500</v>
      </c>
      <c r="I535" t="s">
        <v>1501</v>
      </c>
      <c r="M535" t="s">
        <v>1502</v>
      </c>
    </row>
    <row r="536" spans="2:13">
      <c r="B536" t="s">
        <v>1503</v>
      </c>
      <c r="I536" t="s">
        <v>238</v>
      </c>
      <c r="M536" t="s">
        <v>1504</v>
      </c>
    </row>
    <row r="537" spans="2:13">
      <c r="B537" t="s">
        <v>1505</v>
      </c>
      <c r="I537">
        <v>8.11</v>
      </c>
      <c r="M537" t="s">
        <v>1506</v>
      </c>
    </row>
    <row r="538" spans="2:13">
      <c r="B538" t="s">
        <v>1507</v>
      </c>
      <c r="I538" t="s">
        <v>97</v>
      </c>
      <c r="M538" t="s">
        <v>1508</v>
      </c>
    </row>
    <row r="539" spans="2:13">
      <c r="B539" t="s">
        <v>1509</v>
      </c>
      <c r="I539" t="s">
        <v>1510</v>
      </c>
      <c r="M539" t="s">
        <v>1511</v>
      </c>
    </row>
    <row r="540" spans="2:13">
      <c r="B540" t="s">
        <v>1512</v>
      </c>
      <c r="I540" t="s">
        <v>1513</v>
      </c>
      <c r="M540" t="s">
        <v>1514</v>
      </c>
    </row>
    <row r="541" spans="2:13">
      <c r="B541" t="s">
        <v>1515</v>
      </c>
      <c r="I541" t="s">
        <v>104</v>
      </c>
      <c r="M541" t="s">
        <v>1516</v>
      </c>
    </row>
    <row r="542" spans="2:13">
      <c r="B542" t="s">
        <v>1517</v>
      </c>
      <c r="I542" t="s">
        <v>42</v>
      </c>
      <c r="M542" t="s">
        <v>1518</v>
      </c>
    </row>
    <row r="543" spans="2:13">
      <c r="B543" t="s">
        <v>1519</v>
      </c>
      <c r="I543" t="s">
        <v>43</v>
      </c>
      <c r="M543" t="s">
        <v>1520</v>
      </c>
    </row>
    <row r="544" spans="2:13">
      <c r="B544">
        <v>10.747</v>
      </c>
      <c r="I544" t="s">
        <v>44</v>
      </c>
      <c r="M544" t="s">
        <v>1521</v>
      </c>
    </row>
    <row r="545" spans="2:13">
      <c r="B545">
        <v>11.97</v>
      </c>
      <c r="I545" t="s">
        <v>1522</v>
      </c>
      <c r="M545" t="s">
        <v>1523</v>
      </c>
    </row>
    <row r="546" spans="2:13">
      <c r="B546">
        <v>23.859</v>
      </c>
      <c r="I546">
        <v>1514.42</v>
      </c>
      <c r="M546" t="s">
        <v>1524</v>
      </c>
    </row>
    <row r="547" spans="2:13">
      <c r="B547" t="s">
        <v>1525</v>
      </c>
      <c r="I547">
        <v>1.02326</v>
      </c>
      <c r="M547" t="s">
        <v>1526</v>
      </c>
    </row>
    <row r="548" spans="2:13">
      <c r="B548" t="s">
        <v>1527</v>
      </c>
      <c r="I548" t="s">
        <v>1528</v>
      </c>
      <c r="M548" t="s">
        <v>1529</v>
      </c>
    </row>
    <row r="549" spans="2:13">
      <c r="B549">
        <v>5.805</v>
      </c>
      <c r="I549" t="s">
        <v>1530</v>
      </c>
      <c r="M549" t="s">
        <v>1531</v>
      </c>
    </row>
    <row r="550" spans="2:13">
      <c r="B550" t="s">
        <v>97</v>
      </c>
      <c r="I550" t="s">
        <v>1532</v>
      </c>
      <c r="M550" t="s">
        <v>1533</v>
      </c>
    </row>
    <row r="551" spans="9:13">
      <c r="I551" t="s">
        <v>1534</v>
      </c>
      <c r="M551" t="s">
        <v>1535</v>
      </c>
    </row>
    <row r="552" spans="9:13">
      <c r="I552" t="s">
        <v>1536</v>
      </c>
      <c r="M552" t="s">
        <v>1537</v>
      </c>
    </row>
    <row r="553" spans="9:13">
      <c r="I553" t="s">
        <v>1538</v>
      </c>
      <c r="M553" t="s">
        <v>1539</v>
      </c>
    </row>
    <row r="554" spans="9:13">
      <c r="I554" t="s">
        <v>1540</v>
      </c>
      <c r="M554" t="s">
        <v>1541</v>
      </c>
    </row>
    <row r="555" spans="9:13">
      <c r="I555" t="s">
        <v>1542</v>
      </c>
      <c r="M555" t="s">
        <v>1543</v>
      </c>
    </row>
    <row r="556" spans="9:13">
      <c r="I556" t="s">
        <v>1544</v>
      </c>
      <c r="M556" t="s">
        <v>1545</v>
      </c>
    </row>
    <row r="557" spans="9:13">
      <c r="I557" t="s">
        <v>1546</v>
      </c>
      <c r="M557" t="s">
        <v>1547</v>
      </c>
    </row>
    <row r="558" spans="9:13">
      <c r="I558" t="s">
        <v>1548</v>
      </c>
      <c r="M558" t="s">
        <v>1549</v>
      </c>
    </row>
    <row r="559" spans="9:13">
      <c r="I559" t="s">
        <v>1550</v>
      </c>
      <c r="M559" t="s">
        <v>1551</v>
      </c>
    </row>
    <row r="560" spans="9:13">
      <c r="I560" t="s">
        <v>1552</v>
      </c>
      <c r="M560" t="s">
        <v>1553</v>
      </c>
    </row>
    <row r="561" spans="9:13">
      <c r="I561" t="s">
        <v>1554</v>
      </c>
      <c r="M561" t="s">
        <v>1555</v>
      </c>
    </row>
    <row r="562" spans="9:13">
      <c r="I562" t="s">
        <v>1556</v>
      </c>
      <c r="M562" t="s">
        <v>1557</v>
      </c>
    </row>
    <row r="563" spans="9:13">
      <c r="I563" t="s">
        <v>1558</v>
      </c>
      <c r="M563" t="s">
        <v>1559</v>
      </c>
    </row>
    <row r="564" spans="9:13">
      <c r="I564" t="s">
        <v>1560</v>
      </c>
      <c r="M564" t="s">
        <v>1561</v>
      </c>
    </row>
    <row r="565" spans="9:13">
      <c r="I565" t="s">
        <v>1562</v>
      </c>
      <c r="M565" t="s">
        <v>1563</v>
      </c>
    </row>
    <row r="566" spans="9:13">
      <c r="I566" t="s">
        <v>1564</v>
      </c>
      <c r="M566" t="s">
        <v>1565</v>
      </c>
    </row>
    <row r="567" spans="9:13">
      <c r="I567" t="s">
        <v>1566</v>
      </c>
      <c r="M567" t="s">
        <v>1567</v>
      </c>
    </row>
    <row r="568" spans="9:13">
      <c r="I568" t="s">
        <v>1568</v>
      </c>
      <c r="M568">
        <v>2.22222222222222e+16</v>
      </c>
    </row>
    <row r="569" spans="9:13">
      <c r="I569" t="s">
        <v>1569</v>
      </c>
      <c r="M569" t="s">
        <v>1570</v>
      </c>
    </row>
    <row r="570" spans="9:13">
      <c r="I570" t="s">
        <v>1571</v>
      </c>
      <c r="M570" t="s">
        <v>1572</v>
      </c>
    </row>
    <row r="571" spans="9:13">
      <c r="I571" t="s">
        <v>1573</v>
      </c>
      <c r="M571" t="s">
        <v>1574</v>
      </c>
    </row>
    <row r="572" spans="9:13">
      <c r="I572" t="s">
        <v>1575</v>
      </c>
      <c r="M572" t="s">
        <v>1576</v>
      </c>
    </row>
    <row r="573" spans="9:13">
      <c r="I573" t="s">
        <v>1577</v>
      </c>
      <c r="M573" t="s">
        <v>1578</v>
      </c>
    </row>
    <row r="574" spans="9:13">
      <c r="I574" t="s">
        <v>1579</v>
      </c>
      <c r="M574" t="s">
        <v>1580</v>
      </c>
    </row>
    <row r="575" spans="9:13">
      <c r="I575" t="s">
        <v>1581</v>
      </c>
      <c r="M575">
        <v>16.795</v>
      </c>
    </row>
    <row r="576" spans="9:13">
      <c r="I576" t="s">
        <v>1582</v>
      </c>
      <c r="M576">
        <v>24.659</v>
      </c>
    </row>
    <row r="577" spans="9:13">
      <c r="I577" t="s">
        <v>1583</v>
      </c>
      <c r="M577">
        <v>45.027</v>
      </c>
    </row>
    <row r="578" spans="9:13">
      <c r="I578" t="s">
        <v>1584</v>
      </c>
      <c r="M578" t="s">
        <v>1585</v>
      </c>
    </row>
    <row r="579" spans="9:13">
      <c r="I579" t="s">
        <v>1586</v>
      </c>
      <c r="M579" t="s">
        <v>1587</v>
      </c>
    </row>
    <row r="580" spans="9:13">
      <c r="I580" t="s">
        <v>1588</v>
      </c>
      <c r="M580">
        <v>9.71</v>
      </c>
    </row>
    <row r="581" spans="9:13">
      <c r="I581" t="s">
        <v>1589</v>
      </c>
      <c r="M581" t="s">
        <v>97</v>
      </c>
    </row>
    <row r="582" spans="9:9">
      <c r="I582" t="s">
        <v>1590</v>
      </c>
    </row>
    <row r="583" spans="9:9">
      <c r="I583" t="s">
        <v>1591</v>
      </c>
    </row>
    <row r="584" spans="9:9">
      <c r="I584" t="s">
        <v>1592</v>
      </c>
    </row>
    <row r="585" spans="9:9">
      <c r="I585" t="s">
        <v>1593</v>
      </c>
    </row>
    <row r="586" spans="9:9">
      <c r="I586" t="s">
        <v>1594</v>
      </c>
    </row>
    <row r="587" spans="9:9">
      <c r="I587" t="s">
        <v>1595</v>
      </c>
    </row>
    <row r="588" spans="9:9">
      <c r="I588" t="s">
        <v>1596</v>
      </c>
    </row>
    <row r="589" spans="9:9">
      <c r="I589" t="s">
        <v>1597</v>
      </c>
    </row>
    <row r="590" spans="9:9">
      <c r="I590" t="s">
        <v>1598</v>
      </c>
    </row>
    <row r="591" spans="9:9">
      <c r="I591" t="s">
        <v>1599</v>
      </c>
    </row>
    <row r="592" spans="9:9">
      <c r="I592" t="s">
        <v>1600</v>
      </c>
    </row>
    <row r="593" spans="9:9">
      <c r="I593" t="s">
        <v>1601</v>
      </c>
    </row>
    <row r="594" spans="9:9">
      <c r="I594" t="s">
        <v>1602</v>
      </c>
    </row>
    <row r="595" spans="9:9">
      <c r="I595" t="s">
        <v>1603</v>
      </c>
    </row>
    <row r="596" spans="9:9">
      <c r="I596" t="s">
        <v>1604</v>
      </c>
    </row>
    <row r="597" spans="9:9">
      <c r="I597" t="s">
        <v>1605</v>
      </c>
    </row>
    <row r="598" spans="9:9">
      <c r="I598" t="s">
        <v>1606</v>
      </c>
    </row>
    <row r="599" spans="9:9">
      <c r="I599" t="s">
        <v>1607</v>
      </c>
    </row>
    <row r="600" spans="9:9">
      <c r="I600" t="s">
        <v>1608</v>
      </c>
    </row>
    <row r="601" spans="9:9">
      <c r="I601" t="s">
        <v>1609</v>
      </c>
    </row>
    <row r="602" spans="9:9">
      <c r="I602" t="s">
        <v>1610</v>
      </c>
    </row>
    <row r="603" spans="9:9">
      <c r="I603" t="s">
        <v>1611</v>
      </c>
    </row>
    <row r="604" spans="9:9">
      <c r="I604" t="s">
        <v>1612</v>
      </c>
    </row>
    <row r="605" spans="9:9">
      <c r="I605" t="s">
        <v>1613</v>
      </c>
    </row>
    <row r="606" spans="9:9">
      <c r="I606" t="s">
        <v>1614</v>
      </c>
    </row>
    <row r="607" spans="9:9">
      <c r="I607" t="s">
        <v>1615</v>
      </c>
    </row>
    <row r="608" spans="9:9">
      <c r="I608" t="s">
        <v>1616</v>
      </c>
    </row>
    <row r="609" spans="9:9">
      <c r="I609" t="s">
        <v>1617</v>
      </c>
    </row>
    <row r="610" spans="9:9">
      <c r="I610" t="s">
        <v>1618</v>
      </c>
    </row>
    <row r="611" spans="9:9">
      <c r="I611" t="s">
        <v>1619</v>
      </c>
    </row>
    <row r="612" spans="9:9">
      <c r="I612" t="s">
        <v>1620</v>
      </c>
    </row>
    <row r="613" spans="9:9">
      <c r="I613" t="s">
        <v>1621</v>
      </c>
    </row>
    <row r="614" spans="9:9">
      <c r="I614" t="s">
        <v>1622</v>
      </c>
    </row>
    <row r="615" spans="9:9">
      <c r="I615" t="s">
        <v>1623</v>
      </c>
    </row>
    <row r="616" spans="9:9">
      <c r="I616" t="s">
        <v>1624</v>
      </c>
    </row>
    <row r="617" spans="9:9">
      <c r="I617" t="s">
        <v>1625</v>
      </c>
    </row>
    <row r="618" spans="9:9">
      <c r="I618" t="s">
        <v>1626</v>
      </c>
    </row>
    <row r="619" spans="9:9">
      <c r="I619" t="s">
        <v>1627</v>
      </c>
    </row>
    <row r="620" spans="9:9">
      <c r="I620" t="s">
        <v>1628</v>
      </c>
    </row>
    <row r="621" spans="9:9">
      <c r="I621" t="s">
        <v>1629</v>
      </c>
    </row>
    <row r="622" spans="9:9">
      <c r="I622" t="s">
        <v>1630</v>
      </c>
    </row>
    <row r="623" spans="9:9">
      <c r="I623" t="s">
        <v>1631</v>
      </c>
    </row>
    <row r="624" spans="9:9">
      <c r="I624" t="s">
        <v>1632</v>
      </c>
    </row>
    <row r="625" spans="9:9">
      <c r="I625" t="s">
        <v>1633</v>
      </c>
    </row>
    <row r="626" spans="9:9">
      <c r="I626" t="s">
        <v>1634</v>
      </c>
    </row>
    <row r="627" spans="9:9">
      <c r="I627" t="s">
        <v>1635</v>
      </c>
    </row>
    <row r="628" spans="9:9">
      <c r="I628" t="s">
        <v>1636</v>
      </c>
    </row>
    <row r="629" spans="9:9">
      <c r="I629" t="s">
        <v>1637</v>
      </c>
    </row>
    <row r="630" spans="9:9">
      <c r="I630" t="s">
        <v>1638</v>
      </c>
    </row>
    <row r="631" spans="9:9">
      <c r="I631" t="s">
        <v>1639</v>
      </c>
    </row>
    <row r="632" spans="9:9">
      <c r="I632" t="s">
        <v>1640</v>
      </c>
    </row>
    <row r="633" spans="9:9">
      <c r="I633" t="s">
        <v>1641</v>
      </c>
    </row>
    <row r="634" spans="9:9">
      <c r="I634" t="s">
        <v>1642</v>
      </c>
    </row>
    <row r="635" spans="9:9">
      <c r="I635" t="s">
        <v>1643</v>
      </c>
    </row>
    <row r="636" spans="9:9">
      <c r="I636" t="s">
        <v>1644</v>
      </c>
    </row>
    <row r="637" spans="9:9">
      <c r="I637" t="s">
        <v>1645</v>
      </c>
    </row>
    <row r="638" spans="9:9">
      <c r="I638" t="s">
        <v>1646</v>
      </c>
    </row>
    <row r="639" spans="9:9">
      <c r="I639" t="s">
        <v>1647</v>
      </c>
    </row>
    <row r="640" spans="9:9">
      <c r="I640" t="s">
        <v>1648</v>
      </c>
    </row>
    <row r="641" spans="9:9">
      <c r="I641" t="s">
        <v>1649</v>
      </c>
    </row>
    <row r="642" spans="9:9">
      <c r="I642" t="s">
        <v>1650</v>
      </c>
    </row>
    <row r="643" spans="9:9">
      <c r="I643" t="s">
        <v>1651</v>
      </c>
    </row>
    <row r="644" spans="9:9">
      <c r="I644" t="s">
        <v>1652</v>
      </c>
    </row>
    <row r="645" spans="9:9">
      <c r="I645" t="s">
        <v>1653</v>
      </c>
    </row>
    <row r="646" spans="9:9">
      <c r="I646" t="s">
        <v>1654</v>
      </c>
    </row>
    <row r="647" spans="9:9">
      <c r="I647" t="s">
        <v>1655</v>
      </c>
    </row>
    <row r="648" spans="9:9">
      <c r="I648" t="s">
        <v>1656</v>
      </c>
    </row>
    <row r="649" spans="9:9">
      <c r="I649" t="s">
        <v>1657</v>
      </c>
    </row>
    <row r="650" spans="9:9">
      <c r="I650" t="s">
        <v>1658</v>
      </c>
    </row>
    <row r="651" spans="9:9">
      <c r="I651" t="s">
        <v>1659</v>
      </c>
    </row>
    <row r="652" spans="9:9">
      <c r="I652" t="s">
        <v>1660</v>
      </c>
    </row>
    <row r="653" spans="9:9">
      <c r="I653" t="s">
        <v>1661</v>
      </c>
    </row>
    <row r="654" spans="9:9">
      <c r="I654" t="s">
        <v>1662</v>
      </c>
    </row>
    <row r="655" spans="9:9">
      <c r="I655" t="s">
        <v>1663</v>
      </c>
    </row>
    <row r="656" spans="9:9">
      <c r="I656" t="s">
        <v>1664</v>
      </c>
    </row>
    <row r="657" spans="9:9">
      <c r="I657" t="s">
        <v>1665</v>
      </c>
    </row>
    <row r="658" spans="9:9">
      <c r="I658" t="s">
        <v>1666</v>
      </c>
    </row>
    <row r="659" spans="9:9">
      <c r="I659" t="s">
        <v>1667</v>
      </c>
    </row>
    <row r="660" spans="9:9">
      <c r="I660" t="s">
        <v>1668</v>
      </c>
    </row>
    <row r="661" spans="9:9">
      <c r="I661" t="s">
        <v>1669</v>
      </c>
    </row>
    <row r="662" spans="9:9">
      <c r="I662" t="s">
        <v>1670</v>
      </c>
    </row>
    <row r="663" spans="9:9">
      <c r="I663" t="s">
        <v>1671</v>
      </c>
    </row>
    <row r="664" spans="9:9">
      <c r="I664" t="s">
        <v>1672</v>
      </c>
    </row>
    <row r="665" spans="9:9">
      <c r="I665" t="s">
        <v>1673</v>
      </c>
    </row>
    <row r="666" spans="9:9">
      <c r="I666" t="s">
        <v>1674</v>
      </c>
    </row>
    <row r="667" spans="9:9">
      <c r="I667" t="s">
        <v>1675</v>
      </c>
    </row>
    <row r="668" spans="9:9">
      <c r="I668" t="s">
        <v>1676</v>
      </c>
    </row>
    <row r="669" spans="9:9">
      <c r="I669" t="s">
        <v>1677</v>
      </c>
    </row>
    <row r="670" spans="9:9">
      <c r="I670" t="s">
        <v>1678</v>
      </c>
    </row>
    <row r="671" spans="9:9">
      <c r="I671" t="s">
        <v>1679</v>
      </c>
    </row>
    <row r="672" spans="9:9">
      <c r="I672" t="s">
        <v>1680</v>
      </c>
    </row>
    <row r="673" spans="9:9">
      <c r="I673" t="s">
        <v>1681</v>
      </c>
    </row>
    <row r="674" spans="9:9">
      <c r="I674" t="s">
        <v>1682</v>
      </c>
    </row>
    <row r="675" spans="9:9">
      <c r="I675" t="s">
        <v>1683</v>
      </c>
    </row>
    <row r="676" spans="9:9">
      <c r="I676" t="s">
        <v>1684</v>
      </c>
    </row>
    <row r="677" spans="9:9">
      <c r="I677" t="s">
        <v>1685</v>
      </c>
    </row>
    <row r="678" spans="9:9">
      <c r="I678" t="s">
        <v>1686</v>
      </c>
    </row>
    <row r="679" spans="9:9">
      <c r="I679" t="s">
        <v>1687</v>
      </c>
    </row>
    <row r="680" spans="9:9">
      <c r="I680" t="s">
        <v>1688</v>
      </c>
    </row>
    <row r="681" spans="9:9">
      <c r="I681" t="s">
        <v>1689</v>
      </c>
    </row>
    <row r="682" spans="9:9">
      <c r="I682" t="s">
        <v>1690</v>
      </c>
    </row>
    <row r="683" spans="9:9">
      <c r="I683" t="s">
        <v>1691</v>
      </c>
    </row>
    <row r="684" spans="9:9">
      <c r="I684" t="s">
        <v>1692</v>
      </c>
    </row>
    <row r="685" spans="9:9">
      <c r="I685" t="s">
        <v>1693</v>
      </c>
    </row>
    <row r="686" spans="9:9">
      <c r="I686" t="s">
        <v>1694</v>
      </c>
    </row>
    <row r="687" spans="9:9">
      <c r="I687" t="s">
        <v>1695</v>
      </c>
    </row>
    <row r="688" spans="9:9">
      <c r="I688" t="s">
        <v>1696</v>
      </c>
    </row>
    <row r="689" spans="9:9">
      <c r="I689" t="s">
        <v>1697</v>
      </c>
    </row>
    <row r="690" spans="9:9">
      <c r="I690" t="s">
        <v>1698</v>
      </c>
    </row>
    <row r="691" spans="9:9">
      <c r="I691" t="s">
        <v>1699</v>
      </c>
    </row>
    <row r="692" spans="9:9">
      <c r="I692" t="s">
        <v>1700</v>
      </c>
    </row>
    <row r="693" spans="9:9">
      <c r="I693" t="s">
        <v>1701</v>
      </c>
    </row>
    <row r="694" spans="9:9">
      <c r="I694" t="s">
        <v>1702</v>
      </c>
    </row>
    <row r="695" spans="9:9">
      <c r="I695" t="s">
        <v>1703</v>
      </c>
    </row>
    <row r="696" spans="9:9">
      <c r="I696" t="s">
        <v>1704</v>
      </c>
    </row>
    <row r="697" spans="9:9">
      <c r="I697" t="s">
        <v>1705</v>
      </c>
    </row>
    <row r="698" spans="9:9">
      <c r="I698" t="s">
        <v>1706</v>
      </c>
    </row>
    <row r="699" spans="9:9">
      <c r="I699" t="s">
        <v>1707</v>
      </c>
    </row>
    <row r="700" spans="9:9">
      <c r="I700" t="s">
        <v>1708</v>
      </c>
    </row>
    <row r="701" spans="9:9">
      <c r="I701" t="s">
        <v>1709</v>
      </c>
    </row>
    <row r="702" spans="9:9">
      <c r="I702" t="s">
        <v>1710</v>
      </c>
    </row>
    <row r="703" spans="9:9">
      <c r="I703" t="s">
        <v>1711</v>
      </c>
    </row>
    <row r="704" spans="9:9">
      <c r="I704" t="s">
        <v>1712</v>
      </c>
    </row>
    <row r="705" spans="9:9">
      <c r="I705" t="s">
        <v>1713</v>
      </c>
    </row>
    <row r="706" spans="9:9">
      <c r="I706" t="s">
        <v>1714</v>
      </c>
    </row>
    <row r="707" spans="9:9">
      <c r="I707" t="s">
        <v>1715</v>
      </c>
    </row>
    <row r="708" spans="9:9">
      <c r="I708" t="s">
        <v>1716</v>
      </c>
    </row>
    <row r="709" spans="9:9">
      <c r="I709" t="s">
        <v>1717</v>
      </c>
    </row>
    <row r="710" spans="9:9">
      <c r="I710" t="s">
        <v>1718</v>
      </c>
    </row>
    <row r="711" spans="9:9">
      <c r="I711" t="s">
        <v>1719</v>
      </c>
    </row>
    <row r="712" spans="9:9">
      <c r="I712" t="s">
        <v>1720</v>
      </c>
    </row>
    <row r="713" spans="9:9">
      <c r="I713" t="s">
        <v>1721</v>
      </c>
    </row>
    <row r="714" spans="9:9">
      <c r="I714" t="s">
        <v>1722</v>
      </c>
    </row>
    <row r="715" spans="9:9">
      <c r="I715" t="s">
        <v>1723</v>
      </c>
    </row>
    <row r="716" spans="9:9">
      <c r="I716" t="s">
        <v>1724</v>
      </c>
    </row>
    <row r="717" spans="9:9">
      <c r="I717" t="s">
        <v>1725</v>
      </c>
    </row>
    <row r="718" spans="9:9">
      <c r="I718" t="s">
        <v>1726</v>
      </c>
    </row>
    <row r="719" spans="9:9">
      <c r="I719" t="s">
        <v>1727</v>
      </c>
    </row>
    <row r="720" spans="9:9">
      <c r="I720" t="s">
        <v>1728</v>
      </c>
    </row>
    <row r="721" spans="9:9">
      <c r="I721" t="s">
        <v>1729</v>
      </c>
    </row>
    <row r="722" spans="9:9">
      <c r="I722" t="s">
        <v>1730</v>
      </c>
    </row>
    <row r="723" spans="9:9">
      <c r="I723" t="s">
        <v>1731</v>
      </c>
    </row>
    <row r="724" spans="9:9">
      <c r="I724" t="s">
        <v>1732</v>
      </c>
    </row>
    <row r="725" spans="9:9">
      <c r="I725" t="s">
        <v>1733</v>
      </c>
    </row>
    <row r="726" spans="9:9">
      <c r="I726" t="s">
        <v>1734</v>
      </c>
    </row>
    <row r="727" spans="9:9">
      <c r="I727" t="s">
        <v>1735</v>
      </c>
    </row>
    <row r="728" spans="9:9">
      <c r="I728" t="s">
        <v>1736</v>
      </c>
    </row>
    <row r="729" spans="9:9">
      <c r="I729" t="s">
        <v>1737</v>
      </c>
    </row>
    <row r="730" spans="9:9">
      <c r="I730" t="s">
        <v>1738</v>
      </c>
    </row>
    <row r="731" spans="9:9">
      <c r="I731" t="s">
        <v>1739</v>
      </c>
    </row>
    <row r="732" spans="9:9">
      <c r="I732" t="s">
        <v>1740</v>
      </c>
    </row>
    <row r="733" spans="9:9">
      <c r="I733" t="s">
        <v>1741</v>
      </c>
    </row>
    <row r="734" spans="9:9">
      <c r="I734" t="s">
        <v>1742</v>
      </c>
    </row>
    <row r="735" spans="9:9">
      <c r="I735" t="s">
        <v>1743</v>
      </c>
    </row>
    <row r="736" spans="9:9">
      <c r="I736" t="s">
        <v>1744</v>
      </c>
    </row>
    <row r="737" spans="9:9">
      <c r="I737" t="s">
        <v>1745</v>
      </c>
    </row>
    <row r="738" spans="9:9">
      <c r="I738" t="s">
        <v>1746</v>
      </c>
    </row>
    <row r="739" spans="9:9">
      <c r="I739" t="s">
        <v>1747</v>
      </c>
    </row>
    <row r="740" spans="9:9">
      <c r="I740" t="s">
        <v>1748</v>
      </c>
    </row>
    <row r="741" spans="9:9">
      <c r="I741" t="s">
        <v>1749</v>
      </c>
    </row>
    <row r="742" spans="9:9">
      <c r="I742" t="s">
        <v>1750</v>
      </c>
    </row>
    <row r="743" spans="9:9">
      <c r="I743" t="s">
        <v>1751</v>
      </c>
    </row>
    <row r="744" spans="9:9">
      <c r="I744" t="s">
        <v>1752</v>
      </c>
    </row>
    <row r="745" spans="9:9">
      <c r="I745" t="s">
        <v>1753</v>
      </c>
    </row>
    <row r="746" spans="9:9">
      <c r="I746" t="s">
        <v>1754</v>
      </c>
    </row>
    <row r="747" spans="9:9">
      <c r="I747" t="s">
        <v>1755</v>
      </c>
    </row>
    <row r="748" spans="9:9">
      <c r="I748">
        <v>2.22222222222222e+16</v>
      </c>
    </row>
    <row r="749" spans="9:9">
      <c r="I749" t="s">
        <v>1756</v>
      </c>
    </row>
    <row r="750" spans="9:9">
      <c r="I750" t="s">
        <v>1757</v>
      </c>
    </row>
    <row r="751" spans="9:9">
      <c r="I751" t="s">
        <v>1758</v>
      </c>
    </row>
    <row r="752" spans="9:9">
      <c r="I752">
        <v>9.721</v>
      </c>
    </row>
    <row r="753" spans="9:9">
      <c r="I753">
        <v>10.452</v>
      </c>
    </row>
    <row r="754" spans="9:9">
      <c r="I754">
        <v>22.212</v>
      </c>
    </row>
    <row r="755" spans="9:9">
      <c r="I755" t="s">
        <v>1759</v>
      </c>
    </row>
    <row r="756" spans="9:9">
      <c r="I756" t="s">
        <v>238</v>
      </c>
    </row>
    <row r="757" spans="9:9">
      <c r="I757">
        <v>8.24</v>
      </c>
    </row>
    <row r="758" spans="9:9">
      <c r="I758" t="s">
        <v>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zoomScale="117" zoomScaleNormal="117" topLeftCell="A59" workbookViewId="0">
      <selection activeCell="A67" sqref="A62:C62 A67:C67"/>
    </sheetView>
  </sheetViews>
  <sheetFormatPr defaultColWidth="9.16346153846154" defaultRowHeight="16.8" outlineLevelCol="4"/>
  <cols>
    <col min="1" max="1" width="59.9807692307692" customWidth="1"/>
    <col min="2" max="2" width="9.61538461538461"/>
    <col min="3" max="3" width="13"/>
    <col min="5" max="5" width="17.3365384615385" customWidth="1"/>
  </cols>
  <sheetData>
    <row r="1" spans="1:3">
      <c r="A1" s="26" t="s">
        <v>1760</v>
      </c>
      <c r="C1" s="26" t="s">
        <v>511</v>
      </c>
    </row>
    <row r="2" spans="1:5">
      <c r="A2" t="s">
        <v>104</v>
      </c>
      <c r="C2" t="s">
        <v>104</v>
      </c>
      <c r="E2" s="14" t="s">
        <v>104</v>
      </c>
    </row>
    <row r="3" spans="1:5">
      <c r="A3" t="s">
        <v>42</v>
      </c>
      <c r="C3" t="s">
        <v>42</v>
      </c>
      <c r="E3" s="14" t="s">
        <v>42</v>
      </c>
    </row>
    <row r="4" ht="17" spans="1:5">
      <c r="A4" t="s">
        <v>43</v>
      </c>
      <c r="C4" t="s">
        <v>43</v>
      </c>
      <c r="E4" s="14" t="s">
        <v>105</v>
      </c>
    </row>
    <row r="5" spans="1:5">
      <c r="A5" t="s">
        <v>44</v>
      </c>
      <c r="C5" t="s">
        <v>44</v>
      </c>
      <c r="E5" s="14" t="s">
        <v>44</v>
      </c>
    </row>
    <row r="6" spans="1:5">
      <c r="A6" t="s">
        <v>45</v>
      </c>
      <c r="C6" t="s">
        <v>45</v>
      </c>
      <c r="E6" s="14" t="s">
        <v>45</v>
      </c>
    </row>
    <row r="7" spans="1:5">
      <c r="A7">
        <v>4433.03</v>
      </c>
      <c r="C7">
        <v>1175.07</v>
      </c>
      <c r="E7" s="14">
        <v>2739.96</v>
      </c>
    </row>
    <row r="8" spans="1:5">
      <c r="A8">
        <v>2.96326</v>
      </c>
      <c r="C8">
        <v>0.785477</v>
      </c>
      <c r="E8" s="14">
        <v>1.83152</v>
      </c>
    </row>
    <row r="9" spans="5:5">
      <c r="E9" s="14"/>
    </row>
    <row r="10" spans="5:5">
      <c r="E10" s="14"/>
    </row>
    <row r="11" spans="5:5">
      <c r="E11" s="14"/>
    </row>
    <row r="12" ht="17" spans="1:5">
      <c r="A12" t="s">
        <v>1761</v>
      </c>
      <c r="C12" t="s">
        <v>1762</v>
      </c>
      <c r="E12" s="14" t="s">
        <v>172</v>
      </c>
    </row>
    <row r="13" ht="17" spans="1:5">
      <c r="A13" t="s">
        <v>1763</v>
      </c>
      <c r="C13" t="s">
        <v>1764</v>
      </c>
      <c r="E13" s="14" t="s">
        <v>184</v>
      </c>
    </row>
    <row r="14" ht="17" spans="1:5">
      <c r="A14" t="s">
        <v>1765</v>
      </c>
      <c r="C14" t="s">
        <v>1766</v>
      </c>
      <c r="E14" s="14" t="s">
        <v>196</v>
      </c>
    </row>
    <row r="15" spans="1:5">
      <c r="A15" t="s">
        <v>1767</v>
      </c>
      <c r="C15" t="s">
        <v>1768</v>
      </c>
      <c r="E15" s="14">
        <v>16.153</v>
      </c>
    </row>
    <row r="16" spans="1:5">
      <c r="A16" t="s">
        <v>1769</v>
      </c>
      <c r="C16" t="s">
        <v>1770</v>
      </c>
      <c r="E16" s="14">
        <v>21.017</v>
      </c>
    </row>
    <row r="17" spans="1:5">
      <c r="A17" t="s">
        <v>1771</v>
      </c>
      <c r="C17" t="s">
        <v>1772</v>
      </c>
      <c r="E17" s="14">
        <v>28.528</v>
      </c>
    </row>
    <row r="18" spans="1:5">
      <c r="A18" t="s">
        <v>208</v>
      </c>
      <c r="C18" t="s">
        <v>208</v>
      </c>
      <c r="E18" s="14" t="s">
        <v>208</v>
      </c>
    </row>
    <row r="19" spans="1:5">
      <c r="A19" t="s">
        <v>1773</v>
      </c>
      <c r="C19" t="s">
        <v>1774</v>
      </c>
      <c r="E19" s="14" t="s">
        <v>228</v>
      </c>
    </row>
    <row r="20" spans="1:5">
      <c r="A20">
        <v>14.8367</v>
      </c>
      <c r="C20">
        <v>15.1083</v>
      </c>
      <c r="E20" s="14">
        <v>10.63</v>
      </c>
    </row>
    <row r="21" spans="1:5">
      <c r="A21" t="s">
        <v>97</v>
      </c>
      <c r="C21" t="s">
        <v>97</v>
      </c>
      <c r="E21" s="14" t="s">
        <v>97</v>
      </c>
    </row>
    <row r="22" spans="1:5">
      <c r="A22" t="s">
        <v>104</v>
      </c>
      <c r="C22" t="s">
        <v>104</v>
      </c>
      <c r="E22" s="14" t="s">
        <v>104</v>
      </c>
    </row>
    <row r="23" spans="1:5">
      <c r="A23" t="s">
        <v>42</v>
      </c>
      <c r="C23" t="s">
        <v>42</v>
      </c>
      <c r="E23" s="14" t="s">
        <v>42</v>
      </c>
    </row>
    <row r="24" spans="1:5">
      <c r="A24" t="s">
        <v>43</v>
      </c>
      <c r="C24" t="s">
        <v>43</v>
      </c>
      <c r="E24" s="14" t="s">
        <v>43</v>
      </c>
    </row>
    <row r="25" spans="1:5">
      <c r="A25" t="s">
        <v>44</v>
      </c>
      <c r="C25" t="s">
        <v>44</v>
      </c>
      <c r="E25" s="14" t="s">
        <v>44</v>
      </c>
    </row>
    <row r="26" spans="1:5">
      <c r="A26" t="s">
        <v>45</v>
      </c>
      <c r="C26" t="s">
        <v>45</v>
      </c>
      <c r="E26" s="14" t="s">
        <v>45</v>
      </c>
    </row>
    <row r="27" spans="1:5">
      <c r="A27">
        <v>4418.84</v>
      </c>
      <c r="C27">
        <v>1180.75</v>
      </c>
      <c r="E27" s="14">
        <v>2702.21</v>
      </c>
    </row>
    <row r="28" spans="1:5">
      <c r="A28">
        <v>2.95377</v>
      </c>
      <c r="C28">
        <v>0.789269</v>
      </c>
      <c r="E28" s="14">
        <v>1.80629</v>
      </c>
    </row>
    <row r="32" spans="1:5">
      <c r="A32" t="s">
        <v>1775</v>
      </c>
      <c r="C32" t="s">
        <v>1776</v>
      </c>
      <c r="E32" s="14" t="s">
        <v>308</v>
      </c>
    </row>
    <row r="33" spans="1:5">
      <c r="A33" t="s">
        <v>1777</v>
      </c>
      <c r="C33" t="s">
        <v>1778</v>
      </c>
      <c r="E33" s="14" t="s">
        <v>320</v>
      </c>
    </row>
    <row r="34" spans="1:5">
      <c r="A34" t="s">
        <v>1779</v>
      </c>
      <c r="C34" t="s">
        <v>1780</v>
      </c>
      <c r="E34" s="14" t="s">
        <v>332</v>
      </c>
    </row>
    <row r="35" spans="1:5">
      <c r="A35" t="s">
        <v>1781</v>
      </c>
      <c r="C35" t="s">
        <v>1782</v>
      </c>
      <c r="E35" s="14">
        <v>16.783</v>
      </c>
    </row>
    <row r="36" spans="1:5">
      <c r="A36" t="s">
        <v>1783</v>
      </c>
      <c r="C36" t="s">
        <v>1784</v>
      </c>
      <c r="E36" s="14">
        <v>20.577</v>
      </c>
    </row>
    <row r="37" spans="1:5">
      <c r="A37" t="s">
        <v>1785</v>
      </c>
      <c r="C37" t="s">
        <v>1786</v>
      </c>
      <c r="E37" s="14">
        <v>27.958</v>
      </c>
    </row>
    <row r="38" spans="1:5">
      <c r="A38" t="s">
        <v>208</v>
      </c>
      <c r="C38" t="s">
        <v>208</v>
      </c>
      <c r="E38" s="14" t="s">
        <v>208</v>
      </c>
    </row>
    <row r="39" spans="1:5">
      <c r="A39" t="s">
        <v>1787</v>
      </c>
      <c r="C39" t="s">
        <v>1787</v>
      </c>
      <c r="E39" s="14" t="s">
        <v>361</v>
      </c>
    </row>
    <row r="40" spans="1:5">
      <c r="A40">
        <v>14.8683</v>
      </c>
      <c r="C40">
        <v>14.8683</v>
      </c>
      <c r="E40" s="14">
        <v>10.1175</v>
      </c>
    </row>
    <row r="41" spans="1:5">
      <c r="A41" t="s">
        <v>244</v>
      </c>
      <c r="C41" t="s">
        <v>97</v>
      </c>
      <c r="E41" s="14" t="s">
        <v>97</v>
      </c>
    </row>
    <row r="42" spans="1:5">
      <c r="A42" t="s">
        <v>104</v>
      </c>
      <c r="C42" t="s">
        <v>104</v>
      </c>
      <c r="E42" s="14" t="s">
        <v>104</v>
      </c>
    </row>
    <row r="43" spans="1:5">
      <c r="A43" t="s">
        <v>42</v>
      </c>
      <c r="C43" t="s">
        <v>42</v>
      </c>
      <c r="E43" s="14" t="s">
        <v>42</v>
      </c>
    </row>
    <row r="44" spans="1:5">
      <c r="A44" t="s">
        <v>43</v>
      </c>
      <c r="C44" t="s">
        <v>43</v>
      </c>
      <c r="E44" s="14" t="s">
        <v>43</v>
      </c>
    </row>
    <row r="45" spans="1:5">
      <c r="A45" t="s">
        <v>44</v>
      </c>
      <c r="C45" t="s">
        <v>44</v>
      </c>
      <c r="E45" s="14" t="s">
        <v>44</v>
      </c>
    </row>
    <row r="46" spans="1:5">
      <c r="A46" t="s">
        <v>45</v>
      </c>
      <c r="C46" t="s">
        <v>45</v>
      </c>
      <c r="E46" s="14" t="s">
        <v>45</v>
      </c>
    </row>
    <row r="47" spans="1:5">
      <c r="A47">
        <v>4433.72</v>
      </c>
      <c r="C47">
        <v>1187.78</v>
      </c>
      <c r="E47" s="14">
        <v>2707.72</v>
      </c>
    </row>
    <row r="48" spans="1:5">
      <c r="A48">
        <v>2.96372</v>
      </c>
      <c r="C48">
        <v>0.793968</v>
      </c>
      <c r="E48" s="14">
        <v>1.80997</v>
      </c>
    </row>
    <row r="52" spans="1:5">
      <c r="A52" t="s">
        <v>1788</v>
      </c>
      <c r="C52" t="s">
        <v>1789</v>
      </c>
      <c r="E52" s="14" t="s">
        <v>438</v>
      </c>
    </row>
    <row r="53" spans="1:5">
      <c r="A53" t="s">
        <v>1790</v>
      </c>
      <c r="C53" t="s">
        <v>1791</v>
      </c>
      <c r="E53" s="14" t="s">
        <v>450</v>
      </c>
    </row>
    <row r="54" spans="1:5">
      <c r="A54" t="s">
        <v>1792</v>
      </c>
      <c r="C54" t="s">
        <v>1793</v>
      </c>
      <c r="E54" s="14" t="s">
        <v>462</v>
      </c>
    </row>
    <row r="55" spans="1:5">
      <c r="A55" t="s">
        <v>1794</v>
      </c>
      <c r="C55" t="s">
        <v>1795</v>
      </c>
      <c r="E55" s="14">
        <v>16.618</v>
      </c>
    </row>
    <row r="56" spans="1:5">
      <c r="A56" t="s">
        <v>1796</v>
      </c>
      <c r="C56" t="s">
        <v>1797</v>
      </c>
      <c r="E56" s="14">
        <v>18.398</v>
      </c>
    </row>
    <row r="57" spans="1:5">
      <c r="A57" t="s">
        <v>1798</v>
      </c>
      <c r="C57" t="s">
        <v>1799</v>
      </c>
      <c r="E57" s="14">
        <v>21.298</v>
      </c>
    </row>
    <row r="58" spans="1:5">
      <c r="A58" t="s">
        <v>208</v>
      </c>
      <c r="C58" t="s">
        <v>208</v>
      </c>
      <c r="E58" s="14" t="s">
        <v>208</v>
      </c>
    </row>
    <row r="59" spans="1:5">
      <c r="A59" t="s">
        <v>1800</v>
      </c>
      <c r="C59" t="s">
        <v>1801</v>
      </c>
      <c r="E59" s="14" t="s">
        <v>490</v>
      </c>
    </row>
    <row r="60" spans="1:5">
      <c r="A60">
        <v>14.7117</v>
      </c>
      <c r="C60">
        <v>14.79</v>
      </c>
      <c r="E60" s="14">
        <v>9.825</v>
      </c>
    </row>
    <row r="61" spans="1:5">
      <c r="A61" t="s">
        <v>97</v>
      </c>
      <c r="C61" t="s">
        <v>97</v>
      </c>
      <c r="E61" s="14" t="s">
        <v>97</v>
      </c>
    </row>
    <row r="62" spans="1:3">
      <c r="A62">
        <f>AVERAGE(A8,A28,A48)</f>
        <v>2.96025</v>
      </c>
      <c r="C62">
        <f>AVERAGE(C8,C28,C48)</f>
        <v>0.789571333333333</v>
      </c>
    </row>
    <row r="63" spans="1:3">
      <c r="A63" t="e">
        <f t="shared" ref="A63:A65" si="0">AVERAGE(A15,A35,A55)</f>
        <v>#DIV/0!</v>
      </c>
      <c r="C63" t="e">
        <f>AVERAGE(C15,C35,C55)</f>
        <v>#DIV/0!</v>
      </c>
    </row>
    <row r="64" spans="1:3">
      <c r="A64" t="e">
        <f t="shared" si="0"/>
        <v>#DIV/0!</v>
      </c>
      <c r="C64" t="e">
        <f>AVERAGE(C16,C36,C56)</f>
        <v>#DIV/0!</v>
      </c>
    </row>
    <row r="65" spans="1:3">
      <c r="A65" t="e">
        <f t="shared" si="0"/>
        <v>#DIV/0!</v>
      </c>
      <c r="C65" t="e">
        <f>AVERAGE(C17,C37,C57)</f>
        <v>#DIV/0!</v>
      </c>
    </row>
    <row r="66" spans="1:3">
      <c r="A66">
        <f>AVERAGE(A60,A40,A20)</f>
        <v>14.8055666666667</v>
      </c>
      <c r="C66">
        <f>AVERAGE(C60,C40,C20)</f>
        <v>14.9222</v>
      </c>
    </row>
    <row r="67" spans="1:5">
      <c r="A67" s="6">
        <f>(((A48-A62)^2+(A28-A62)^2+(A8-A62)^2)/3)^(1/2)</f>
        <v>0.00458589867601394</v>
      </c>
      <c r="B67" s="6"/>
      <c r="C67" s="6">
        <f>(((C48-C62)^2+(C28-C62)^2+(C8-C62)^2)/3)^(1/2)</f>
        <v>0.00347302215496662</v>
      </c>
      <c r="E67" s="6"/>
    </row>
    <row r="68" spans="1:3">
      <c r="A68" t="e">
        <f t="shared" ref="A68:A70" si="1">(((A55-A63)^2+(A35-A63)^2+(A15-A63)^2)/3)^(1/2)</f>
        <v>#VALUE!</v>
      </c>
      <c r="C68" t="e">
        <f>(((C55-C63)^2+(C35-C63)^2+(C15-C63)^2)/3)^(1/2)</f>
        <v>#VALUE!</v>
      </c>
    </row>
    <row r="69" spans="1:3">
      <c r="A69" t="e">
        <f t="shared" si="1"/>
        <v>#VALUE!</v>
      </c>
      <c r="C69" t="e">
        <f>(((C56-C64)^2+(C36-C64)^2+(C16-C64)^2)/3)^(1/2)</f>
        <v>#VALUE!</v>
      </c>
    </row>
    <row r="70" spans="1:3">
      <c r="A70" t="e">
        <f t="shared" si="1"/>
        <v>#VALUE!</v>
      </c>
      <c r="C70" t="e">
        <f>(((C57-C65)^2+(C37-C65)^2+(C17-C65)^2)/3)^(1/2)</f>
        <v>#VALUE!</v>
      </c>
    </row>
    <row r="71" spans="1:5">
      <c r="A71" s="6">
        <f>(((A60-A66)^2+(A40-A66)^2+(A20-A66)^2)/3)^(1/2)</f>
        <v>0.067615842982412</v>
      </c>
      <c r="B71" s="6"/>
      <c r="C71" s="6">
        <f>(((C60-C66)^2+(C40-C66)^2+(C20-C66)^2)/3)^(1/2)</f>
        <v>0.13541942253606</v>
      </c>
      <c r="E71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623"/>
  <sheetViews>
    <sheetView topLeftCell="AK1" workbookViewId="0">
      <selection activeCell="V3" sqref="V3"/>
    </sheetView>
  </sheetViews>
  <sheetFormatPr defaultColWidth="9.16346153846154" defaultRowHeight="16.8"/>
  <cols>
    <col min="2" max="2" width="10.3365384615385"/>
    <col min="13" max="13" width="9.16346153846154" style="7"/>
    <col min="27" max="33" width="11"/>
    <col min="34" max="34" width="42.3076923076923" customWidth="1"/>
    <col min="35" max="37" width="11"/>
    <col min="54" max="54" width="11"/>
    <col min="55" max="55" width="35.5673076923077" customWidth="1"/>
    <col min="56" max="56" width="12.9230769230769"/>
    <col min="57" max="64" width="11"/>
    <col min="66" max="66" width="10"/>
    <col min="72" max="72" width="10"/>
    <col min="78" max="78" width="39.0961538461538" customWidth="1"/>
    <col min="79" max="79" width="10.3365384615385"/>
    <col min="80" max="80" width="39.0961538461538" customWidth="1"/>
  </cols>
  <sheetData>
    <row r="1" spans="1:54">
      <c r="A1" s="1" t="s">
        <v>87</v>
      </c>
      <c r="B1" s="22" t="s">
        <v>1802</v>
      </c>
      <c r="C1" s="15" t="s">
        <v>22</v>
      </c>
      <c r="G1" s="1" t="s">
        <v>87</v>
      </c>
      <c r="H1" s="22" t="s">
        <v>1802</v>
      </c>
      <c r="I1" s="15" t="s">
        <v>22</v>
      </c>
      <c r="N1" s="1" t="s">
        <v>87</v>
      </c>
      <c r="O1" s="22" t="s">
        <v>1802</v>
      </c>
      <c r="P1" s="15" t="s">
        <v>22</v>
      </c>
      <c r="T1" s="1" t="s">
        <v>87</v>
      </c>
      <c r="U1" s="22" t="s">
        <v>1802</v>
      </c>
      <c r="V1" s="15" t="s">
        <v>22</v>
      </c>
      <c r="AA1" s="1" t="s">
        <v>87</v>
      </c>
      <c r="AP1" t="s">
        <v>1802</v>
      </c>
      <c r="AQ1" s="22"/>
      <c r="AR1">
        <v>95</v>
      </c>
      <c r="AT1">
        <v>95</v>
      </c>
      <c r="AX1">
        <v>50</v>
      </c>
      <c r="AZ1">
        <v>50</v>
      </c>
      <c r="BB1" s="15" t="s">
        <v>22</v>
      </c>
    </row>
    <row r="2" spans="1:64">
      <c r="A2" s="7">
        <v>95</v>
      </c>
      <c r="B2" s="7">
        <v>95</v>
      </c>
      <c r="C2" s="7"/>
      <c r="D2" s="24">
        <v>95</v>
      </c>
      <c r="E2" s="24">
        <v>95</v>
      </c>
      <c r="F2" s="24" t="s">
        <v>1803</v>
      </c>
      <c r="G2" s="4">
        <v>50</v>
      </c>
      <c r="H2" s="4">
        <v>50</v>
      </c>
      <c r="I2" s="4"/>
      <c r="J2" s="7">
        <v>50</v>
      </c>
      <c r="K2" s="7">
        <v>50</v>
      </c>
      <c r="L2" s="7" t="s">
        <v>1803</v>
      </c>
      <c r="N2" s="7">
        <v>95</v>
      </c>
      <c r="O2" s="7">
        <v>95</v>
      </c>
      <c r="P2" s="7"/>
      <c r="Q2" s="24">
        <v>95</v>
      </c>
      <c r="R2" s="24">
        <v>95</v>
      </c>
      <c r="S2" s="24" t="s">
        <v>1803</v>
      </c>
      <c r="T2" s="4">
        <v>50</v>
      </c>
      <c r="U2" s="4"/>
      <c r="V2" s="4">
        <v>50</v>
      </c>
      <c r="W2" s="7">
        <v>50</v>
      </c>
      <c r="X2" s="7">
        <v>50</v>
      </c>
      <c r="Y2" s="7" t="s">
        <v>1803</v>
      </c>
      <c r="Z2" s="7"/>
      <c r="AA2">
        <v>95</v>
      </c>
      <c r="AC2" t="s">
        <v>1804</v>
      </c>
      <c r="AE2" t="s">
        <v>1803</v>
      </c>
      <c r="AG2">
        <v>50</v>
      </c>
      <c r="AI2" t="s">
        <v>1804</v>
      </c>
      <c r="AK2" t="s">
        <v>1803</v>
      </c>
      <c r="AL2" s="7"/>
      <c r="AM2" s="7"/>
      <c r="AN2" s="7"/>
      <c r="AO2" s="7"/>
      <c r="AP2">
        <v>95</v>
      </c>
      <c r="AR2" t="s">
        <v>1804</v>
      </c>
      <c r="AT2" t="s">
        <v>1803</v>
      </c>
      <c r="AV2">
        <v>50</v>
      </c>
      <c r="AX2" t="s">
        <v>1804</v>
      </c>
      <c r="AZ2" t="s">
        <v>1803</v>
      </c>
      <c r="BB2">
        <v>95</v>
      </c>
      <c r="BD2" t="s">
        <v>1804</v>
      </c>
      <c r="BF2" t="s">
        <v>1803</v>
      </c>
      <c r="BH2">
        <v>50</v>
      </c>
      <c r="BJ2" t="s">
        <v>1804</v>
      </c>
      <c r="BL2" t="s">
        <v>1803</v>
      </c>
    </row>
    <row r="3" spans="1:79">
      <c r="A3">
        <f t="shared" ref="A3:L3" si="0">N3/1000</f>
        <v>3.347</v>
      </c>
      <c r="B3">
        <f t="shared" si="0"/>
        <v>5.935</v>
      </c>
      <c r="C3">
        <f t="shared" si="0"/>
        <v>5.899</v>
      </c>
      <c r="D3">
        <f t="shared" si="0"/>
        <v>6.231</v>
      </c>
      <c r="E3">
        <f t="shared" si="0"/>
        <v>5.935</v>
      </c>
      <c r="F3">
        <f t="shared" si="0"/>
        <v>5.899</v>
      </c>
      <c r="G3">
        <f t="shared" si="0"/>
        <v>2.707</v>
      </c>
      <c r="H3">
        <f t="shared" si="0"/>
        <v>5.447</v>
      </c>
      <c r="I3">
        <f t="shared" si="0"/>
        <v>6.157</v>
      </c>
      <c r="J3">
        <f t="shared" si="0"/>
        <v>5.786</v>
      </c>
      <c r="K3">
        <f t="shared" si="0"/>
        <v>6.316</v>
      </c>
      <c r="L3">
        <f t="shared" si="0"/>
        <v>6.157</v>
      </c>
      <c r="N3">
        <v>3347</v>
      </c>
      <c r="O3">
        <v>5935</v>
      </c>
      <c r="P3">
        <v>5899</v>
      </c>
      <c r="Q3">
        <v>6231</v>
      </c>
      <c r="R3">
        <v>5935</v>
      </c>
      <c r="S3">
        <v>5899</v>
      </c>
      <c r="T3">
        <v>2707</v>
      </c>
      <c r="U3">
        <v>5447</v>
      </c>
      <c r="V3">
        <v>6157</v>
      </c>
      <c r="W3">
        <v>5786</v>
      </c>
      <c r="X3">
        <v>6316</v>
      </c>
      <c r="Y3">
        <v>6157</v>
      </c>
      <c r="AA3" t="s">
        <v>41</v>
      </c>
      <c r="AG3" t="s">
        <v>41</v>
      </c>
      <c r="AP3" t="s">
        <v>41</v>
      </c>
      <c r="AV3" t="s">
        <v>41</v>
      </c>
      <c r="BB3" t="s">
        <v>41</v>
      </c>
      <c r="BH3" t="s">
        <v>41</v>
      </c>
      <c r="CA3" s="21"/>
    </row>
    <row r="4" spans="1:60">
      <c r="A4">
        <f t="shared" ref="A4:A67" si="1">N4/1000</f>
        <v>3.375</v>
      </c>
      <c r="B4">
        <f t="shared" ref="B4:B67" si="2">O4/1000</f>
        <v>5.94</v>
      </c>
      <c r="C4">
        <f t="shared" ref="C4:C67" si="3">P4/1000</f>
        <v>5.907</v>
      </c>
      <c r="D4">
        <f t="shared" ref="D4:D67" si="4">Q4/1000</f>
        <v>6.263</v>
      </c>
      <c r="E4">
        <f t="shared" ref="E4:E67" si="5">R4/1000</f>
        <v>5.95</v>
      </c>
      <c r="F4">
        <f t="shared" ref="F4:F67" si="6">S4/1000</f>
        <v>5.907</v>
      </c>
      <c r="G4">
        <f t="shared" ref="G4:G67" si="7">T4/1000</f>
        <v>2.721</v>
      </c>
      <c r="H4">
        <f t="shared" ref="H4:H67" si="8">U4/1000</f>
        <v>5.463</v>
      </c>
      <c r="I4">
        <f t="shared" ref="I4:I67" si="9">V4/1000</f>
        <v>6.163</v>
      </c>
      <c r="J4">
        <f t="shared" ref="J4:J67" si="10">W4/1000</f>
        <v>5.84</v>
      </c>
      <c r="K4">
        <f t="shared" ref="K4:K67" si="11">X4/1000</f>
        <v>6.361</v>
      </c>
      <c r="L4">
        <f t="shared" ref="L4:L67" si="12">Y4/1000</f>
        <v>6.163</v>
      </c>
      <c r="N4">
        <v>3375</v>
      </c>
      <c r="O4">
        <v>5940</v>
      </c>
      <c r="P4">
        <v>5907</v>
      </c>
      <c r="Q4">
        <v>6263</v>
      </c>
      <c r="R4">
        <v>5950</v>
      </c>
      <c r="S4">
        <v>5907</v>
      </c>
      <c r="T4">
        <v>2721</v>
      </c>
      <c r="U4">
        <v>5463</v>
      </c>
      <c r="V4">
        <v>6163</v>
      </c>
      <c r="W4">
        <v>5840</v>
      </c>
      <c r="X4">
        <v>6361</v>
      </c>
      <c r="Y4">
        <v>6163</v>
      </c>
      <c r="AA4" t="s">
        <v>42</v>
      </c>
      <c r="AG4" t="s">
        <v>42</v>
      </c>
      <c r="AP4" t="s">
        <v>42</v>
      </c>
      <c r="AV4" t="s">
        <v>42</v>
      </c>
      <c r="BB4" t="s">
        <v>1805</v>
      </c>
      <c r="BH4" t="s">
        <v>1805</v>
      </c>
    </row>
    <row r="5" spans="1:60">
      <c r="A5">
        <f t="shared" si="1"/>
        <v>3.419</v>
      </c>
      <c r="B5">
        <f t="shared" si="2"/>
        <v>5.95</v>
      </c>
      <c r="C5">
        <f t="shared" si="3"/>
        <v>5.915</v>
      </c>
      <c r="D5">
        <f t="shared" si="4"/>
        <v>6.304</v>
      </c>
      <c r="E5">
        <f t="shared" si="5"/>
        <v>6.069</v>
      </c>
      <c r="F5">
        <f t="shared" si="6"/>
        <v>5.915</v>
      </c>
      <c r="G5">
        <f t="shared" si="7"/>
        <v>2.721</v>
      </c>
      <c r="H5">
        <f t="shared" si="8"/>
        <v>5.573</v>
      </c>
      <c r="I5">
        <f t="shared" si="9"/>
        <v>6.187</v>
      </c>
      <c r="J5">
        <f t="shared" si="10"/>
        <v>5.922</v>
      </c>
      <c r="K5">
        <f t="shared" si="11"/>
        <v>6.547</v>
      </c>
      <c r="L5">
        <f t="shared" si="12"/>
        <v>6.187</v>
      </c>
      <c r="N5">
        <v>3419</v>
      </c>
      <c r="O5">
        <v>5950</v>
      </c>
      <c r="P5">
        <v>5915</v>
      </c>
      <c r="Q5">
        <v>6304</v>
      </c>
      <c r="R5">
        <v>6069</v>
      </c>
      <c r="S5">
        <v>5915</v>
      </c>
      <c r="T5">
        <v>2721</v>
      </c>
      <c r="U5">
        <v>5573</v>
      </c>
      <c r="V5">
        <v>6187</v>
      </c>
      <c r="W5">
        <v>5922</v>
      </c>
      <c r="X5">
        <v>6547</v>
      </c>
      <c r="Y5">
        <v>6187</v>
      </c>
      <c r="AA5" t="s">
        <v>43</v>
      </c>
      <c r="AG5" t="s">
        <v>43</v>
      </c>
      <c r="AP5" t="s">
        <v>43</v>
      </c>
      <c r="AV5" t="s">
        <v>43</v>
      </c>
      <c r="BB5" t="s">
        <v>42</v>
      </c>
      <c r="BH5" t="s">
        <v>42</v>
      </c>
    </row>
    <row r="6" spans="1:60">
      <c r="A6">
        <f t="shared" si="1"/>
        <v>3.427</v>
      </c>
      <c r="B6">
        <f t="shared" si="2"/>
        <v>5.991</v>
      </c>
      <c r="C6">
        <f t="shared" si="3"/>
        <v>5.95</v>
      </c>
      <c r="D6">
        <f t="shared" si="4"/>
        <v>6.311</v>
      </c>
      <c r="E6">
        <f t="shared" si="5"/>
        <v>6.087</v>
      </c>
      <c r="F6">
        <f t="shared" si="6"/>
        <v>5.95</v>
      </c>
      <c r="G6">
        <f t="shared" si="7"/>
        <v>2.753</v>
      </c>
      <c r="H6">
        <f t="shared" si="8"/>
        <v>5.723</v>
      </c>
      <c r="I6">
        <f t="shared" si="9"/>
        <v>6.203</v>
      </c>
      <c r="J6">
        <f t="shared" si="10"/>
        <v>5.972</v>
      </c>
      <c r="K6">
        <f t="shared" si="11"/>
        <v>6.55</v>
      </c>
      <c r="L6">
        <f t="shared" si="12"/>
        <v>6.203</v>
      </c>
      <c r="N6">
        <v>3427</v>
      </c>
      <c r="O6">
        <v>5991</v>
      </c>
      <c r="P6">
        <v>5950</v>
      </c>
      <c r="Q6">
        <v>6311</v>
      </c>
      <c r="R6">
        <v>6087</v>
      </c>
      <c r="S6">
        <v>5950</v>
      </c>
      <c r="T6">
        <v>2753</v>
      </c>
      <c r="U6">
        <v>5723</v>
      </c>
      <c r="V6">
        <v>6203</v>
      </c>
      <c r="W6">
        <v>5972</v>
      </c>
      <c r="X6">
        <v>6550</v>
      </c>
      <c r="Y6">
        <v>6203</v>
      </c>
      <c r="AA6" t="s">
        <v>44</v>
      </c>
      <c r="AG6" t="s">
        <v>44</v>
      </c>
      <c r="AP6" t="s">
        <v>44</v>
      </c>
      <c r="AV6" t="s">
        <v>44</v>
      </c>
      <c r="BB6" t="s">
        <v>43</v>
      </c>
      <c r="BH6" t="s">
        <v>43</v>
      </c>
    </row>
    <row r="7" spans="1:60">
      <c r="A7">
        <f t="shared" si="1"/>
        <v>3.449</v>
      </c>
      <c r="B7">
        <f t="shared" si="2"/>
        <v>6.013</v>
      </c>
      <c r="C7">
        <f t="shared" si="3"/>
        <v>5.989</v>
      </c>
      <c r="D7">
        <f t="shared" si="4"/>
        <v>6.32</v>
      </c>
      <c r="E7">
        <f t="shared" si="5"/>
        <v>6.102</v>
      </c>
      <c r="F7">
        <f t="shared" si="6"/>
        <v>5.989</v>
      </c>
      <c r="G7">
        <f t="shared" si="7"/>
        <v>2.753</v>
      </c>
      <c r="H7">
        <f t="shared" si="8"/>
        <v>5.741</v>
      </c>
      <c r="I7">
        <f t="shared" si="9"/>
        <v>6.259</v>
      </c>
      <c r="J7">
        <f t="shared" si="10"/>
        <v>5.98</v>
      </c>
      <c r="K7">
        <f t="shared" si="11"/>
        <v>6.565</v>
      </c>
      <c r="L7">
        <f t="shared" si="12"/>
        <v>6.259</v>
      </c>
      <c r="N7">
        <v>3449</v>
      </c>
      <c r="O7">
        <v>6013</v>
      </c>
      <c r="P7">
        <v>5989</v>
      </c>
      <c r="Q7">
        <v>6320</v>
      </c>
      <c r="R7">
        <v>6102</v>
      </c>
      <c r="S7">
        <v>5989</v>
      </c>
      <c r="T7">
        <v>2753</v>
      </c>
      <c r="U7">
        <v>5741</v>
      </c>
      <c r="V7">
        <v>6259</v>
      </c>
      <c r="W7">
        <v>5980</v>
      </c>
      <c r="X7">
        <v>6565</v>
      </c>
      <c r="Y7">
        <v>6259</v>
      </c>
      <c r="AA7" t="s">
        <v>45</v>
      </c>
      <c r="AG7" t="s">
        <v>45</v>
      </c>
      <c r="AP7" t="s">
        <v>1806</v>
      </c>
      <c r="AV7" t="s">
        <v>1807</v>
      </c>
      <c r="BB7" t="s">
        <v>44</v>
      </c>
      <c r="BH7" t="s">
        <v>44</v>
      </c>
    </row>
    <row r="8" spans="1:60">
      <c r="A8">
        <f t="shared" si="1"/>
        <v>3.451</v>
      </c>
      <c r="B8">
        <f t="shared" si="2"/>
        <v>6.069</v>
      </c>
      <c r="C8">
        <f t="shared" si="3"/>
        <v>6.055</v>
      </c>
      <c r="D8">
        <f t="shared" si="4"/>
        <v>6.326</v>
      </c>
      <c r="E8">
        <f t="shared" si="5"/>
        <v>6.334</v>
      </c>
      <c r="F8">
        <f t="shared" si="6"/>
        <v>6.055</v>
      </c>
      <c r="G8">
        <f t="shared" si="7"/>
        <v>2.754</v>
      </c>
      <c r="H8">
        <f t="shared" si="8"/>
        <v>5.828</v>
      </c>
      <c r="I8">
        <f t="shared" si="9"/>
        <v>6.281</v>
      </c>
      <c r="J8">
        <f t="shared" si="10"/>
        <v>6.007</v>
      </c>
      <c r="K8">
        <f t="shared" si="11"/>
        <v>6.619</v>
      </c>
      <c r="L8">
        <f t="shared" si="12"/>
        <v>6.281</v>
      </c>
      <c r="N8">
        <v>3451</v>
      </c>
      <c r="O8">
        <v>6069</v>
      </c>
      <c r="P8">
        <v>6055</v>
      </c>
      <c r="Q8">
        <v>6326</v>
      </c>
      <c r="R8">
        <v>6334</v>
      </c>
      <c r="S8">
        <v>6055</v>
      </c>
      <c r="T8">
        <v>2754</v>
      </c>
      <c r="U8">
        <v>5828</v>
      </c>
      <c r="V8">
        <v>6281</v>
      </c>
      <c r="W8">
        <v>6007</v>
      </c>
      <c r="X8">
        <v>6619</v>
      </c>
      <c r="Y8">
        <v>6281</v>
      </c>
      <c r="AA8" t="s">
        <v>1808</v>
      </c>
      <c r="AG8" t="s">
        <v>1809</v>
      </c>
      <c r="AP8" t="s">
        <v>1810</v>
      </c>
      <c r="AV8" t="s">
        <v>1811</v>
      </c>
      <c r="BB8" t="s">
        <v>1812</v>
      </c>
      <c r="BH8" t="s">
        <v>1813</v>
      </c>
    </row>
    <row r="9" spans="1:60">
      <c r="A9">
        <f t="shared" si="1"/>
        <v>3.461</v>
      </c>
      <c r="B9">
        <f t="shared" si="2"/>
        <v>6.087</v>
      </c>
      <c r="C9">
        <f t="shared" si="3"/>
        <v>6.08</v>
      </c>
      <c r="D9">
        <f t="shared" si="4"/>
        <v>6.332</v>
      </c>
      <c r="E9">
        <f t="shared" si="5"/>
        <v>6.344</v>
      </c>
      <c r="F9">
        <f t="shared" si="6"/>
        <v>6.08</v>
      </c>
      <c r="G9">
        <f t="shared" si="7"/>
        <v>2.76</v>
      </c>
      <c r="H9">
        <f t="shared" si="8"/>
        <v>5.833</v>
      </c>
      <c r="I9">
        <f t="shared" si="9"/>
        <v>6.295</v>
      </c>
      <c r="J9">
        <f t="shared" si="10"/>
        <v>6.013</v>
      </c>
      <c r="K9">
        <f t="shared" si="11"/>
        <v>6.749</v>
      </c>
      <c r="L9">
        <f t="shared" si="12"/>
        <v>6.295</v>
      </c>
      <c r="N9">
        <v>3461</v>
      </c>
      <c r="O9">
        <v>6087</v>
      </c>
      <c r="P9">
        <v>6080</v>
      </c>
      <c r="Q9">
        <v>6332</v>
      </c>
      <c r="R9">
        <v>6344</v>
      </c>
      <c r="S9">
        <v>6080</v>
      </c>
      <c r="T9">
        <v>2760</v>
      </c>
      <c r="U9">
        <v>5833</v>
      </c>
      <c r="V9">
        <v>6295</v>
      </c>
      <c r="W9">
        <v>6013</v>
      </c>
      <c r="X9">
        <v>6749</v>
      </c>
      <c r="Y9">
        <v>6295</v>
      </c>
      <c r="AA9" t="s">
        <v>1814</v>
      </c>
      <c r="AG9" t="s">
        <v>1815</v>
      </c>
      <c r="AP9" t="s">
        <v>1816</v>
      </c>
      <c r="AV9" t="s">
        <v>1817</v>
      </c>
      <c r="BB9" t="s">
        <v>1818</v>
      </c>
      <c r="BH9" t="s">
        <v>1819</v>
      </c>
    </row>
    <row r="10" spans="1:60">
      <c r="A10">
        <f t="shared" si="1"/>
        <v>3.462</v>
      </c>
      <c r="B10">
        <f t="shared" si="2"/>
        <v>6.102</v>
      </c>
      <c r="C10">
        <f t="shared" si="3"/>
        <v>6.11</v>
      </c>
      <c r="D10">
        <f t="shared" si="4"/>
        <v>6.345</v>
      </c>
      <c r="E10">
        <f t="shared" si="5"/>
        <v>6.374</v>
      </c>
      <c r="F10">
        <f t="shared" si="6"/>
        <v>6.11</v>
      </c>
      <c r="G10">
        <f t="shared" si="7"/>
        <v>2.763</v>
      </c>
      <c r="H10">
        <f t="shared" si="8"/>
        <v>5.953</v>
      </c>
      <c r="I10">
        <f t="shared" si="9"/>
        <v>6.328</v>
      </c>
      <c r="J10">
        <f t="shared" si="10"/>
        <v>6.023</v>
      </c>
      <c r="K10">
        <f t="shared" si="11"/>
        <v>6.808</v>
      </c>
      <c r="L10">
        <f t="shared" si="12"/>
        <v>6.328</v>
      </c>
      <c r="N10">
        <v>3462</v>
      </c>
      <c r="O10">
        <v>6102</v>
      </c>
      <c r="P10">
        <v>6110</v>
      </c>
      <c r="Q10">
        <v>6345</v>
      </c>
      <c r="R10">
        <v>6374</v>
      </c>
      <c r="S10">
        <v>6110</v>
      </c>
      <c r="T10">
        <v>2763</v>
      </c>
      <c r="U10">
        <v>5953</v>
      </c>
      <c r="V10">
        <v>6328</v>
      </c>
      <c r="W10">
        <v>6023</v>
      </c>
      <c r="X10">
        <v>6808</v>
      </c>
      <c r="Y10">
        <v>6328</v>
      </c>
      <c r="AA10" t="s">
        <v>1820</v>
      </c>
      <c r="AG10" t="s">
        <v>1821</v>
      </c>
      <c r="AP10" t="s">
        <v>1822</v>
      </c>
      <c r="AR10">
        <v>5935</v>
      </c>
      <c r="AT10">
        <v>5935</v>
      </c>
      <c r="AV10" t="s">
        <v>1823</v>
      </c>
      <c r="AX10">
        <v>5447</v>
      </c>
      <c r="AZ10">
        <v>6316</v>
      </c>
      <c r="BB10" t="s">
        <v>1824</v>
      </c>
      <c r="BH10" t="s">
        <v>1825</v>
      </c>
    </row>
    <row r="11" spans="1:64">
      <c r="A11">
        <f t="shared" si="1"/>
        <v>3.494</v>
      </c>
      <c r="B11">
        <f t="shared" si="2"/>
        <v>6.248</v>
      </c>
      <c r="C11">
        <f t="shared" si="3"/>
        <v>6.114</v>
      </c>
      <c r="D11">
        <f t="shared" si="4"/>
        <v>6.347</v>
      </c>
      <c r="E11">
        <f t="shared" si="5"/>
        <v>6.393</v>
      </c>
      <c r="F11">
        <f t="shared" si="6"/>
        <v>6.114</v>
      </c>
      <c r="G11">
        <f t="shared" si="7"/>
        <v>2.766</v>
      </c>
      <c r="H11">
        <f t="shared" si="8"/>
        <v>5.962</v>
      </c>
      <c r="I11">
        <f t="shared" si="9"/>
        <v>6.341</v>
      </c>
      <c r="J11">
        <f t="shared" si="10"/>
        <v>6.03</v>
      </c>
      <c r="K11">
        <f t="shared" si="11"/>
        <v>6.834</v>
      </c>
      <c r="L11">
        <f t="shared" si="12"/>
        <v>6.341</v>
      </c>
      <c r="N11">
        <v>3494</v>
      </c>
      <c r="O11">
        <v>6248</v>
      </c>
      <c r="P11">
        <v>6114</v>
      </c>
      <c r="Q11">
        <v>6347</v>
      </c>
      <c r="R11">
        <v>6393</v>
      </c>
      <c r="S11">
        <v>6114</v>
      </c>
      <c r="T11">
        <v>2766</v>
      </c>
      <c r="U11">
        <v>5962</v>
      </c>
      <c r="V11">
        <v>6341</v>
      </c>
      <c r="W11">
        <v>6030</v>
      </c>
      <c r="X11">
        <v>6834</v>
      </c>
      <c r="Y11">
        <v>6341</v>
      </c>
      <c r="AA11" t="s">
        <v>1826</v>
      </c>
      <c r="AC11">
        <v>3347</v>
      </c>
      <c r="AE11">
        <v>6231</v>
      </c>
      <c r="AG11" t="s">
        <v>1827</v>
      </c>
      <c r="AI11">
        <v>2707</v>
      </c>
      <c r="AK11">
        <v>5786</v>
      </c>
      <c r="AP11" t="s">
        <v>1828</v>
      </c>
      <c r="AR11">
        <v>5940</v>
      </c>
      <c r="AT11">
        <v>5950</v>
      </c>
      <c r="AV11" t="s">
        <v>1829</v>
      </c>
      <c r="AX11">
        <v>5463</v>
      </c>
      <c r="AZ11">
        <v>6361</v>
      </c>
      <c r="BB11" t="s">
        <v>1830</v>
      </c>
      <c r="BD11">
        <v>5899</v>
      </c>
      <c r="BF11">
        <v>5899</v>
      </c>
      <c r="BH11" t="s">
        <v>1831</v>
      </c>
      <c r="BJ11">
        <v>6157</v>
      </c>
      <c r="BL11">
        <v>6157</v>
      </c>
    </row>
    <row r="12" spans="1:64">
      <c r="A12">
        <f t="shared" si="1"/>
        <v>3.506</v>
      </c>
      <c r="B12">
        <f t="shared" si="2"/>
        <v>6.329</v>
      </c>
      <c r="C12">
        <f t="shared" si="3"/>
        <v>6.12</v>
      </c>
      <c r="D12">
        <f t="shared" si="4"/>
        <v>6.347</v>
      </c>
      <c r="E12">
        <f t="shared" si="5"/>
        <v>6.4</v>
      </c>
      <c r="F12">
        <f t="shared" si="6"/>
        <v>6.12</v>
      </c>
      <c r="G12">
        <f t="shared" si="7"/>
        <v>2.766</v>
      </c>
      <c r="H12">
        <f t="shared" si="8"/>
        <v>5.983</v>
      </c>
      <c r="I12">
        <f t="shared" si="9"/>
        <v>6.346</v>
      </c>
      <c r="J12">
        <f t="shared" si="10"/>
        <v>6.043</v>
      </c>
      <c r="K12">
        <f t="shared" si="11"/>
        <v>6.913</v>
      </c>
      <c r="L12">
        <f t="shared" si="12"/>
        <v>6.346</v>
      </c>
      <c r="N12">
        <v>3506</v>
      </c>
      <c r="O12">
        <v>6329</v>
      </c>
      <c r="P12">
        <v>6120</v>
      </c>
      <c r="Q12">
        <v>6347</v>
      </c>
      <c r="R12">
        <v>6400</v>
      </c>
      <c r="S12">
        <v>6120</v>
      </c>
      <c r="T12">
        <v>2766</v>
      </c>
      <c r="U12">
        <v>5983</v>
      </c>
      <c r="V12">
        <v>6346</v>
      </c>
      <c r="W12">
        <v>6043</v>
      </c>
      <c r="X12">
        <v>6913</v>
      </c>
      <c r="Y12">
        <v>6346</v>
      </c>
      <c r="AA12" t="s">
        <v>1832</v>
      </c>
      <c r="AC12">
        <v>3375</v>
      </c>
      <c r="AE12">
        <v>6263</v>
      </c>
      <c r="AG12" t="s">
        <v>1833</v>
      </c>
      <c r="AI12">
        <v>2721</v>
      </c>
      <c r="AK12">
        <v>5840</v>
      </c>
      <c r="AP12" t="s">
        <v>1834</v>
      </c>
      <c r="AR12">
        <v>5950</v>
      </c>
      <c r="AT12">
        <v>6069</v>
      </c>
      <c r="AV12" t="s">
        <v>1835</v>
      </c>
      <c r="AX12">
        <v>5573</v>
      </c>
      <c r="AZ12">
        <v>6547</v>
      </c>
      <c r="BB12" t="s">
        <v>1836</v>
      </c>
      <c r="BD12">
        <v>5907</v>
      </c>
      <c r="BF12">
        <v>5907</v>
      </c>
      <c r="BH12" t="s">
        <v>1837</v>
      </c>
      <c r="BJ12">
        <v>6163</v>
      </c>
      <c r="BL12">
        <v>6163</v>
      </c>
    </row>
    <row r="13" spans="1:64">
      <c r="A13">
        <f t="shared" si="1"/>
        <v>3.508</v>
      </c>
      <c r="B13">
        <f t="shared" si="2"/>
        <v>6.334</v>
      </c>
      <c r="C13">
        <f t="shared" si="3"/>
        <v>6.12</v>
      </c>
      <c r="D13">
        <f t="shared" si="4"/>
        <v>6.366</v>
      </c>
      <c r="E13">
        <f t="shared" si="5"/>
        <v>6.425</v>
      </c>
      <c r="F13">
        <f t="shared" si="6"/>
        <v>6.12</v>
      </c>
      <c r="G13">
        <f t="shared" si="7"/>
        <v>2.772</v>
      </c>
      <c r="H13">
        <f t="shared" si="8"/>
        <v>6.031</v>
      </c>
      <c r="I13">
        <f t="shared" si="9"/>
        <v>6.348</v>
      </c>
      <c r="J13">
        <f t="shared" si="10"/>
        <v>6.072</v>
      </c>
      <c r="K13">
        <f t="shared" si="11"/>
        <v>6.989</v>
      </c>
      <c r="L13">
        <f t="shared" si="12"/>
        <v>6.348</v>
      </c>
      <c r="N13">
        <v>3508</v>
      </c>
      <c r="O13">
        <v>6334</v>
      </c>
      <c r="P13">
        <v>6120</v>
      </c>
      <c r="Q13">
        <v>6366</v>
      </c>
      <c r="R13">
        <v>6425</v>
      </c>
      <c r="S13">
        <v>6120</v>
      </c>
      <c r="T13">
        <v>2772</v>
      </c>
      <c r="U13">
        <v>6031</v>
      </c>
      <c r="V13">
        <v>6348</v>
      </c>
      <c r="W13">
        <v>6072</v>
      </c>
      <c r="X13">
        <v>6989</v>
      </c>
      <c r="Y13">
        <v>6348</v>
      </c>
      <c r="AA13" t="s">
        <v>1838</v>
      </c>
      <c r="AC13">
        <v>3419</v>
      </c>
      <c r="AE13">
        <v>6304</v>
      </c>
      <c r="AG13" t="s">
        <v>1839</v>
      </c>
      <c r="AI13">
        <v>2721</v>
      </c>
      <c r="AK13">
        <v>5922</v>
      </c>
      <c r="AP13" t="s">
        <v>1840</v>
      </c>
      <c r="AR13">
        <v>5991</v>
      </c>
      <c r="AT13">
        <v>6087</v>
      </c>
      <c r="AV13" t="s">
        <v>1841</v>
      </c>
      <c r="AX13">
        <v>5723</v>
      </c>
      <c r="AZ13">
        <v>6550</v>
      </c>
      <c r="BB13" t="s">
        <v>1842</v>
      </c>
      <c r="BD13">
        <v>5915</v>
      </c>
      <c r="BF13">
        <v>5915</v>
      </c>
      <c r="BH13" t="s">
        <v>1843</v>
      </c>
      <c r="BJ13">
        <v>6187</v>
      </c>
      <c r="BL13">
        <v>6187</v>
      </c>
    </row>
    <row r="14" spans="1:64">
      <c r="A14">
        <f t="shared" si="1"/>
        <v>3.515</v>
      </c>
      <c r="B14">
        <f t="shared" si="2"/>
        <v>6.344</v>
      </c>
      <c r="C14">
        <f t="shared" si="3"/>
        <v>6.123</v>
      </c>
      <c r="D14">
        <f t="shared" si="4"/>
        <v>6.374</v>
      </c>
      <c r="E14">
        <f t="shared" si="5"/>
        <v>6.47</v>
      </c>
      <c r="F14">
        <f t="shared" si="6"/>
        <v>6.123</v>
      </c>
      <c r="G14">
        <f t="shared" si="7"/>
        <v>2.773</v>
      </c>
      <c r="H14">
        <f t="shared" si="8"/>
        <v>6.043</v>
      </c>
      <c r="I14">
        <f t="shared" si="9"/>
        <v>6.363</v>
      </c>
      <c r="J14">
        <f t="shared" si="10"/>
        <v>6.081</v>
      </c>
      <c r="K14">
        <f t="shared" si="11"/>
        <v>7.098</v>
      </c>
      <c r="L14">
        <f t="shared" si="12"/>
        <v>6.363</v>
      </c>
      <c r="N14">
        <v>3515</v>
      </c>
      <c r="O14">
        <v>6344</v>
      </c>
      <c r="P14">
        <v>6123</v>
      </c>
      <c r="Q14">
        <v>6374</v>
      </c>
      <c r="R14">
        <v>6470</v>
      </c>
      <c r="S14">
        <v>6123</v>
      </c>
      <c r="T14">
        <v>2773</v>
      </c>
      <c r="U14">
        <v>6043</v>
      </c>
      <c r="V14">
        <v>6363</v>
      </c>
      <c r="W14">
        <v>6081</v>
      </c>
      <c r="X14">
        <v>7098</v>
      </c>
      <c r="Y14">
        <v>6363</v>
      </c>
      <c r="AA14" t="s">
        <v>1844</v>
      </c>
      <c r="AC14">
        <v>3427</v>
      </c>
      <c r="AE14">
        <v>6311</v>
      </c>
      <c r="AG14" t="s">
        <v>1845</v>
      </c>
      <c r="AI14">
        <v>2753</v>
      </c>
      <c r="AK14">
        <v>5972</v>
      </c>
      <c r="AP14" t="s">
        <v>1846</v>
      </c>
      <c r="AR14">
        <v>6013</v>
      </c>
      <c r="AT14">
        <v>6102</v>
      </c>
      <c r="AV14" t="s">
        <v>1847</v>
      </c>
      <c r="AX14">
        <v>5741</v>
      </c>
      <c r="AZ14">
        <v>6565</v>
      </c>
      <c r="BB14" t="s">
        <v>1848</v>
      </c>
      <c r="BD14">
        <v>5950</v>
      </c>
      <c r="BF14">
        <v>5950</v>
      </c>
      <c r="BH14" t="s">
        <v>1849</v>
      </c>
      <c r="BJ14">
        <v>6203</v>
      </c>
      <c r="BL14">
        <v>6203</v>
      </c>
    </row>
    <row r="15" spans="1:64">
      <c r="A15">
        <f t="shared" si="1"/>
        <v>3.516</v>
      </c>
      <c r="B15">
        <f t="shared" si="2"/>
        <v>6.374</v>
      </c>
      <c r="C15">
        <f t="shared" si="3"/>
        <v>6.124</v>
      </c>
      <c r="D15">
        <f t="shared" si="4"/>
        <v>6.376</v>
      </c>
      <c r="E15">
        <f t="shared" si="5"/>
        <v>6.524</v>
      </c>
      <c r="F15">
        <f t="shared" si="6"/>
        <v>6.124</v>
      </c>
      <c r="G15">
        <f t="shared" si="7"/>
        <v>2.774</v>
      </c>
      <c r="H15">
        <f t="shared" si="8"/>
        <v>6.084</v>
      </c>
      <c r="I15">
        <f t="shared" si="9"/>
        <v>6.365</v>
      </c>
      <c r="J15">
        <f t="shared" si="10"/>
        <v>6.095</v>
      </c>
      <c r="K15">
        <f t="shared" si="11"/>
        <v>7.1</v>
      </c>
      <c r="L15">
        <f t="shared" si="12"/>
        <v>6.365</v>
      </c>
      <c r="N15">
        <v>3516</v>
      </c>
      <c r="O15">
        <v>6374</v>
      </c>
      <c r="P15">
        <v>6124</v>
      </c>
      <c r="Q15">
        <v>6376</v>
      </c>
      <c r="R15">
        <v>6524</v>
      </c>
      <c r="S15">
        <v>6124</v>
      </c>
      <c r="T15">
        <v>2774</v>
      </c>
      <c r="U15">
        <v>6084</v>
      </c>
      <c r="V15">
        <v>6365</v>
      </c>
      <c r="W15">
        <v>6095</v>
      </c>
      <c r="X15">
        <v>7100</v>
      </c>
      <c r="Y15">
        <v>6365</v>
      </c>
      <c r="AA15" t="s">
        <v>1850</v>
      </c>
      <c r="AC15">
        <v>3449</v>
      </c>
      <c r="AE15">
        <v>6320</v>
      </c>
      <c r="AG15" t="s">
        <v>1851</v>
      </c>
      <c r="AI15">
        <v>2753</v>
      </c>
      <c r="AK15">
        <v>5980</v>
      </c>
      <c r="AP15" t="s">
        <v>1852</v>
      </c>
      <c r="AR15">
        <v>6069</v>
      </c>
      <c r="AT15">
        <v>6334</v>
      </c>
      <c r="AV15" t="s">
        <v>1853</v>
      </c>
      <c r="AX15">
        <v>5828</v>
      </c>
      <c r="AZ15">
        <v>6619</v>
      </c>
      <c r="BB15" t="s">
        <v>1854</v>
      </c>
      <c r="BD15">
        <v>5989</v>
      </c>
      <c r="BF15">
        <v>5989</v>
      </c>
      <c r="BH15" t="s">
        <v>1855</v>
      </c>
      <c r="BJ15">
        <v>6259</v>
      </c>
      <c r="BL15">
        <v>6259</v>
      </c>
    </row>
    <row r="16" spans="1:64">
      <c r="A16">
        <f t="shared" si="1"/>
        <v>3.519</v>
      </c>
      <c r="B16">
        <f t="shared" si="2"/>
        <v>6.393</v>
      </c>
      <c r="C16">
        <f t="shared" si="3"/>
        <v>6.128</v>
      </c>
      <c r="D16">
        <f t="shared" si="4"/>
        <v>6.378</v>
      </c>
      <c r="E16">
        <f t="shared" si="5"/>
        <v>6.556</v>
      </c>
      <c r="F16">
        <f t="shared" si="6"/>
        <v>6.128</v>
      </c>
      <c r="G16">
        <f t="shared" si="7"/>
        <v>2.783</v>
      </c>
      <c r="H16">
        <f t="shared" si="8"/>
        <v>6.095</v>
      </c>
      <c r="I16">
        <f t="shared" si="9"/>
        <v>6.455</v>
      </c>
      <c r="J16">
        <f t="shared" si="10"/>
        <v>6.11</v>
      </c>
      <c r="K16">
        <f t="shared" si="11"/>
        <v>7.106</v>
      </c>
      <c r="L16">
        <f t="shared" si="12"/>
        <v>6.455</v>
      </c>
      <c r="N16">
        <v>3519</v>
      </c>
      <c r="O16">
        <v>6393</v>
      </c>
      <c r="P16">
        <v>6128</v>
      </c>
      <c r="Q16">
        <v>6378</v>
      </c>
      <c r="R16">
        <v>6556</v>
      </c>
      <c r="S16">
        <v>6128</v>
      </c>
      <c r="T16">
        <v>2783</v>
      </c>
      <c r="U16">
        <v>6095</v>
      </c>
      <c r="V16">
        <v>6455</v>
      </c>
      <c r="W16">
        <v>6110</v>
      </c>
      <c r="X16">
        <v>7106</v>
      </c>
      <c r="Y16">
        <v>6455</v>
      </c>
      <c r="AA16" t="s">
        <v>1856</v>
      </c>
      <c r="AC16">
        <v>3451</v>
      </c>
      <c r="AE16">
        <v>6326</v>
      </c>
      <c r="AG16" t="s">
        <v>1857</v>
      </c>
      <c r="AI16">
        <v>2754</v>
      </c>
      <c r="AK16">
        <v>6007</v>
      </c>
      <c r="AP16" t="s">
        <v>1858</v>
      </c>
      <c r="AR16">
        <v>6087</v>
      </c>
      <c r="AT16">
        <v>6344</v>
      </c>
      <c r="AV16" t="s">
        <v>1859</v>
      </c>
      <c r="AX16">
        <v>5833</v>
      </c>
      <c r="AZ16">
        <v>6749</v>
      </c>
      <c r="BB16" t="s">
        <v>1860</v>
      </c>
      <c r="BD16">
        <v>6055</v>
      </c>
      <c r="BF16">
        <v>6055</v>
      </c>
      <c r="BH16" t="s">
        <v>1861</v>
      </c>
      <c r="BJ16">
        <v>6281</v>
      </c>
      <c r="BL16">
        <v>6281</v>
      </c>
    </row>
    <row r="17" spans="1:64">
      <c r="A17">
        <f t="shared" si="1"/>
        <v>3.525</v>
      </c>
      <c r="B17">
        <f t="shared" si="2"/>
        <v>6.4</v>
      </c>
      <c r="C17">
        <f t="shared" si="3"/>
        <v>6.154</v>
      </c>
      <c r="D17">
        <f t="shared" si="4"/>
        <v>6.38</v>
      </c>
      <c r="E17">
        <f t="shared" si="5"/>
        <v>6.592</v>
      </c>
      <c r="F17">
        <f t="shared" si="6"/>
        <v>6.154</v>
      </c>
      <c r="G17">
        <f t="shared" si="7"/>
        <v>2.786</v>
      </c>
      <c r="H17">
        <f t="shared" si="8"/>
        <v>6.097</v>
      </c>
      <c r="I17">
        <f t="shared" si="9"/>
        <v>6.504</v>
      </c>
      <c r="J17">
        <f t="shared" si="10"/>
        <v>6.132</v>
      </c>
      <c r="K17">
        <f t="shared" si="11"/>
        <v>7.119</v>
      </c>
      <c r="L17">
        <f t="shared" si="12"/>
        <v>6.504</v>
      </c>
      <c r="N17">
        <v>3525</v>
      </c>
      <c r="O17">
        <v>6400</v>
      </c>
      <c r="P17">
        <v>6154</v>
      </c>
      <c r="Q17">
        <v>6380</v>
      </c>
      <c r="R17">
        <v>6592</v>
      </c>
      <c r="S17">
        <v>6154</v>
      </c>
      <c r="T17">
        <v>2786</v>
      </c>
      <c r="U17">
        <v>6097</v>
      </c>
      <c r="V17">
        <v>6504</v>
      </c>
      <c r="W17">
        <v>6132</v>
      </c>
      <c r="X17">
        <v>7119</v>
      </c>
      <c r="Y17">
        <v>6504</v>
      </c>
      <c r="AA17" t="s">
        <v>1862</v>
      </c>
      <c r="AC17">
        <v>3461</v>
      </c>
      <c r="AE17">
        <v>6332</v>
      </c>
      <c r="AG17" t="s">
        <v>1863</v>
      </c>
      <c r="AI17">
        <v>2760</v>
      </c>
      <c r="AK17">
        <v>6013</v>
      </c>
      <c r="AP17" t="s">
        <v>1864</v>
      </c>
      <c r="AR17">
        <v>6102</v>
      </c>
      <c r="AT17">
        <v>6374</v>
      </c>
      <c r="AV17" t="s">
        <v>1865</v>
      </c>
      <c r="AX17">
        <v>5953</v>
      </c>
      <c r="AZ17">
        <v>6808</v>
      </c>
      <c r="BB17" t="s">
        <v>1866</v>
      </c>
      <c r="BD17">
        <v>6080</v>
      </c>
      <c r="BF17">
        <v>6080</v>
      </c>
      <c r="BH17" t="s">
        <v>1867</v>
      </c>
      <c r="BJ17">
        <v>6295</v>
      </c>
      <c r="BL17">
        <v>6295</v>
      </c>
    </row>
    <row r="18" spans="1:64">
      <c r="A18">
        <f t="shared" si="1"/>
        <v>3.545</v>
      </c>
      <c r="B18">
        <f t="shared" si="2"/>
        <v>6.425</v>
      </c>
      <c r="C18">
        <f t="shared" si="3"/>
        <v>6.202</v>
      </c>
      <c r="D18">
        <f t="shared" si="4"/>
        <v>6.385</v>
      </c>
      <c r="E18">
        <f t="shared" si="5"/>
        <v>6.594</v>
      </c>
      <c r="F18">
        <f t="shared" si="6"/>
        <v>6.202</v>
      </c>
      <c r="G18">
        <f t="shared" si="7"/>
        <v>2.788</v>
      </c>
      <c r="H18">
        <f t="shared" si="8"/>
        <v>6.111</v>
      </c>
      <c r="I18">
        <f t="shared" si="9"/>
        <v>6.582</v>
      </c>
      <c r="J18">
        <f t="shared" si="10"/>
        <v>6.149</v>
      </c>
      <c r="K18">
        <f t="shared" si="11"/>
        <v>7.132</v>
      </c>
      <c r="L18">
        <f t="shared" si="12"/>
        <v>6.582</v>
      </c>
      <c r="N18">
        <v>3545</v>
      </c>
      <c r="O18">
        <v>6425</v>
      </c>
      <c r="P18">
        <v>6202</v>
      </c>
      <c r="Q18">
        <v>6385</v>
      </c>
      <c r="R18">
        <v>6594</v>
      </c>
      <c r="S18">
        <v>6202</v>
      </c>
      <c r="T18">
        <v>2788</v>
      </c>
      <c r="U18">
        <v>6111</v>
      </c>
      <c r="V18">
        <v>6582</v>
      </c>
      <c r="W18">
        <v>6149</v>
      </c>
      <c r="X18">
        <v>7132</v>
      </c>
      <c r="Y18">
        <v>6582</v>
      </c>
      <c r="AA18" t="s">
        <v>1868</v>
      </c>
      <c r="AC18">
        <v>3462</v>
      </c>
      <c r="AE18">
        <v>6345</v>
      </c>
      <c r="AG18" t="s">
        <v>1869</v>
      </c>
      <c r="AI18">
        <v>2763</v>
      </c>
      <c r="AK18">
        <v>6023</v>
      </c>
      <c r="AP18" t="s">
        <v>1870</v>
      </c>
      <c r="AR18">
        <v>6248</v>
      </c>
      <c r="AT18">
        <v>6393</v>
      </c>
      <c r="AV18" t="s">
        <v>1871</v>
      </c>
      <c r="AX18">
        <v>5962</v>
      </c>
      <c r="AZ18">
        <v>6834</v>
      </c>
      <c r="BB18" t="s">
        <v>1872</v>
      </c>
      <c r="BD18">
        <v>6110</v>
      </c>
      <c r="BF18">
        <v>6110</v>
      </c>
      <c r="BH18" t="s">
        <v>1873</v>
      </c>
      <c r="BJ18">
        <v>6328</v>
      </c>
      <c r="BL18">
        <v>6328</v>
      </c>
    </row>
    <row r="19" spans="1:64">
      <c r="A19">
        <f t="shared" si="1"/>
        <v>3.547</v>
      </c>
      <c r="B19">
        <f t="shared" si="2"/>
        <v>6.47</v>
      </c>
      <c r="C19">
        <f t="shared" si="3"/>
        <v>6.211</v>
      </c>
      <c r="D19">
        <f t="shared" si="4"/>
        <v>6.387</v>
      </c>
      <c r="E19">
        <f t="shared" si="5"/>
        <v>6.603</v>
      </c>
      <c r="F19">
        <f t="shared" si="6"/>
        <v>6.211</v>
      </c>
      <c r="G19">
        <f t="shared" si="7"/>
        <v>2.79</v>
      </c>
      <c r="H19">
        <f t="shared" si="8"/>
        <v>6.191</v>
      </c>
      <c r="I19">
        <f t="shared" si="9"/>
        <v>6.587</v>
      </c>
      <c r="J19">
        <f t="shared" si="10"/>
        <v>6.153</v>
      </c>
      <c r="K19">
        <f t="shared" si="11"/>
        <v>7.174</v>
      </c>
      <c r="L19">
        <f t="shared" si="12"/>
        <v>6.587</v>
      </c>
      <c r="N19">
        <v>3547</v>
      </c>
      <c r="O19">
        <v>6470</v>
      </c>
      <c r="P19">
        <v>6211</v>
      </c>
      <c r="Q19">
        <v>6387</v>
      </c>
      <c r="R19">
        <v>6603</v>
      </c>
      <c r="S19">
        <v>6211</v>
      </c>
      <c r="T19">
        <v>2790</v>
      </c>
      <c r="U19">
        <v>6191</v>
      </c>
      <c r="V19">
        <v>6587</v>
      </c>
      <c r="W19">
        <v>6153</v>
      </c>
      <c r="X19">
        <v>7174</v>
      </c>
      <c r="Y19">
        <v>6587</v>
      </c>
      <c r="AA19" t="s">
        <v>1874</v>
      </c>
      <c r="AC19">
        <v>3494</v>
      </c>
      <c r="AE19">
        <v>6347</v>
      </c>
      <c r="AG19" t="s">
        <v>1875</v>
      </c>
      <c r="AI19">
        <v>2766</v>
      </c>
      <c r="AK19">
        <v>6030</v>
      </c>
      <c r="AP19" t="s">
        <v>1876</v>
      </c>
      <c r="AR19">
        <v>6329</v>
      </c>
      <c r="AT19">
        <v>6400</v>
      </c>
      <c r="AV19" t="s">
        <v>1877</v>
      </c>
      <c r="AX19">
        <v>5983</v>
      </c>
      <c r="AZ19">
        <v>6913</v>
      </c>
      <c r="BB19" t="s">
        <v>1878</v>
      </c>
      <c r="BD19">
        <v>6114</v>
      </c>
      <c r="BF19">
        <v>6114</v>
      </c>
      <c r="BH19" t="s">
        <v>1879</v>
      </c>
      <c r="BJ19">
        <v>6341</v>
      </c>
      <c r="BL19">
        <v>6341</v>
      </c>
    </row>
    <row r="20" spans="1:64">
      <c r="A20">
        <f t="shared" si="1"/>
        <v>3.555</v>
      </c>
      <c r="B20">
        <f t="shared" si="2"/>
        <v>6.486</v>
      </c>
      <c r="C20">
        <f t="shared" si="3"/>
        <v>6.232</v>
      </c>
      <c r="D20">
        <f t="shared" si="4"/>
        <v>6.397</v>
      </c>
      <c r="E20">
        <f t="shared" si="5"/>
        <v>6.67</v>
      </c>
      <c r="F20">
        <f t="shared" si="6"/>
        <v>6.232</v>
      </c>
      <c r="G20">
        <f t="shared" si="7"/>
        <v>2.791</v>
      </c>
      <c r="H20">
        <f t="shared" si="8"/>
        <v>6.316</v>
      </c>
      <c r="I20">
        <f t="shared" si="9"/>
        <v>6.598</v>
      </c>
      <c r="J20">
        <f t="shared" si="10"/>
        <v>6.171</v>
      </c>
      <c r="K20">
        <f t="shared" si="11"/>
        <v>7.216</v>
      </c>
      <c r="L20">
        <f t="shared" si="12"/>
        <v>6.598</v>
      </c>
      <c r="N20">
        <v>3555</v>
      </c>
      <c r="O20">
        <v>6486</v>
      </c>
      <c r="P20">
        <v>6232</v>
      </c>
      <c r="Q20">
        <v>6397</v>
      </c>
      <c r="R20">
        <v>6670</v>
      </c>
      <c r="S20">
        <v>6232</v>
      </c>
      <c r="T20">
        <v>2791</v>
      </c>
      <c r="U20">
        <v>6316</v>
      </c>
      <c r="V20">
        <v>6598</v>
      </c>
      <c r="W20">
        <v>6171</v>
      </c>
      <c r="X20">
        <v>7216</v>
      </c>
      <c r="Y20">
        <v>6598</v>
      </c>
      <c r="AA20" t="s">
        <v>1880</v>
      </c>
      <c r="AC20">
        <v>3506</v>
      </c>
      <c r="AE20">
        <v>6347</v>
      </c>
      <c r="AG20" t="s">
        <v>1881</v>
      </c>
      <c r="AI20">
        <v>2766</v>
      </c>
      <c r="AK20">
        <v>6043</v>
      </c>
      <c r="AP20" t="s">
        <v>1882</v>
      </c>
      <c r="AR20">
        <v>6334</v>
      </c>
      <c r="AT20">
        <v>6425</v>
      </c>
      <c r="AV20" t="s">
        <v>1883</v>
      </c>
      <c r="AX20">
        <v>6031</v>
      </c>
      <c r="AZ20">
        <v>6989</v>
      </c>
      <c r="BB20" t="s">
        <v>1884</v>
      </c>
      <c r="BD20">
        <v>6120</v>
      </c>
      <c r="BF20">
        <v>6120</v>
      </c>
      <c r="BH20" t="s">
        <v>1885</v>
      </c>
      <c r="BJ20">
        <v>6346</v>
      </c>
      <c r="BL20">
        <v>6346</v>
      </c>
    </row>
    <row r="21" spans="1:64">
      <c r="A21">
        <f t="shared" si="1"/>
        <v>3.559</v>
      </c>
      <c r="B21">
        <f t="shared" si="2"/>
        <v>6.524</v>
      </c>
      <c r="C21">
        <f t="shared" si="3"/>
        <v>6.244</v>
      </c>
      <c r="D21">
        <f t="shared" si="4"/>
        <v>6.403</v>
      </c>
      <c r="E21">
        <f t="shared" si="5"/>
        <v>6.691</v>
      </c>
      <c r="F21">
        <f t="shared" si="6"/>
        <v>6.244</v>
      </c>
      <c r="G21">
        <f t="shared" si="7"/>
        <v>2.792</v>
      </c>
      <c r="H21">
        <f t="shared" si="8"/>
        <v>6.361</v>
      </c>
      <c r="I21">
        <f t="shared" si="9"/>
        <v>6.631</v>
      </c>
      <c r="J21">
        <f t="shared" si="10"/>
        <v>6.186</v>
      </c>
      <c r="K21">
        <f t="shared" si="11"/>
        <v>7.395</v>
      </c>
      <c r="L21">
        <f t="shared" si="12"/>
        <v>6.631</v>
      </c>
      <c r="N21">
        <v>3559</v>
      </c>
      <c r="O21">
        <v>6524</v>
      </c>
      <c r="P21">
        <v>6244</v>
      </c>
      <c r="Q21">
        <v>6403</v>
      </c>
      <c r="R21">
        <v>6691</v>
      </c>
      <c r="S21">
        <v>6244</v>
      </c>
      <c r="T21">
        <v>2792</v>
      </c>
      <c r="U21">
        <v>6361</v>
      </c>
      <c r="V21">
        <v>6631</v>
      </c>
      <c r="W21">
        <v>6186</v>
      </c>
      <c r="X21">
        <v>7395</v>
      </c>
      <c r="Y21">
        <v>6631</v>
      </c>
      <c r="AA21" t="s">
        <v>1886</v>
      </c>
      <c r="AC21">
        <v>3508</v>
      </c>
      <c r="AE21">
        <v>6366</v>
      </c>
      <c r="AG21" t="s">
        <v>1887</v>
      </c>
      <c r="AI21">
        <v>2772</v>
      </c>
      <c r="AK21">
        <v>6072</v>
      </c>
      <c r="AP21" t="s">
        <v>1888</v>
      </c>
      <c r="AR21">
        <v>6344</v>
      </c>
      <c r="AT21">
        <v>6470</v>
      </c>
      <c r="AV21" t="s">
        <v>1889</v>
      </c>
      <c r="AX21">
        <v>6043</v>
      </c>
      <c r="AZ21">
        <v>7098</v>
      </c>
      <c r="BB21" t="s">
        <v>1890</v>
      </c>
      <c r="BD21">
        <v>6120</v>
      </c>
      <c r="BF21">
        <v>6120</v>
      </c>
      <c r="BH21" t="s">
        <v>1891</v>
      </c>
      <c r="BJ21">
        <v>6348</v>
      </c>
      <c r="BL21">
        <v>6348</v>
      </c>
    </row>
    <row r="22" spans="1:64">
      <c r="A22">
        <f t="shared" si="1"/>
        <v>3.572</v>
      </c>
      <c r="B22">
        <f t="shared" si="2"/>
        <v>6.556</v>
      </c>
      <c r="C22">
        <f t="shared" si="3"/>
        <v>6.247</v>
      </c>
      <c r="D22">
        <f t="shared" si="4"/>
        <v>6.411</v>
      </c>
      <c r="E22">
        <f t="shared" si="5"/>
        <v>6.751</v>
      </c>
      <c r="F22">
        <f t="shared" si="6"/>
        <v>6.247</v>
      </c>
      <c r="G22">
        <f t="shared" si="7"/>
        <v>2.796</v>
      </c>
      <c r="H22">
        <f t="shared" si="8"/>
        <v>6.424</v>
      </c>
      <c r="I22">
        <f t="shared" si="9"/>
        <v>6.635</v>
      </c>
      <c r="J22">
        <f t="shared" si="10"/>
        <v>6.262</v>
      </c>
      <c r="K22">
        <f t="shared" si="11"/>
        <v>7.412</v>
      </c>
      <c r="L22">
        <f t="shared" si="12"/>
        <v>6.635</v>
      </c>
      <c r="N22">
        <v>3572</v>
      </c>
      <c r="O22">
        <v>6556</v>
      </c>
      <c r="P22">
        <v>6247</v>
      </c>
      <c r="Q22">
        <v>6411</v>
      </c>
      <c r="R22">
        <v>6751</v>
      </c>
      <c r="S22">
        <v>6247</v>
      </c>
      <c r="T22">
        <v>2796</v>
      </c>
      <c r="U22">
        <v>6424</v>
      </c>
      <c r="V22">
        <v>6635</v>
      </c>
      <c r="W22">
        <v>6262</v>
      </c>
      <c r="X22">
        <v>7412</v>
      </c>
      <c r="Y22">
        <v>6635</v>
      </c>
      <c r="AA22" t="s">
        <v>1892</v>
      </c>
      <c r="AC22">
        <v>3515</v>
      </c>
      <c r="AE22">
        <v>6374</v>
      </c>
      <c r="AG22" t="s">
        <v>1893</v>
      </c>
      <c r="AI22">
        <v>2773</v>
      </c>
      <c r="AK22">
        <v>6081</v>
      </c>
      <c r="AP22" t="s">
        <v>1894</v>
      </c>
      <c r="AR22">
        <v>6374</v>
      </c>
      <c r="AT22">
        <v>6524</v>
      </c>
      <c r="AV22" t="s">
        <v>1895</v>
      </c>
      <c r="AX22">
        <v>6084</v>
      </c>
      <c r="AZ22">
        <v>7100</v>
      </c>
      <c r="BB22" t="s">
        <v>1896</v>
      </c>
      <c r="BD22">
        <v>6123</v>
      </c>
      <c r="BF22">
        <v>6123</v>
      </c>
      <c r="BH22" t="s">
        <v>1897</v>
      </c>
      <c r="BJ22">
        <v>6363</v>
      </c>
      <c r="BL22">
        <v>6363</v>
      </c>
    </row>
    <row r="23" spans="1:64">
      <c r="A23">
        <f t="shared" si="1"/>
        <v>3.575</v>
      </c>
      <c r="B23">
        <f t="shared" si="2"/>
        <v>6.592</v>
      </c>
      <c r="C23">
        <f t="shared" si="3"/>
        <v>6.253</v>
      </c>
      <c r="D23">
        <f t="shared" si="4"/>
        <v>6.42</v>
      </c>
      <c r="E23">
        <f t="shared" si="5"/>
        <v>6.805</v>
      </c>
      <c r="F23">
        <f t="shared" si="6"/>
        <v>6.253</v>
      </c>
      <c r="G23">
        <f t="shared" si="7"/>
        <v>2.796</v>
      </c>
      <c r="H23">
        <f t="shared" si="8"/>
        <v>6.508</v>
      </c>
      <c r="I23">
        <f t="shared" si="9"/>
        <v>6.651</v>
      </c>
      <c r="J23">
        <f t="shared" si="10"/>
        <v>6.288</v>
      </c>
      <c r="K23">
        <f t="shared" si="11"/>
        <v>7.443</v>
      </c>
      <c r="L23">
        <f t="shared" si="12"/>
        <v>6.651</v>
      </c>
      <c r="N23">
        <v>3575</v>
      </c>
      <c r="O23">
        <v>6592</v>
      </c>
      <c r="P23">
        <v>6253</v>
      </c>
      <c r="Q23">
        <v>6420</v>
      </c>
      <c r="R23">
        <v>6805</v>
      </c>
      <c r="S23">
        <v>6253</v>
      </c>
      <c r="T23">
        <v>2796</v>
      </c>
      <c r="U23">
        <v>6508</v>
      </c>
      <c r="V23">
        <v>6651</v>
      </c>
      <c r="W23">
        <v>6288</v>
      </c>
      <c r="X23">
        <v>7443</v>
      </c>
      <c r="Y23">
        <v>6651</v>
      </c>
      <c r="AA23" t="s">
        <v>1898</v>
      </c>
      <c r="AC23">
        <v>3516</v>
      </c>
      <c r="AE23">
        <v>6376</v>
      </c>
      <c r="AG23" t="s">
        <v>1899</v>
      </c>
      <c r="AI23">
        <v>2774</v>
      </c>
      <c r="AK23">
        <v>6095</v>
      </c>
      <c r="AP23" t="s">
        <v>1900</v>
      </c>
      <c r="AR23">
        <v>6393</v>
      </c>
      <c r="AT23">
        <v>6556</v>
      </c>
      <c r="AV23" t="s">
        <v>1901</v>
      </c>
      <c r="AX23">
        <v>6095</v>
      </c>
      <c r="AZ23">
        <v>7106</v>
      </c>
      <c r="BB23" t="s">
        <v>1902</v>
      </c>
      <c r="BD23">
        <v>6124</v>
      </c>
      <c r="BF23">
        <v>6124</v>
      </c>
      <c r="BH23" t="s">
        <v>1903</v>
      </c>
      <c r="BJ23">
        <v>6365</v>
      </c>
      <c r="BL23">
        <v>6365</v>
      </c>
    </row>
    <row r="24" spans="1:64">
      <c r="A24">
        <f t="shared" si="1"/>
        <v>3.577</v>
      </c>
      <c r="B24">
        <f t="shared" si="2"/>
        <v>6.594</v>
      </c>
      <c r="C24">
        <f t="shared" si="3"/>
        <v>6.276</v>
      </c>
      <c r="D24">
        <f t="shared" si="4"/>
        <v>6.422</v>
      </c>
      <c r="E24">
        <f t="shared" si="5"/>
        <v>6.815</v>
      </c>
      <c r="F24">
        <f t="shared" si="6"/>
        <v>6.276</v>
      </c>
      <c r="G24">
        <f t="shared" si="7"/>
        <v>2.807</v>
      </c>
      <c r="H24">
        <f t="shared" si="8"/>
        <v>6.535</v>
      </c>
      <c r="I24">
        <f t="shared" si="9"/>
        <v>6.658</v>
      </c>
      <c r="J24">
        <f t="shared" si="10"/>
        <v>6.356</v>
      </c>
      <c r="K24">
        <f t="shared" si="11"/>
        <v>7.482</v>
      </c>
      <c r="L24">
        <f t="shared" si="12"/>
        <v>6.658</v>
      </c>
      <c r="N24">
        <v>3577</v>
      </c>
      <c r="O24">
        <v>6594</v>
      </c>
      <c r="P24">
        <v>6276</v>
      </c>
      <c r="Q24">
        <v>6422</v>
      </c>
      <c r="R24">
        <v>6815</v>
      </c>
      <c r="S24">
        <v>6276</v>
      </c>
      <c r="T24">
        <v>2807</v>
      </c>
      <c r="U24">
        <v>6535</v>
      </c>
      <c r="V24">
        <v>6658</v>
      </c>
      <c r="W24">
        <v>6356</v>
      </c>
      <c r="X24">
        <v>7482</v>
      </c>
      <c r="Y24">
        <v>6658</v>
      </c>
      <c r="AA24" t="s">
        <v>1904</v>
      </c>
      <c r="AC24">
        <v>3519</v>
      </c>
      <c r="AE24">
        <v>6378</v>
      </c>
      <c r="AG24" t="s">
        <v>1905</v>
      </c>
      <c r="AI24">
        <v>2783</v>
      </c>
      <c r="AK24">
        <v>6110</v>
      </c>
      <c r="AP24" t="s">
        <v>1906</v>
      </c>
      <c r="AR24">
        <v>6400</v>
      </c>
      <c r="AT24">
        <v>6592</v>
      </c>
      <c r="AV24" t="s">
        <v>1907</v>
      </c>
      <c r="AX24">
        <v>6097</v>
      </c>
      <c r="AZ24">
        <v>7119</v>
      </c>
      <c r="BB24" t="s">
        <v>1908</v>
      </c>
      <c r="BD24">
        <v>6128</v>
      </c>
      <c r="BF24">
        <v>6128</v>
      </c>
      <c r="BH24" t="s">
        <v>1909</v>
      </c>
      <c r="BJ24">
        <v>6455</v>
      </c>
      <c r="BL24">
        <v>6455</v>
      </c>
    </row>
    <row r="25" spans="1:64">
      <c r="A25">
        <f t="shared" si="1"/>
        <v>3.577</v>
      </c>
      <c r="B25">
        <f t="shared" si="2"/>
        <v>6.599</v>
      </c>
      <c r="C25">
        <f t="shared" si="3"/>
        <v>6.284</v>
      </c>
      <c r="D25">
        <f t="shared" si="4"/>
        <v>6.429</v>
      </c>
      <c r="E25">
        <f t="shared" si="5"/>
        <v>6.967</v>
      </c>
      <c r="F25">
        <f t="shared" si="6"/>
        <v>6.284</v>
      </c>
      <c r="G25">
        <f t="shared" si="7"/>
        <v>2.808</v>
      </c>
      <c r="H25">
        <f t="shared" si="8"/>
        <v>6.547</v>
      </c>
      <c r="I25">
        <f t="shared" si="9"/>
        <v>6.664</v>
      </c>
      <c r="J25">
        <f t="shared" si="10"/>
        <v>6.377</v>
      </c>
      <c r="K25">
        <f t="shared" si="11"/>
        <v>7.489</v>
      </c>
      <c r="L25">
        <f t="shared" si="12"/>
        <v>6.664</v>
      </c>
      <c r="N25">
        <v>3577</v>
      </c>
      <c r="O25">
        <v>6599</v>
      </c>
      <c r="P25">
        <v>6284</v>
      </c>
      <c r="Q25">
        <v>6429</v>
      </c>
      <c r="R25">
        <v>6967</v>
      </c>
      <c r="S25">
        <v>6284</v>
      </c>
      <c r="T25">
        <v>2808</v>
      </c>
      <c r="U25">
        <v>6547</v>
      </c>
      <c r="V25">
        <v>6664</v>
      </c>
      <c r="W25">
        <v>6377</v>
      </c>
      <c r="X25">
        <v>7489</v>
      </c>
      <c r="Y25">
        <v>6664</v>
      </c>
      <c r="AA25" t="s">
        <v>1910</v>
      </c>
      <c r="AC25">
        <v>3525</v>
      </c>
      <c r="AE25">
        <v>6380</v>
      </c>
      <c r="AG25" t="s">
        <v>1911</v>
      </c>
      <c r="AI25">
        <v>2786</v>
      </c>
      <c r="AK25">
        <v>6132</v>
      </c>
      <c r="AP25" t="s">
        <v>1912</v>
      </c>
      <c r="AR25">
        <v>6425</v>
      </c>
      <c r="AT25">
        <v>6594</v>
      </c>
      <c r="AV25" t="s">
        <v>1913</v>
      </c>
      <c r="AX25">
        <v>6111</v>
      </c>
      <c r="AZ25">
        <v>7132</v>
      </c>
      <c r="BB25" t="s">
        <v>1914</v>
      </c>
      <c r="BD25">
        <v>6154</v>
      </c>
      <c r="BF25">
        <v>6154</v>
      </c>
      <c r="BH25" t="s">
        <v>1915</v>
      </c>
      <c r="BJ25">
        <v>6504</v>
      </c>
      <c r="BL25">
        <v>6504</v>
      </c>
    </row>
    <row r="26" spans="1:64">
      <c r="A26">
        <f t="shared" si="1"/>
        <v>3.579</v>
      </c>
      <c r="B26">
        <f t="shared" si="2"/>
        <v>6.603</v>
      </c>
      <c r="C26">
        <f t="shared" si="3"/>
        <v>6.298</v>
      </c>
      <c r="D26">
        <f t="shared" si="4"/>
        <v>6.442</v>
      </c>
      <c r="E26">
        <f t="shared" si="5"/>
        <v>6.967</v>
      </c>
      <c r="F26">
        <f t="shared" si="6"/>
        <v>6.298</v>
      </c>
      <c r="G26">
        <f t="shared" si="7"/>
        <v>2.809</v>
      </c>
      <c r="H26">
        <f t="shared" si="8"/>
        <v>6.55</v>
      </c>
      <c r="I26">
        <f t="shared" si="9"/>
        <v>6.688</v>
      </c>
      <c r="J26">
        <f t="shared" si="10"/>
        <v>6.388</v>
      </c>
      <c r="K26">
        <f t="shared" si="11"/>
        <v>7.537</v>
      </c>
      <c r="L26">
        <f t="shared" si="12"/>
        <v>6.688</v>
      </c>
      <c r="N26">
        <v>3579</v>
      </c>
      <c r="O26">
        <v>6603</v>
      </c>
      <c r="P26">
        <v>6298</v>
      </c>
      <c r="Q26">
        <v>6442</v>
      </c>
      <c r="R26">
        <v>6967</v>
      </c>
      <c r="S26">
        <v>6298</v>
      </c>
      <c r="T26">
        <v>2809</v>
      </c>
      <c r="U26">
        <v>6550</v>
      </c>
      <c r="V26">
        <v>6688</v>
      </c>
      <c r="W26">
        <v>6388</v>
      </c>
      <c r="X26">
        <v>7537</v>
      </c>
      <c r="Y26">
        <v>6688</v>
      </c>
      <c r="AA26" t="s">
        <v>1916</v>
      </c>
      <c r="AC26">
        <v>3545</v>
      </c>
      <c r="AE26">
        <v>6385</v>
      </c>
      <c r="AG26" t="s">
        <v>1917</v>
      </c>
      <c r="AI26">
        <v>2788</v>
      </c>
      <c r="AK26">
        <v>6149</v>
      </c>
      <c r="AP26" t="s">
        <v>1918</v>
      </c>
      <c r="AR26">
        <v>6470</v>
      </c>
      <c r="AT26">
        <v>6603</v>
      </c>
      <c r="AV26" t="s">
        <v>1919</v>
      </c>
      <c r="AX26">
        <v>6191</v>
      </c>
      <c r="AZ26">
        <v>7174</v>
      </c>
      <c r="BB26" t="s">
        <v>1920</v>
      </c>
      <c r="BD26">
        <v>6202</v>
      </c>
      <c r="BF26">
        <v>6202</v>
      </c>
      <c r="BH26" t="s">
        <v>1921</v>
      </c>
      <c r="BJ26">
        <v>6582</v>
      </c>
      <c r="BL26">
        <v>6582</v>
      </c>
    </row>
    <row r="27" spans="1:64">
      <c r="A27">
        <f t="shared" si="1"/>
        <v>3.637</v>
      </c>
      <c r="B27">
        <f t="shared" si="2"/>
        <v>6.618</v>
      </c>
      <c r="C27">
        <f t="shared" si="3"/>
        <v>6.302</v>
      </c>
      <c r="D27">
        <f t="shared" si="4"/>
        <v>6.453</v>
      </c>
      <c r="E27">
        <f t="shared" si="5"/>
        <v>6.974</v>
      </c>
      <c r="F27">
        <f t="shared" si="6"/>
        <v>6.302</v>
      </c>
      <c r="G27">
        <f t="shared" si="7"/>
        <v>2.816</v>
      </c>
      <c r="H27">
        <f t="shared" si="8"/>
        <v>6.565</v>
      </c>
      <c r="I27">
        <f t="shared" si="9"/>
        <v>6.69</v>
      </c>
      <c r="J27">
        <f t="shared" si="10"/>
        <v>6.392</v>
      </c>
      <c r="K27">
        <f t="shared" si="11"/>
        <v>7.547</v>
      </c>
      <c r="L27">
        <f t="shared" si="12"/>
        <v>6.69</v>
      </c>
      <c r="N27">
        <v>3637</v>
      </c>
      <c r="O27">
        <v>6618</v>
      </c>
      <c r="P27">
        <v>6302</v>
      </c>
      <c r="Q27">
        <v>6453</v>
      </c>
      <c r="R27">
        <v>6974</v>
      </c>
      <c r="S27">
        <v>6302</v>
      </c>
      <c r="T27">
        <v>2816</v>
      </c>
      <c r="U27">
        <v>6565</v>
      </c>
      <c r="V27">
        <v>6690</v>
      </c>
      <c r="W27">
        <v>6392</v>
      </c>
      <c r="X27">
        <v>7547</v>
      </c>
      <c r="Y27">
        <v>6690</v>
      </c>
      <c r="AA27" t="s">
        <v>1922</v>
      </c>
      <c r="AC27">
        <v>3547</v>
      </c>
      <c r="AE27">
        <v>6387</v>
      </c>
      <c r="AG27" t="s">
        <v>1923</v>
      </c>
      <c r="AI27">
        <v>2790</v>
      </c>
      <c r="AK27">
        <v>6153</v>
      </c>
      <c r="AP27" t="s">
        <v>1924</v>
      </c>
      <c r="AR27">
        <v>6486</v>
      </c>
      <c r="AT27">
        <v>6670</v>
      </c>
      <c r="AV27" t="s">
        <v>1925</v>
      </c>
      <c r="AX27">
        <v>6316</v>
      </c>
      <c r="AZ27">
        <v>7216</v>
      </c>
      <c r="BB27" t="s">
        <v>1926</v>
      </c>
      <c r="BD27">
        <v>6211</v>
      </c>
      <c r="BF27">
        <v>6211</v>
      </c>
      <c r="BH27" t="s">
        <v>1927</v>
      </c>
      <c r="BJ27">
        <v>6587</v>
      </c>
      <c r="BL27">
        <v>6587</v>
      </c>
    </row>
    <row r="28" spans="1:64">
      <c r="A28">
        <f t="shared" si="1"/>
        <v>3.73</v>
      </c>
      <c r="B28">
        <f t="shared" si="2"/>
        <v>6.67</v>
      </c>
      <c r="C28">
        <f t="shared" si="3"/>
        <v>6.309</v>
      </c>
      <c r="D28">
        <f t="shared" si="4"/>
        <v>6.46</v>
      </c>
      <c r="E28">
        <f t="shared" si="5"/>
        <v>6.979</v>
      </c>
      <c r="F28">
        <f t="shared" si="6"/>
        <v>6.309</v>
      </c>
      <c r="G28">
        <f t="shared" si="7"/>
        <v>2.817</v>
      </c>
      <c r="H28">
        <f t="shared" si="8"/>
        <v>6.582</v>
      </c>
      <c r="I28">
        <f t="shared" si="9"/>
        <v>6.701</v>
      </c>
      <c r="J28">
        <f t="shared" si="10"/>
        <v>6.434</v>
      </c>
      <c r="K28">
        <f t="shared" si="11"/>
        <v>7.63</v>
      </c>
      <c r="L28">
        <f t="shared" si="12"/>
        <v>6.701</v>
      </c>
      <c r="N28">
        <v>3730</v>
      </c>
      <c r="O28">
        <v>6670</v>
      </c>
      <c r="P28">
        <v>6309</v>
      </c>
      <c r="Q28">
        <v>6460</v>
      </c>
      <c r="R28">
        <v>6979</v>
      </c>
      <c r="S28">
        <v>6309</v>
      </c>
      <c r="T28">
        <v>2817</v>
      </c>
      <c r="U28">
        <v>6582</v>
      </c>
      <c r="V28">
        <v>6701</v>
      </c>
      <c r="W28">
        <v>6434</v>
      </c>
      <c r="X28">
        <v>7630</v>
      </c>
      <c r="Y28">
        <v>6701</v>
      </c>
      <c r="AA28" t="s">
        <v>1928</v>
      </c>
      <c r="AC28">
        <v>3555</v>
      </c>
      <c r="AE28">
        <v>6397</v>
      </c>
      <c r="AG28" t="s">
        <v>1929</v>
      </c>
      <c r="AI28">
        <v>2791</v>
      </c>
      <c r="AK28">
        <v>6171</v>
      </c>
      <c r="AP28" t="s">
        <v>1930</v>
      </c>
      <c r="AR28">
        <v>6524</v>
      </c>
      <c r="AT28">
        <v>6691</v>
      </c>
      <c r="AV28" t="s">
        <v>1931</v>
      </c>
      <c r="AX28">
        <v>6361</v>
      </c>
      <c r="AZ28">
        <v>7395</v>
      </c>
      <c r="BB28" t="s">
        <v>1932</v>
      </c>
      <c r="BD28">
        <v>6232</v>
      </c>
      <c r="BF28">
        <v>6232</v>
      </c>
      <c r="BH28" t="s">
        <v>1933</v>
      </c>
      <c r="BJ28">
        <v>6598</v>
      </c>
      <c r="BL28">
        <v>6598</v>
      </c>
    </row>
    <row r="29" spans="1:64">
      <c r="A29">
        <f t="shared" si="1"/>
        <v>3.767</v>
      </c>
      <c r="B29">
        <f t="shared" si="2"/>
        <v>6.691</v>
      </c>
      <c r="C29">
        <f t="shared" si="3"/>
        <v>6.311</v>
      </c>
      <c r="D29">
        <f t="shared" si="4"/>
        <v>6.471</v>
      </c>
      <c r="E29">
        <f t="shared" si="5"/>
        <v>6.99</v>
      </c>
      <c r="F29">
        <f t="shared" si="6"/>
        <v>6.311</v>
      </c>
      <c r="G29">
        <f t="shared" si="7"/>
        <v>2.818</v>
      </c>
      <c r="H29">
        <f t="shared" si="8"/>
        <v>6.588</v>
      </c>
      <c r="I29">
        <f t="shared" si="9"/>
        <v>6.705</v>
      </c>
      <c r="J29">
        <f t="shared" si="10"/>
        <v>6.436</v>
      </c>
      <c r="K29">
        <f t="shared" si="11"/>
        <v>7.65</v>
      </c>
      <c r="L29">
        <f t="shared" si="12"/>
        <v>6.705</v>
      </c>
      <c r="N29">
        <v>3767</v>
      </c>
      <c r="O29">
        <v>6691</v>
      </c>
      <c r="P29">
        <v>6311</v>
      </c>
      <c r="Q29">
        <v>6471</v>
      </c>
      <c r="R29">
        <v>6990</v>
      </c>
      <c r="S29">
        <v>6311</v>
      </c>
      <c r="T29">
        <v>2818</v>
      </c>
      <c r="U29">
        <v>6588</v>
      </c>
      <c r="V29">
        <v>6705</v>
      </c>
      <c r="W29">
        <v>6436</v>
      </c>
      <c r="X29">
        <v>7650</v>
      </c>
      <c r="Y29">
        <v>6705</v>
      </c>
      <c r="AA29" t="s">
        <v>1934</v>
      </c>
      <c r="AC29">
        <v>3559</v>
      </c>
      <c r="AE29">
        <v>6403</v>
      </c>
      <c r="AG29" t="s">
        <v>1935</v>
      </c>
      <c r="AI29">
        <v>2792</v>
      </c>
      <c r="AK29">
        <v>6186</v>
      </c>
      <c r="AP29" t="s">
        <v>1936</v>
      </c>
      <c r="AR29">
        <v>6556</v>
      </c>
      <c r="AT29">
        <v>6751</v>
      </c>
      <c r="AV29" t="s">
        <v>1937</v>
      </c>
      <c r="AX29">
        <v>6424</v>
      </c>
      <c r="AZ29">
        <v>7412</v>
      </c>
      <c r="BB29" t="s">
        <v>1938</v>
      </c>
      <c r="BD29">
        <v>6244</v>
      </c>
      <c r="BF29">
        <v>6244</v>
      </c>
      <c r="BH29" t="s">
        <v>1939</v>
      </c>
      <c r="BJ29">
        <v>6631</v>
      </c>
      <c r="BL29">
        <v>6631</v>
      </c>
    </row>
    <row r="30" spans="1:64">
      <c r="A30">
        <f t="shared" si="1"/>
        <v>3.794</v>
      </c>
      <c r="B30">
        <f t="shared" si="2"/>
        <v>6.751</v>
      </c>
      <c r="C30">
        <f t="shared" si="3"/>
        <v>6.32</v>
      </c>
      <c r="D30">
        <f t="shared" si="4"/>
        <v>6.473</v>
      </c>
      <c r="E30">
        <f t="shared" si="5"/>
        <v>7.005</v>
      </c>
      <c r="F30">
        <f t="shared" si="6"/>
        <v>6.32</v>
      </c>
      <c r="G30">
        <f t="shared" si="7"/>
        <v>2.827</v>
      </c>
      <c r="H30">
        <f t="shared" si="8"/>
        <v>6.592</v>
      </c>
      <c r="I30">
        <f t="shared" si="9"/>
        <v>6.707</v>
      </c>
      <c r="J30">
        <f t="shared" si="10"/>
        <v>6.448</v>
      </c>
      <c r="K30">
        <f t="shared" si="11"/>
        <v>7.724</v>
      </c>
      <c r="L30">
        <f t="shared" si="12"/>
        <v>6.707</v>
      </c>
      <c r="N30">
        <v>3794</v>
      </c>
      <c r="O30">
        <v>6751</v>
      </c>
      <c r="P30">
        <v>6320</v>
      </c>
      <c r="Q30">
        <v>6473</v>
      </c>
      <c r="R30">
        <v>7005</v>
      </c>
      <c r="S30">
        <v>6320</v>
      </c>
      <c r="T30">
        <v>2827</v>
      </c>
      <c r="U30">
        <v>6592</v>
      </c>
      <c r="V30">
        <v>6707</v>
      </c>
      <c r="W30">
        <v>6448</v>
      </c>
      <c r="X30">
        <v>7724</v>
      </c>
      <c r="Y30">
        <v>6707</v>
      </c>
      <c r="AA30" t="s">
        <v>1940</v>
      </c>
      <c r="AC30">
        <v>3572</v>
      </c>
      <c r="AE30">
        <v>6411</v>
      </c>
      <c r="AG30" t="s">
        <v>1941</v>
      </c>
      <c r="AI30">
        <v>2796</v>
      </c>
      <c r="AK30">
        <v>6262</v>
      </c>
      <c r="AP30" t="s">
        <v>1942</v>
      </c>
      <c r="AR30">
        <v>6592</v>
      </c>
      <c r="AT30">
        <v>6805</v>
      </c>
      <c r="AV30" t="s">
        <v>1943</v>
      </c>
      <c r="AX30">
        <v>6508</v>
      </c>
      <c r="AZ30">
        <v>7443</v>
      </c>
      <c r="BB30" t="s">
        <v>1944</v>
      </c>
      <c r="BD30">
        <v>6247</v>
      </c>
      <c r="BF30">
        <v>6247</v>
      </c>
      <c r="BH30" t="s">
        <v>1945</v>
      </c>
      <c r="BJ30">
        <v>6635</v>
      </c>
      <c r="BL30">
        <v>6635</v>
      </c>
    </row>
    <row r="31" spans="1:64">
      <c r="A31">
        <f t="shared" si="1"/>
        <v>3.87</v>
      </c>
      <c r="B31">
        <f t="shared" si="2"/>
        <v>6.774</v>
      </c>
      <c r="C31">
        <f t="shared" si="3"/>
        <v>6.328</v>
      </c>
      <c r="D31">
        <f t="shared" si="4"/>
        <v>6.474</v>
      </c>
      <c r="E31">
        <f t="shared" si="5"/>
        <v>7.008</v>
      </c>
      <c r="F31">
        <f t="shared" si="6"/>
        <v>6.328</v>
      </c>
      <c r="G31">
        <f t="shared" si="7"/>
        <v>2.828</v>
      </c>
      <c r="H31">
        <f t="shared" si="8"/>
        <v>6.619</v>
      </c>
      <c r="I31">
        <f t="shared" si="9"/>
        <v>6.721</v>
      </c>
      <c r="J31">
        <f t="shared" si="10"/>
        <v>6.453</v>
      </c>
      <c r="K31">
        <f t="shared" si="11"/>
        <v>7.787</v>
      </c>
      <c r="L31">
        <f t="shared" si="12"/>
        <v>6.721</v>
      </c>
      <c r="N31">
        <v>3870</v>
      </c>
      <c r="O31">
        <v>6774</v>
      </c>
      <c r="P31">
        <v>6328</v>
      </c>
      <c r="Q31">
        <v>6474</v>
      </c>
      <c r="R31">
        <v>7008</v>
      </c>
      <c r="S31">
        <v>6328</v>
      </c>
      <c r="T31">
        <v>2828</v>
      </c>
      <c r="U31">
        <v>6619</v>
      </c>
      <c r="V31">
        <v>6721</v>
      </c>
      <c r="W31">
        <v>6453</v>
      </c>
      <c r="X31">
        <v>7787</v>
      </c>
      <c r="Y31">
        <v>6721</v>
      </c>
      <c r="AA31" t="s">
        <v>1946</v>
      </c>
      <c r="AC31">
        <v>3575</v>
      </c>
      <c r="AE31">
        <v>6420</v>
      </c>
      <c r="AG31" t="s">
        <v>1947</v>
      </c>
      <c r="AI31">
        <v>2796</v>
      </c>
      <c r="AK31">
        <v>6288</v>
      </c>
      <c r="AP31" t="s">
        <v>1948</v>
      </c>
      <c r="AR31">
        <v>6594</v>
      </c>
      <c r="AT31">
        <v>6815</v>
      </c>
      <c r="AV31" t="s">
        <v>1949</v>
      </c>
      <c r="AX31">
        <v>6535</v>
      </c>
      <c r="AZ31">
        <v>7482</v>
      </c>
      <c r="BB31" t="s">
        <v>1950</v>
      </c>
      <c r="BD31">
        <v>6253</v>
      </c>
      <c r="BF31">
        <v>6253</v>
      </c>
      <c r="BH31" t="s">
        <v>1951</v>
      </c>
      <c r="BJ31">
        <v>6651</v>
      </c>
      <c r="BL31">
        <v>6651</v>
      </c>
    </row>
    <row r="32" spans="1:64">
      <c r="A32">
        <f t="shared" si="1"/>
        <v>3.88</v>
      </c>
      <c r="B32">
        <f t="shared" si="2"/>
        <v>6.794</v>
      </c>
      <c r="C32">
        <f t="shared" si="3"/>
        <v>6.329</v>
      </c>
      <c r="D32">
        <f t="shared" si="4"/>
        <v>6.485</v>
      </c>
      <c r="E32">
        <f t="shared" si="5"/>
        <v>7.022</v>
      </c>
      <c r="F32">
        <f t="shared" si="6"/>
        <v>6.329</v>
      </c>
      <c r="G32">
        <f t="shared" si="7"/>
        <v>2.833</v>
      </c>
      <c r="H32">
        <f t="shared" si="8"/>
        <v>6.738</v>
      </c>
      <c r="I32">
        <f t="shared" si="9"/>
        <v>6.742</v>
      </c>
      <c r="J32">
        <f t="shared" si="10"/>
        <v>6.453</v>
      </c>
      <c r="K32">
        <f t="shared" si="11"/>
        <v>7.802</v>
      </c>
      <c r="L32">
        <f t="shared" si="12"/>
        <v>6.742</v>
      </c>
      <c r="N32">
        <v>3880</v>
      </c>
      <c r="O32">
        <v>6794</v>
      </c>
      <c r="P32">
        <v>6329</v>
      </c>
      <c r="Q32">
        <v>6485</v>
      </c>
      <c r="R32">
        <v>7022</v>
      </c>
      <c r="S32">
        <v>6329</v>
      </c>
      <c r="T32">
        <v>2833</v>
      </c>
      <c r="U32">
        <v>6738</v>
      </c>
      <c r="V32">
        <v>6742</v>
      </c>
      <c r="W32">
        <v>6453</v>
      </c>
      <c r="X32">
        <v>7802</v>
      </c>
      <c r="Y32">
        <v>6742</v>
      </c>
      <c r="AA32" t="s">
        <v>1952</v>
      </c>
      <c r="AC32">
        <v>3577</v>
      </c>
      <c r="AE32">
        <v>6422</v>
      </c>
      <c r="AG32" t="s">
        <v>1953</v>
      </c>
      <c r="AI32">
        <v>2807</v>
      </c>
      <c r="AK32">
        <v>6356</v>
      </c>
      <c r="AP32" t="s">
        <v>1954</v>
      </c>
      <c r="AR32">
        <v>6599</v>
      </c>
      <c r="AT32">
        <v>6967</v>
      </c>
      <c r="AV32" t="s">
        <v>1955</v>
      </c>
      <c r="AX32">
        <v>6547</v>
      </c>
      <c r="AZ32">
        <v>7489</v>
      </c>
      <c r="BB32" t="s">
        <v>1956</v>
      </c>
      <c r="BD32">
        <v>6276</v>
      </c>
      <c r="BF32">
        <v>6276</v>
      </c>
      <c r="BH32" t="s">
        <v>1957</v>
      </c>
      <c r="BJ32">
        <v>6658</v>
      </c>
      <c r="BL32">
        <v>6658</v>
      </c>
    </row>
    <row r="33" spans="1:64">
      <c r="A33">
        <f t="shared" si="1"/>
        <v>6.231</v>
      </c>
      <c r="B33">
        <f t="shared" si="2"/>
        <v>6.805</v>
      </c>
      <c r="C33">
        <f t="shared" si="3"/>
        <v>6.332</v>
      </c>
      <c r="D33">
        <f t="shared" si="4"/>
        <v>6.49</v>
      </c>
      <c r="E33">
        <f t="shared" si="5"/>
        <v>7.065</v>
      </c>
      <c r="F33">
        <f t="shared" si="6"/>
        <v>6.332</v>
      </c>
      <c r="G33">
        <f t="shared" si="7"/>
        <v>2.834</v>
      </c>
      <c r="H33">
        <f t="shared" si="8"/>
        <v>6.746</v>
      </c>
      <c r="I33">
        <f t="shared" si="9"/>
        <v>6.744</v>
      </c>
      <c r="J33">
        <f t="shared" si="10"/>
        <v>6.458</v>
      </c>
      <c r="K33">
        <f t="shared" si="11"/>
        <v>7.811</v>
      </c>
      <c r="L33">
        <f t="shared" si="12"/>
        <v>6.744</v>
      </c>
      <c r="N33">
        <v>6231</v>
      </c>
      <c r="O33">
        <v>6805</v>
      </c>
      <c r="P33">
        <v>6332</v>
      </c>
      <c r="Q33">
        <v>6490</v>
      </c>
      <c r="R33">
        <v>7065</v>
      </c>
      <c r="S33">
        <v>6332</v>
      </c>
      <c r="T33">
        <v>2834</v>
      </c>
      <c r="U33">
        <v>6746</v>
      </c>
      <c r="V33">
        <v>6744</v>
      </c>
      <c r="W33">
        <v>6458</v>
      </c>
      <c r="X33">
        <v>7811</v>
      </c>
      <c r="Y33">
        <v>6744</v>
      </c>
      <c r="AA33" t="s">
        <v>1958</v>
      </c>
      <c r="AC33">
        <v>3577</v>
      </c>
      <c r="AE33">
        <v>6429</v>
      </c>
      <c r="AG33" t="s">
        <v>1959</v>
      </c>
      <c r="AI33">
        <v>2808</v>
      </c>
      <c r="AK33">
        <v>6377</v>
      </c>
      <c r="AP33" t="s">
        <v>1960</v>
      </c>
      <c r="AR33">
        <v>6603</v>
      </c>
      <c r="AT33">
        <v>6967</v>
      </c>
      <c r="AV33" t="s">
        <v>1961</v>
      </c>
      <c r="AX33">
        <v>6550</v>
      </c>
      <c r="AZ33">
        <v>7537</v>
      </c>
      <c r="BB33" t="s">
        <v>1962</v>
      </c>
      <c r="BD33">
        <v>6284</v>
      </c>
      <c r="BF33">
        <v>6284</v>
      </c>
      <c r="BH33" t="s">
        <v>1963</v>
      </c>
      <c r="BJ33">
        <v>6664</v>
      </c>
      <c r="BL33">
        <v>6664</v>
      </c>
    </row>
    <row r="34" spans="1:64">
      <c r="A34">
        <f t="shared" si="1"/>
        <v>6.263</v>
      </c>
      <c r="B34">
        <f t="shared" si="2"/>
        <v>6.815</v>
      </c>
      <c r="C34">
        <f t="shared" si="3"/>
        <v>6.345</v>
      </c>
      <c r="D34">
        <f t="shared" si="4"/>
        <v>6.492</v>
      </c>
      <c r="E34">
        <f t="shared" si="5"/>
        <v>7.081</v>
      </c>
      <c r="F34">
        <f t="shared" si="6"/>
        <v>6.345</v>
      </c>
      <c r="G34">
        <f t="shared" si="7"/>
        <v>2.839</v>
      </c>
      <c r="H34">
        <f t="shared" si="8"/>
        <v>6.749</v>
      </c>
      <c r="I34">
        <f t="shared" si="9"/>
        <v>6.752</v>
      </c>
      <c r="J34">
        <f t="shared" si="10"/>
        <v>6.468</v>
      </c>
      <c r="K34">
        <f t="shared" si="11"/>
        <v>7.859</v>
      </c>
      <c r="L34">
        <f t="shared" si="12"/>
        <v>6.752</v>
      </c>
      <c r="N34">
        <v>6263</v>
      </c>
      <c r="O34">
        <v>6815</v>
      </c>
      <c r="P34">
        <v>6345</v>
      </c>
      <c r="Q34">
        <v>6492</v>
      </c>
      <c r="R34">
        <v>7081</v>
      </c>
      <c r="S34">
        <v>6345</v>
      </c>
      <c r="T34">
        <v>2839</v>
      </c>
      <c r="U34">
        <v>6749</v>
      </c>
      <c r="V34">
        <v>6752</v>
      </c>
      <c r="W34">
        <v>6468</v>
      </c>
      <c r="X34">
        <v>7859</v>
      </c>
      <c r="Y34">
        <v>6752</v>
      </c>
      <c r="AA34" t="s">
        <v>1964</v>
      </c>
      <c r="AC34">
        <v>3579</v>
      </c>
      <c r="AE34">
        <v>6442</v>
      </c>
      <c r="AG34" t="s">
        <v>1965</v>
      </c>
      <c r="AI34">
        <v>2809</v>
      </c>
      <c r="AK34">
        <v>6388</v>
      </c>
      <c r="AP34" t="s">
        <v>1966</v>
      </c>
      <c r="AR34">
        <v>6618</v>
      </c>
      <c r="AT34">
        <v>6974</v>
      </c>
      <c r="AV34" t="s">
        <v>1967</v>
      </c>
      <c r="AX34">
        <v>6565</v>
      </c>
      <c r="AZ34">
        <v>7547</v>
      </c>
      <c r="BB34" t="s">
        <v>1968</v>
      </c>
      <c r="BD34">
        <v>6298</v>
      </c>
      <c r="BF34">
        <v>6298</v>
      </c>
      <c r="BH34" t="s">
        <v>1969</v>
      </c>
      <c r="BJ34">
        <v>6688</v>
      </c>
      <c r="BL34">
        <v>6688</v>
      </c>
    </row>
    <row r="35" spans="1:64">
      <c r="A35">
        <f t="shared" si="1"/>
        <v>6.304</v>
      </c>
      <c r="B35">
        <f t="shared" si="2"/>
        <v>6.967</v>
      </c>
      <c r="C35">
        <f t="shared" si="3"/>
        <v>6.351</v>
      </c>
      <c r="D35">
        <f t="shared" si="4"/>
        <v>6.503</v>
      </c>
      <c r="E35">
        <f t="shared" si="5"/>
        <v>7.113</v>
      </c>
      <c r="F35">
        <f t="shared" si="6"/>
        <v>6.351</v>
      </c>
      <c r="G35">
        <f t="shared" si="7"/>
        <v>2.841</v>
      </c>
      <c r="H35">
        <f t="shared" si="8"/>
        <v>6.749</v>
      </c>
      <c r="I35">
        <f t="shared" si="9"/>
        <v>6.759</v>
      </c>
      <c r="J35">
        <f t="shared" si="10"/>
        <v>6.468</v>
      </c>
      <c r="K35">
        <f t="shared" si="11"/>
        <v>7.869</v>
      </c>
      <c r="L35">
        <f t="shared" si="12"/>
        <v>6.759</v>
      </c>
      <c r="N35">
        <v>6304</v>
      </c>
      <c r="O35">
        <v>6967</v>
      </c>
      <c r="P35">
        <v>6351</v>
      </c>
      <c r="Q35">
        <v>6503</v>
      </c>
      <c r="R35">
        <v>7113</v>
      </c>
      <c r="S35">
        <v>6351</v>
      </c>
      <c r="T35">
        <v>2841</v>
      </c>
      <c r="U35">
        <v>6749</v>
      </c>
      <c r="V35">
        <v>6759</v>
      </c>
      <c r="W35">
        <v>6468</v>
      </c>
      <c r="X35">
        <v>7869</v>
      </c>
      <c r="Y35">
        <v>6759</v>
      </c>
      <c r="AA35" t="s">
        <v>1970</v>
      </c>
      <c r="AC35">
        <v>3637</v>
      </c>
      <c r="AE35">
        <v>6453</v>
      </c>
      <c r="AG35" t="s">
        <v>1971</v>
      </c>
      <c r="AI35">
        <v>2816</v>
      </c>
      <c r="AK35">
        <v>6392</v>
      </c>
      <c r="AP35" t="s">
        <v>1972</v>
      </c>
      <c r="AR35">
        <v>6670</v>
      </c>
      <c r="AT35">
        <v>6979</v>
      </c>
      <c r="AV35" t="s">
        <v>1973</v>
      </c>
      <c r="AX35">
        <v>6582</v>
      </c>
      <c r="AZ35">
        <v>7630</v>
      </c>
      <c r="BB35" t="s">
        <v>1974</v>
      </c>
      <c r="BD35">
        <v>6302</v>
      </c>
      <c r="BF35">
        <v>6302</v>
      </c>
      <c r="BH35" t="s">
        <v>1975</v>
      </c>
      <c r="BJ35">
        <v>6690</v>
      </c>
      <c r="BL35">
        <v>6690</v>
      </c>
    </row>
    <row r="36" spans="1:64">
      <c r="A36">
        <f t="shared" si="1"/>
        <v>6.311</v>
      </c>
      <c r="B36">
        <f t="shared" si="2"/>
        <v>6.967</v>
      </c>
      <c r="C36">
        <f t="shared" si="3"/>
        <v>6.371</v>
      </c>
      <c r="D36">
        <f t="shared" si="4"/>
        <v>6.515</v>
      </c>
      <c r="E36">
        <f t="shared" si="5"/>
        <v>7.133</v>
      </c>
      <c r="F36">
        <f t="shared" si="6"/>
        <v>6.371</v>
      </c>
      <c r="G36">
        <f t="shared" si="7"/>
        <v>2.848</v>
      </c>
      <c r="H36">
        <f t="shared" si="8"/>
        <v>6.762</v>
      </c>
      <c r="I36">
        <f t="shared" si="9"/>
        <v>6.775</v>
      </c>
      <c r="J36">
        <f t="shared" si="10"/>
        <v>6.48</v>
      </c>
      <c r="K36">
        <f t="shared" si="11"/>
        <v>7.986</v>
      </c>
      <c r="L36">
        <f t="shared" si="12"/>
        <v>6.775</v>
      </c>
      <c r="N36">
        <v>6311</v>
      </c>
      <c r="O36">
        <v>6967</v>
      </c>
      <c r="P36">
        <v>6371</v>
      </c>
      <c r="Q36">
        <v>6515</v>
      </c>
      <c r="R36">
        <v>7133</v>
      </c>
      <c r="S36">
        <v>6371</v>
      </c>
      <c r="T36">
        <v>2848</v>
      </c>
      <c r="U36">
        <v>6762</v>
      </c>
      <c r="V36">
        <v>6775</v>
      </c>
      <c r="W36">
        <v>6480</v>
      </c>
      <c r="X36">
        <v>7986</v>
      </c>
      <c r="Y36">
        <v>6775</v>
      </c>
      <c r="AA36" t="s">
        <v>1976</v>
      </c>
      <c r="AC36">
        <v>3730</v>
      </c>
      <c r="AE36">
        <v>6460</v>
      </c>
      <c r="AG36" t="s">
        <v>1977</v>
      </c>
      <c r="AI36">
        <v>2817</v>
      </c>
      <c r="AK36">
        <v>6434</v>
      </c>
      <c r="AP36" t="s">
        <v>1978</v>
      </c>
      <c r="AR36">
        <v>6691</v>
      </c>
      <c r="AT36">
        <v>6990</v>
      </c>
      <c r="AV36" t="s">
        <v>1979</v>
      </c>
      <c r="AX36">
        <v>6588</v>
      </c>
      <c r="AZ36">
        <v>7650</v>
      </c>
      <c r="BB36" t="s">
        <v>1980</v>
      </c>
      <c r="BD36">
        <v>6309</v>
      </c>
      <c r="BF36">
        <v>6309</v>
      </c>
      <c r="BH36" t="s">
        <v>1981</v>
      </c>
      <c r="BJ36">
        <v>6701</v>
      </c>
      <c r="BL36">
        <v>6701</v>
      </c>
    </row>
    <row r="37" spans="1:64">
      <c r="A37">
        <f t="shared" si="1"/>
        <v>6.32</v>
      </c>
      <c r="B37">
        <f t="shared" si="2"/>
        <v>6.974</v>
      </c>
      <c r="C37">
        <f t="shared" si="3"/>
        <v>6.376</v>
      </c>
      <c r="D37">
        <f t="shared" si="4"/>
        <v>6.515</v>
      </c>
      <c r="E37">
        <f t="shared" si="5"/>
        <v>7.202</v>
      </c>
      <c r="F37">
        <f t="shared" si="6"/>
        <v>6.376</v>
      </c>
      <c r="G37">
        <f t="shared" si="7"/>
        <v>2.848</v>
      </c>
      <c r="H37">
        <f t="shared" si="8"/>
        <v>6.789</v>
      </c>
      <c r="I37">
        <f t="shared" si="9"/>
        <v>6.779</v>
      </c>
      <c r="J37">
        <f t="shared" si="10"/>
        <v>6.499</v>
      </c>
      <c r="K37">
        <f t="shared" si="11"/>
        <v>8.029</v>
      </c>
      <c r="L37">
        <f t="shared" si="12"/>
        <v>6.779</v>
      </c>
      <c r="N37">
        <v>6320</v>
      </c>
      <c r="O37">
        <v>6974</v>
      </c>
      <c r="P37">
        <v>6376</v>
      </c>
      <c r="Q37">
        <v>6515</v>
      </c>
      <c r="R37">
        <v>7202</v>
      </c>
      <c r="S37">
        <v>6376</v>
      </c>
      <c r="T37">
        <v>2848</v>
      </c>
      <c r="U37">
        <v>6789</v>
      </c>
      <c r="V37">
        <v>6779</v>
      </c>
      <c r="W37">
        <v>6499</v>
      </c>
      <c r="X37">
        <v>8029</v>
      </c>
      <c r="Y37">
        <v>6779</v>
      </c>
      <c r="AA37" t="s">
        <v>1982</v>
      </c>
      <c r="AC37">
        <v>3767</v>
      </c>
      <c r="AE37">
        <v>6471</v>
      </c>
      <c r="AG37" t="s">
        <v>1983</v>
      </c>
      <c r="AI37">
        <v>2818</v>
      </c>
      <c r="AK37">
        <v>6436</v>
      </c>
      <c r="AP37" t="s">
        <v>1984</v>
      </c>
      <c r="AR37">
        <v>6751</v>
      </c>
      <c r="AT37">
        <v>7005</v>
      </c>
      <c r="AV37" t="s">
        <v>1985</v>
      </c>
      <c r="AX37">
        <v>6592</v>
      </c>
      <c r="AZ37">
        <v>7724</v>
      </c>
      <c r="BB37" t="s">
        <v>1986</v>
      </c>
      <c r="BD37">
        <v>6311</v>
      </c>
      <c r="BF37">
        <v>6311</v>
      </c>
      <c r="BH37" t="s">
        <v>1987</v>
      </c>
      <c r="BJ37">
        <v>6705</v>
      </c>
      <c r="BL37">
        <v>6705</v>
      </c>
    </row>
    <row r="38" spans="1:64">
      <c r="A38">
        <f t="shared" si="1"/>
        <v>6.326</v>
      </c>
      <c r="B38">
        <f t="shared" si="2"/>
        <v>6.979</v>
      </c>
      <c r="C38">
        <f t="shared" si="3"/>
        <v>6.388</v>
      </c>
      <c r="D38">
        <f t="shared" si="4"/>
        <v>6.524</v>
      </c>
      <c r="E38">
        <f t="shared" si="5"/>
        <v>7.237</v>
      </c>
      <c r="F38">
        <f t="shared" si="6"/>
        <v>6.388</v>
      </c>
      <c r="G38">
        <f t="shared" si="7"/>
        <v>2.856</v>
      </c>
      <c r="H38">
        <f t="shared" si="8"/>
        <v>6.808</v>
      </c>
      <c r="I38">
        <f t="shared" si="9"/>
        <v>6.785</v>
      </c>
      <c r="J38">
        <f t="shared" si="10"/>
        <v>6.532</v>
      </c>
      <c r="K38">
        <f t="shared" si="11"/>
        <v>8.041</v>
      </c>
      <c r="L38">
        <f t="shared" si="12"/>
        <v>6.785</v>
      </c>
      <c r="N38">
        <v>6326</v>
      </c>
      <c r="O38">
        <v>6979</v>
      </c>
      <c r="P38">
        <v>6388</v>
      </c>
      <c r="Q38">
        <v>6524</v>
      </c>
      <c r="R38">
        <v>7237</v>
      </c>
      <c r="S38">
        <v>6388</v>
      </c>
      <c r="T38">
        <v>2856</v>
      </c>
      <c r="U38">
        <v>6808</v>
      </c>
      <c r="V38">
        <v>6785</v>
      </c>
      <c r="W38">
        <v>6532</v>
      </c>
      <c r="X38">
        <v>8041</v>
      </c>
      <c r="Y38">
        <v>6785</v>
      </c>
      <c r="AA38" t="s">
        <v>1988</v>
      </c>
      <c r="AC38">
        <v>3794</v>
      </c>
      <c r="AE38">
        <v>6473</v>
      </c>
      <c r="AG38" t="s">
        <v>1989</v>
      </c>
      <c r="AI38">
        <v>2827</v>
      </c>
      <c r="AK38">
        <v>6448</v>
      </c>
      <c r="AP38" t="s">
        <v>1990</v>
      </c>
      <c r="AR38">
        <v>6774</v>
      </c>
      <c r="AT38">
        <v>7008</v>
      </c>
      <c r="AV38" t="s">
        <v>1991</v>
      </c>
      <c r="AX38">
        <v>6619</v>
      </c>
      <c r="AZ38">
        <v>7787</v>
      </c>
      <c r="BB38" t="s">
        <v>1992</v>
      </c>
      <c r="BD38">
        <v>6320</v>
      </c>
      <c r="BF38">
        <v>6320</v>
      </c>
      <c r="BH38" t="s">
        <v>1993</v>
      </c>
      <c r="BJ38">
        <v>6707</v>
      </c>
      <c r="BL38">
        <v>6707</v>
      </c>
    </row>
    <row r="39" spans="1:64">
      <c r="A39">
        <f t="shared" si="1"/>
        <v>6.332</v>
      </c>
      <c r="B39">
        <f t="shared" si="2"/>
        <v>6.99</v>
      </c>
      <c r="C39">
        <f t="shared" si="3"/>
        <v>6.402</v>
      </c>
      <c r="D39">
        <f t="shared" si="4"/>
        <v>6.527</v>
      </c>
      <c r="E39">
        <f t="shared" si="5"/>
        <v>7.329</v>
      </c>
      <c r="F39">
        <f t="shared" si="6"/>
        <v>6.402</v>
      </c>
      <c r="G39">
        <f t="shared" si="7"/>
        <v>2.859</v>
      </c>
      <c r="H39">
        <f t="shared" si="8"/>
        <v>6.823</v>
      </c>
      <c r="I39">
        <f t="shared" si="9"/>
        <v>6.79</v>
      </c>
      <c r="J39">
        <f t="shared" si="10"/>
        <v>6.534</v>
      </c>
      <c r="K39">
        <f t="shared" si="11"/>
        <v>8.104</v>
      </c>
      <c r="L39">
        <f t="shared" si="12"/>
        <v>6.79</v>
      </c>
      <c r="N39">
        <v>6332</v>
      </c>
      <c r="O39">
        <v>6990</v>
      </c>
      <c r="P39">
        <v>6402</v>
      </c>
      <c r="Q39">
        <v>6527</v>
      </c>
      <c r="R39">
        <v>7329</v>
      </c>
      <c r="S39">
        <v>6402</v>
      </c>
      <c r="T39">
        <v>2859</v>
      </c>
      <c r="U39">
        <v>6823</v>
      </c>
      <c r="V39">
        <v>6790</v>
      </c>
      <c r="W39">
        <v>6534</v>
      </c>
      <c r="X39">
        <v>8104</v>
      </c>
      <c r="Y39">
        <v>6790</v>
      </c>
      <c r="AA39" t="s">
        <v>1994</v>
      </c>
      <c r="AC39">
        <v>3870</v>
      </c>
      <c r="AE39">
        <v>6474</v>
      </c>
      <c r="AG39" t="s">
        <v>1995</v>
      </c>
      <c r="AI39">
        <v>2828</v>
      </c>
      <c r="AK39">
        <v>6453</v>
      </c>
      <c r="AP39" t="s">
        <v>1996</v>
      </c>
      <c r="AR39">
        <v>6794</v>
      </c>
      <c r="AT39">
        <v>7022</v>
      </c>
      <c r="AV39" t="s">
        <v>1997</v>
      </c>
      <c r="AX39">
        <v>6738</v>
      </c>
      <c r="AZ39">
        <v>7802</v>
      </c>
      <c r="BB39" t="s">
        <v>1998</v>
      </c>
      <c r="BD39">
        <v>6328</v>
      </c>
      <c r="BF39">
        <v>6328</v>
      </c>
      <c r="BH39" t="s">
        <v>1999</v>
      </c>
      <c r="BJ39">
        <v>6721</v>
      </c>
      <c r="BL39">
        <v>6721</v>
      </c>
    </row>
    <row r="40" spans="1:64">
      <c r="A40">
        <f t="shared" si="1"/>
        <v>6.345</v>
      </c>
      <c r="B40">
        <f t="shared" si="2"/>
        <v>7.005</v>
      </c>
      <c r="C40">
        <f t="shared" si="3"/>
        <v>6.408</v>
      </c>
      <c r="D40">
        <f t="shared" si="4"/>
        <v>6.53</v>
      </c>
      <c r="E40">
        <f t="shared" si="5"/>
        <v>7.347</v>
      </c>
      <c r="F40">
        <f t="shared" si="6"/>
        <v>6.408</v>
      </c>
      <c r="G40">
        <f t="shared" si="7"/>
        <v>2.865</v>
      </c>
      <c r="H40">
        <f t="shared" si="8"/>
        <v>6.834</v>
      </c>
      <c r="I40">
        <f t="shared" si="9"/>
        <v>6.794</v>
      </c>
      <c r="J40">
        <f t="shared" si="10"/>
        <v>6.551</v>
      </c>
      <c r="K40">
        <f t="shared" si="11"/>
        <v>8.106</v>
      </c>
      <c r="L40">
        <f t="shared" si="12"/>
        <v>6.794</v>
      </c>
      <c r="N40">
        <v>6345</v>
      </c>
      <c r="O40">
        <v>7005</v>
      </c>
      <c r="P40">
        <v>6408</v>
      </c>
      <c r="Q40">
        <v>6530</v>
      </c>
      <c r="R40">
        <v>7347</v>
      </c>
      <c r="S40">
        <v>6408</v>
      </c>
      <c r="T40">
        <v>2865</v>
      </c>
      <c r="U40">
        <v>6834</v>
      </c>
      <c r="V40">
        <v>6794</v>
      </c>
      <c r="W40">
        <v>6551</v>
      </c>
      <c r="X40">
        <v>8106</v>
      </c>
      <c r="Y40">
        <v>6794</v>
      </c>
      <c r="AA40" t="s">
        <v>2000</v>
      </c>
      <c r="AC40">
        <v>3880</v>
      </c>
      <c r="AE40">
        <v>6485</v>
      </c>
      <c r="AG40" t="s">
        <v>2001</v>
      </c>
      <c r="AI40">
        <v>2833</v>
      </c>
      <c r="AK40">
        <v>6453</v>
      </c>
      <c r="AP40" t="s">
        <v>2002</v>
      </c>
      <c r="AR40">
        <v>6805</v>
      </c>
      <c r="AT40">
        <v>7065</v>
      </c>
      <c r="AV40" t="s">
        <v>2003</v>
      </c>
      <c r="AX40">
        <v>6746</v>
      </c>
      <c r="AZ40">
        <v>7811</v>
      </c>
      <c r="BB40" t="s">
        <v>2004</v>
      </c>
      <c r="BD40">
        <v>6329</v>
      </c>
      <c r="BF40">
        <v>6329</v>
      </c>
      <c r="BH40" t="s">
        <v>2005</v>
      </c>
      <c r="BJ40">
        <v>6742</v>
      </c>
      <c r="BL40">
        <v>6742</v>
      </c>
    </row>
    <row r="41" spans="1:64">
      <c r="A41">
        <f t="shared" si="1"/>
        <v>6.347</v>
      </c>
      <c r="B41">
        <f t="shared" si="2"/>
        <v>7.008</v>
      </c>
      <c r="C41">
        <f t="shared" si="3"/>
        <v>6.413</v>
      </c>
      <c r="D41">
        <f t="shared" si="4"/>
        <v>6.535</v>
      </c>
      <c r="E41">
        <f t="shared" si="5"/>
        <v>7.348</v>
      </c>
      <c r="F41">
        <f t="shared" si="6"/>
        <v>6.413</v>
      </c>
      <c r="G41">
        <f t="shared" si="7"/>
        <v>2.866</v>
      </c>
      <c r="H41">
        <f t="shared" si="8"/>
        <v>6.836</v>
      </c>
      <c r="I41">
        <f t="shared" si="9"/>
        <v>6.797</v>
      </c>
      <c r="J41">
        <f t="shared" si="10"/>
        <v>6.566</v>
      </c>
      <c r="K41">
        <f t="shared" si="11"/>
        <v>8.167</v>
      </c>
      <c r="L41">
        <f t="shared" si="12"/>
        <v>6.797</v>
      </c>
      <c r="N41">
        <v>6347</v>
      </c>
      <c r="O41">
        <v>7008</v>
      </c>
      <c r="P41">
        <v>6413</v>
      </c>
      <c r="Q41">
        <v>6535</v>
      </c>
      <c r="R41">
        <v>7348</v>
      </c>
      <c r="S41">
        <v>6413</v>
      </c>
      <c r="T41">
        <v>2866</v>
      </c>
      <c r="U41">
        <v>6836</v>
      </c>
      <c r="V41">
        <v>6797</v>
      </c>
      <c r="W41">
        <v>6566</v>
      </c>
      <c r="X41">
        <v>8167</v>
      </c>
      <c r="Y41">
        <v>6797</v>
      </c>
      <c r="AA41" t="s">
        <v>2006</v>
      </c>
      <c r="AC41">
        <v>6231</v>
      </c>
      <c r="AE41">
        <v>6490</v>
      </c>
      <c r="AG41" t="s">
        <v>2007</v>
      </c>
      <c r="AI41">
        <v>2834</v>
      </c>
      <c r="AK41">
        <v>6458</v>
      </c>
      <c r="AP41" t="s">
        <v>2008</v>
      </c>
      <c r="AR41">
        <v>6815</v>
      </c>
      <c r="AT41">
        <v>7081</v>
      </c>
      <c r="AV41" t="s">
        <v>2009</v>
      </c>
      <c r="AX41">
        <v>6749</v>
      </c>
      <c r="AZ41">
        <v>7859</v>
      </c>
      <c r="BB41" t="s">
        <v>2010</v>
      </c>
      <c r="BD41">
        <v>6332</v>
      </c>
      <c r="BF41">
        <v>6332</v>
      </c>
      <c r="BH41" t="s">
        <v>2011</v>
      </c>
      <c r="BJ41">
        <v>6744</v>
      </c>
      <c r="BL41">
        <v>6744</v>
      </c>
    </row>
    <row r="42" spans="1:64">
      <c r="A42">
        <f t="shared" si="1"/>
        <v>6.347</v>
      </c>
      <c r="B42">
        <f t="shared" si="2"/>
        <v>7.022</v>
      </c>
      <c r="C42">
        <f t="shared" si="3"/>
        <v>6.414</v>
      </c>
      <c r="D42">
        <f t="shared" si="4"/>
        <v>6.54</v>
      </c>
      <c r="E42">
        <f t="shared" si="5"/>
        <v>7.366</v>
      </c>
      <c r="F42">
        <f t="shared" si="6"/>
        <v>6.414</v>
      </c>
      <c r="G42">
        <f t="shared" si="7"/>
        <v>2.879</v>
      </c>
      <c r="H42">
        <f t="shared" si="8"/>
        <v>6.851</v>
      </c>
      <c r="I42">
        <f t="shared" si="9"/>
        <v>6.811</v>
      </c>
      <c r="J42">
        <f t="shared" si="10"/>
        <v>6.566</v>
      </c>
      <c r="K42">
        <f t="shared" si="11"/>
        <v>8.245</v>
      </c>
      <c r="L42">
        <f t="shared" si="12"/>
        <v>6.811</v>
      </c>
      <c r="N42">
        <v>6347</v>
      </c>
      <c r="O42">
        <v>7022</v>
      </c>
      <c r="P42">
        <v>6414</v>
      </c>
      <c r="Q42">
        <v>6540</v>
      </c>
      <c r="R42">
        <v>7366</v>
      </c>
      <c r="S42">
        <v>6414</v>
      </c>
      <c r="T42">
        <v>2879</v>
      </c>
      <c r="U42">
        <v>6851</v>
      </c>
      <c r="V42">
        <v>6811</v>
      </c>
      <c r="W42">
        <v>6566</v>
      </c>
      <c r="X42">
        <v>8245</v>
      </c>
      <c r="Y42">
        <v>6811</v>
      </c>
      <c r="AA42" t="s">
        <v>2012</v>
      </c>
      <c r="AC42">
        <v>6263</v>
      </c>
      <c r="AE42">
        <v>6492</v>
      </c>
      <c r="AG42" t="s">
        <v>2013</v>
      </c>
      <c r="AI42">
        <v>2839</v>
      </c>
      <c r="AK42">
        <v>6468</v>
      </c>
      <c r="AP42" t="s">
        <v>2014</v>
      </c>
      <c r="AR42">
        <v>6967</v>
      </c>
      <c r="AT42">
        <v>7113</v>
      </c>
      <c r="AV42" t="s">
        <v>2015</v>
      </c>
      <c r="AX42">
        <v>6749</v>
      </c>
      <c r="AZ42">
        <v>7869</v>
      </c>
      <c r="BB42" t="s">
        <v>2016</v>
      </c>
      <c r="BD42">
        <v>6345</v>
      </c>
      <c r="BF42">
        <v>6345</v>
      </c>
      <c r="BH42" t="s">
        <v>2017</v>
      </c>
      <c r="BJ42">
        <v>6752</v>
      </c>
      <c r="BL42">
        <v>6752</v>
      </c>
    </row>
    <row r="43" spans="1:64">
      <c r="A43">
        <f t="shared" si="1"/>
        <v>6.366</v>
      </c>
      <c r="B43">
        <f t="shared" si="2"/>
        <v>7.042</v>
      </c>
      <c r="C43">
        <f t="shared" si="3"/>
        <v>6.428</v>
      </c>
      <c r="D43">
        <f t="shared" si="4"/>
        <v>6.545</v>
      </c>
      <c r="E43">
        <f t="shared" si="5"/>
        <v>7.401</v>
      </c>
      <c r="F43">
        <f t="shared" si="6"/>
        <v>6.428</v>
      </c>
      <c r="G43">
        <f t="shared" si="7"/>
        <v>2.883</v>
      </c>
      <c r="H43">
        <f t="shared" si="8"/>
        <v>6.89</v>
      </c>
      <c r="I43">
        <f t="shared" si="9"/>
        <v>6.832</v>
      </c>
      <c r="J43">
        <f t="shared" si="10"/>
        <v>6.57</v>
      </c>
      <c r="K43">
        <f t="shared" si="11"/>
        <v>8.26</v>
      </c>
      <c r="L43">
        <f t="shared" si="12"/>
        <v>6.832</v>
      </c>
      <c r="N43">
        <v>6366</v>
      </c>
      <c r="O43">
        <v>7042</v>
      </c>
      <c r="P43">
        <v>6428</v>
      </c>
      <c r="Q43">
        <v>6545</v>
      </c>
      <c r="R43">
        <v>7401</v>
      </c>
      <c r="S43">
        <v>6428</v>
      </c>
      <c r="T43">
        <v>2883</v>
      </c>
      <c r="U43">
        <v>6890</v>
      </c>
      <c r="V43">
        <v>6832</v>
      </c>
      <c r="W43">
        <v>6570</v>
      </c>
      <c r="X43">
        <v>8260</v>
      </c>
      <c r="Y43">
        <v>6832</v>
      </c>
      <c r="AA43" t="s">
        <v>2018</v>
      </c>
      <c r="AC43">
        <v>6304</v>
      </c>
      <c r="AE43">
        <v>6503</v>
      </c>
      <c r="AG43" t="s">
        <v>2019</v>
      </c>
      <c r="AI43">
        <v>2841</v>
      </c>
      <c r="AK43">
        <v>6468</v>
      </c>
      <c r="AP43" t="s">
        <v>2020</v>
      </c>
      <c r="AR43">
        <v>6967</v>
      </c>
      <c r="AT43">
        <v>7133</v>
      </c>
      <c r="AV43" t="s">
        <v>2021</v>
      </c>
      <c r="AX43">
        <v>6762</v>
      </c>
      <c r="AZ43">
        <v>7986</v>
      </c>
      <c r="BB43" t="s">
        <v>2022</v>
      </c>
      <c r="BD43">
        <v>6351</v>
      </c>
      <c r="BF43">
        <v>6351</v>
      </c>
      <c r="BH43" t="s">
        <v>2023</v>
      </c>
      <c r="BJ43">
        <v>6759</v>
      </c>
      <c r="BL43">
        <v>6759</v>
      </c>
    </row>
    <row r="44" spans="1:64">
      <c r="A44">
        <f t="shared" si="1"/>
        <v>6.374</v>
      </c>
      <c r="B44">
        <f t="shared" si="2"/>
        <v>7.065</v>
      </c>
      <c r="C44">
        <f t="shared" si="3"/>
        <v>6.438</v>
      </c>
      <c r="D44">
        <f t="shared" si="4"/>
        <v>6.549</v>
      </c>
      <c r="E44">
        <f t="shared" si="5"/>
        <v>7.449</v>
      </c>
      <c r="F44">
        <f t="shared" si="6"/>
        <v>6.438</v>
      </c>
      <c r="G44">
        <f t="shared" si="7"/>
        <v>2.884</v>
      </c>
      <c r="H44">
        <f t="shared" si="8"/>
        <v>6.913</v>
      </c>
      <c r="I44">
        <f t="shared" si="9"/>
        <v>6.85</v>
      </c>
      <c r="J44">
        <f t="shared" si="10"/>
        <v>6.587</v>
      </c>
      <c r="K44">
        <f t="shared" si="11"/>
        <v>8.263</v>
      </c>
      <c r="L44">
        <f t="shared" si="12"/>
        <v>6.85</v>
      </c>
      <c r="N44">
        <v>6374</v>
      </c>
      <c r="O44">
        <v>7065</v>
      </c>
      <c r="P44">
        <v>6438</v>
      </c>
      <c r="Q44">
        <v>6549</v>
      </c>
      <c r="R44">
        <v>7449</v>
      </c>
      <c r="S44">
        <v>6438</v>
      </c>
      <c r="T44">
        <v>2884</v>
      </c>
      <c r="U44">
        <v>6913</v>
      </c>
      <c r="V44">
        <v>6850</v>
      </c>
      <c r="W44">
        <v>6587</v>
      </c>
      <c r="X44">
        <v>8263</v>
      </c>
      <c r="Y44">
        <v>6850</v>
      </c>
      <c r="AA44" t="s">
        <v>2024</v>
      </c>
      <c r="AC44">
        <v>6311</v>
      </c>
      <c r="AE44">
        <v>6515</v>
      </c>
      <c r="AG44" t="s">
        <v>2025</v>
      </c>
      <c r="AI44">
        <v>2848</v>
      </c>
      <c r="AK44">
        <v>6480</v>
      </c>
      <c r="AP44" t="s">
        <v>2026</v>
      </c>
      <c r="AR44">
        <v>6974</v>
      </c>
      <c r="AT44">
        <v>7202</v>
      </c>
      <c r="AV44" t="s">
        <v>2027</v>
      </c>
      <c r="AX44">
        <v>6789</v>
      </c>
      <c r="AZ44">
        <v>8029</v>
      </c>
      <c r="BB44" t="s">
        <v>2028</v>
      </c>
      <c r="BD44">
        <v>6371</v>
      </c>
      <c r="BF44">
        <v>6371</v>
      </c>
      <c r="BH44" t="s">
        <v>2029</v>
      </c>
      <c r="BJ44">
        <v>6775</v>
      </c>
      <c r="BL44">
        <v>6775</v>
      </c>
    </row>
    <row r="45" spans="1:64">
      <c r="A45">
        <f t="shared" si="1"/>
        <v>6.376</v>
      </c>
      <c r="B45">
        <f t="shared" si="2"/>
        <v>7.081</v>
      </c>
      <c r="C45">
        <f t="shared" si="3"/>
        <v>6.438</v>
      </c>
      <c r="D45">
        <f t="shared" si="4"/>
        <v>6.551</v>
      </c>
      <c r="E45">
        <f t="shared" si="5"/>
        <v>7.45</v>
      </c>
      <c r="F45">
        <f t="shared" si="6"/>
        <v>6.438</v>
      </c>
      <c r="G45">
        <f t="shared" si="7"/>
        <v>2.884</v>
      </c>
      <c r="H45">
        <f t="shared" si="8"/>
        <v>6.93</v>
      </c>
      <c r="I45">
        <f t="shared" si="9"/>
        <v>6.861</v>
      </c>
      <c r="J45">
        <f t="shared" si="10"/>
        <v>6.604</v>
      </c>
      <c r="K45">
        <f t="shared" si="11"/>
        <v>8.335</v>
      </c>
      <c r="L45">
        <f t="shared" si="12"/>
        <v>6.861</v>
      </c>
      <c r="N45">
        <v>6376</v>
      </c>
      <c r="O45">
        <v>7081</v>
      </c>
      <c r="P45">
        <v>6438</v>
      </c>
      <c r="Q45">
        <v>6551</v>
      </c>
      <c r="R45">
        <v>7450</v>
      </c>
      <c r="S45">
        <v>6438</v>
      </c>
      <c r="T45">
        <v>2884</v>
      </c>
      <c r="U45">
        <v>6930</v>
      </c>
      <c r="V45">
        <v>6861</v>
      </c>
      <c r="W45">
        <v>6604</v>
      </c>
      <c r="X45">
        <v>8335</v>
      </c>
      <c r="Y45">
        <v>6861</v>
      </c>
      <c r="AA45" t="s">
        <v>2030</v>
      </c>
      <c r="AC45">
        <v>6320</v>
      </c>
      <c r="AE45">
        <v>6515</v>
      </c>
      <c r="AG45" t="s">
        <v>2031</v>
      </c>
      <c r="AI45">
        <v>2848</v>
      </c>
      <c r="AK45">
        <v>6499</v>
      </c>
      <c r="AP45" t="s">
        <v>2032</v>
      </c>
      <c r="AR45">
        <v>6979</v>
      </c>
      <c r="AT45">
        <v>7237</v>
      </c>
      <c r="AV45" t="s">
        <v>2033</v>
      </c>
      <c r="AX45">
        <v>6808</v>
      </c>
      <c r="AZ45">
        <v>8041</v>
      </c>
      <c r="BB45" t="s">
        <v>2034</v>
      </c>
      <c r="BD45">
        <v>6376</v>
      </c>
      <c r="BF45">
        <v>6376</v>
      </c>
      <c r="BH45" t="s">
        <v>2035</v>
      </c>
      <c r="BJ45">
        <v>6779</v>
      </c>
      <c r="BL45">
        <v>6779</v>
      </c>
    </row>
    <row r="46" spans="1:64">
      <c r="A46">
        <f t="shared" si="1"/>
        <v>6.378</v>
      </c>
      <c r="B46">
        <f t="shared" si="2"/>
        <v>7.113</v>
      </c>
      <c r="C46">
        <f t="shared" si="3"/>
        <v>6.442</v>
      </c>
      <c r="D46">
        <f t="shared" si="4"/>
        <v>6.559</v>
      </c>
      <c r="E46">
        <f t="shared" si="5"/>
        <v>7.528</v>
      </c>
      <c r="F46">
        <f t="shared" si="6"/>
        <v>6.442</v>
      </c>
      <c r="G46">
        <f t="shared" si="7"/>
        <v>2.887</v>
      </c>
      <c r="H46">
        <f t="shared" si="8"/>
        <v>6.942</v>
      </c>
      <c r="I46">
        <f t="shared" si="9"/>
        <v>6.867</v>
      </c>
      <c r="J46">
        <f t="shared" si="10"/>
        <v>6.622</v>
      </c>
      <c r="K46">
        <f t="shared" si="11"/>
        <v>8.417</v>
      </c>
      <c r="L46">
        <f t="shared" si="12"/>
        <v>6.867</v>
      </c>
      <c r="N46">
        <v>6378</v>
      </c>
      <c r="O46">
        <v>7113</v>
      </c>
      <c r="P46">
        <v>6442</v>
      </c>
      <c r="Q46">
        <v>6559</v>
      </c>
      <c r="R46">
        <v>7528</v>
      </c>
      <c r="S46">
        <v>6442</v>
      </c>
      <c r="T46">
        <v>2887</v>
      </c>
      <c r="U46">
        <v>6942</v>
      </c>
      <c r="V46">
        <v>6867</v>
      </c>
      <c r="W46">
        <v>6622</v>
      </c>
      <c r="X46">
        <v>8417</v>
      </c>
      <c r="Y46">
        <v>6867</v>
      </c>
      <c r="AA46" t="s">
        <v>2036</v>
      </c>
      <c r="AC46">
        <v>6326</v>
      </c>
      <c r="AE46">
        <v>6524</v>
      </c>
      <c r="AG46" t="s">
        <v>2037</v>
      </c>
      <c r="AI46">
        <v>2856</v>
      </c>
      <c r="AK46">
        <v>6532</v>
      </c>
      <c r="AP46" t="s">
        <v>2038</v>
      </c>
      <c r="AR46">
        <v>6990</v>
      </c>
      <c r="AT46">
        <v>7329</v>
      </c>
      <c r="AV46" t="s">
        <v>2039</v>
      </c>
      <c r="AX46">
        <v>6823</v>
      </c>
      <c r="AZ46">
        <v>8104</v>
      </c>
      <c r="BB46" t="s">
        <v>2040</v>
      </c>
      <c r="BD46">
        <v>6388</v>
      </c>
      <c r="BF46">
        <v>6388</v>
      </c>
      <c r="BH46" t="s">
        <v>2041</v>
      </c>
      <c r="BJ46">
        <v>6785</v>
      </c>
      <c r="BL46">
        <v>6785</v>
      </c>
    </row>
    <row r="47" spans="1:64">
      <c r="A47">
        <f t="shared" si="1"/>
        <v>6.38</v>
      </c>
      <c r="B47">
        <f t="shared" si="2"/>
        <v>7.133</v>
      </c>
      <c r="C47">
        <f t="shared" si="3"/>
        <v>6.445</v>
      </c>
      <c r="D47">
        <f t="shared" si="4"/>
        <v>6.562</v>
      </c>
      <c r="E47">
        <f t="shared" si="5"/>
        <v>7.532</v>
      </c>
      <c r="F47">
        <f t="shared" si="6"/>
        <v>6.445</v>
      </c>
      <c r="G47">
        <f t="shared" si="7"/>
        <v>2.89</v>
      </c>
      <c r="H47">
        <f t="shared" si="8"/>
        <v>6.961</v>
      </c>
      <c r="I47">
        <f t="shared" si="9"/>
        <v>6.873</v>
      </c>
      <c r="J47">
        <f t="shared" si="10"/>
        <v>6.629</v>
      </c>
      <c r="K47">
        <f t="shared" si="11"/>
        <v>8.433</v>
      </c>
      <c r="L47">
        <f t="shared" si="12"/>
        <v>6.873</v>
      </c>
      <c r="N47">
        <v>6380</v>
      </c>
      <c r="O47">
        <v>7133</v>
      </c>
      <c r="P47">
        <v>6445</v>
      </c>
      <c r="Q47">
        <v>6562</v>
      </c>
      <c r="R47">
        <v>7532</v>
      </c>
      <c r="S47">
        <v>6445</v>
      </c>
      <c r="T47">
        <v>2890</v>
      </c>
      <c r="U47">
        <v>6961</v>
      </c>
      <c r="V47">
        <v>6873</v>
      </c>
      <c r="W47">
        <v>6629</v>
      </c>
      <c r="X47">
        <v>8433</v>
      </c>
      <c r="Y47">
        <v>6873</v>
      </c>
      <c r="AA47" t="s">
        <v>2042</v>
      </c>
      <c r="AC47">
        <v>6332</v>
      </c>
      <c r="AE47">
        <v>6527</v>
      </c>
      <c r="AG47" t="s">
        <v>2043</v>
      </c>
      <c r="AI47">
        <v>2859</v>
      </c>
      <c r="AK47">
        <v>6534</v>
      </c>
      <c r="AP47" t="s">
        <v>2044</v>
      </c>
      <c r="AR47">
        <v>7005</v>
      </c>
      <c r="AT47">
        <v>7347</v>
      </c>
      <c r="AV47" t="s">
        <v>2045</v>
      </c>
      <c r="AX47">
        <v>6834</v>
      </c>
      <c r="AZ47">
        <v>8106</v>
      </c>
      <c r="BB47" t="s">
        <v>2046</v>
      </c>
      <c r="BD47">
        <v>6402</v>
      </c>
      <c r="BF47">
        <v>6402</v>
      </c>
      <c r="BH47" t="s">
        <v>2047</v>
      </c>
      <c r="BJ47">
        <v>6790</v>
      </c>
      <c r="BL47">
        <v>6790</v>
      </c>
    </row>
    <row r="48" spans="1:64">
      <c r="A48">
        <f t="shared" si="1"/>
        <v>6.385</v>
      </c>
      <c r="B48">
        <f t="shared" si="2"/>
        <v>7.145</v>
      </c>
      <c r="C48">
        <f t="shared" si="3"/>
        <v>6.45</v>
      </c>
      <c r="D48">
        <f t="shared" si="4"/>
        <v>6.565</v>
      </c>
      <c r="E48">
        <f t="shared" si="5"/>
        <v>7.645</v>
      </c>
      <c r="F48">
        <f t="shared" si="6"/>
        <v>6.45</v>
      </c>
      <c r="G48">
        <f t="shared" si="7"/>
        <v>2.892</v>
      </c>
      <c r="H48">
        <f t="shared" si="8"/>
        <v>6.974</v>
      </c>
      <c r="I48">
        <f t="shared" si="9"/>
        <v>6.875</v>
      </c>
      <c r="J48">
        <f t="shared" si="10"/>
        <v>6.632</v>
      </c>
      <c r="K48">
        <f t="shared" si="11"/>
        <v>8.458</v>
      </c>
      <c r="L48">
        <f t="shared" si="12"/>
        <v>6.875</v>
      </c>
      <c r="N48">
        <v>6385</v>
      </c>
      <c r="O48">
        <v>7145</v>
      </c>
      <c r="P48">
        <v>6450</v>
      </c>
      <c r="Q48">
        <v>6565</v>
      </c>
      <c r="R48">
        <v>7645</v>
      </c>
      <c r="S48">
        <v>6450</v>
      </c>
      <c r="T48">
        <v>2892</v>
      </c>
      <c r="U48">
        <v>6974</v>
      </c>
      <c r="V48">
        <v>6875</v>
      </c>
      <c r="W48">
        <v>6632</v>
      </c>
      <c r="X48">
        <v>8458</v>
      </c>
      <c r="Y48">
        <v>6875</v>
      </c>
      <c r="AA48" t="s">
        <v>2048</v>
      </c>
      <c r="AC48">
        <v>6345</v>
      </c>
      <c r="AE48">
        <v>6530</v>
      </c>
      <c r="AG48" t="s">
        <v>2049</v>
      </c>
      <c r="AI48">
        <v>2865</v>
      </c>
      <c r="AK48">
        <v>6551</v>
      </c>
      <c r="AP48" t="s">
        <v>2050</v>
      </c>
      <c r="AR48">
        <v>7008</v>
      </c>
      <c r="AT48">
        <v>7348</v>
      </c>
      <c r="AV48" t="s">
        <v>2051</v>
      </c>
      <c r="AX48">
        <v>6836</v>
      </c>
      <c r="AZ48">
        <v>8167</v>
      </c>
      <c r="BB48" t="s">
        <v>2052</v>
      </c>
      <c r="BD48">
        <v>6408</v>
      </c>
      <c r="BF48">
        <v>6408</v>
      </c>
      <c r="BH48" t="s">
        <v>2053</v>
      </c>
      <c r="BJ48">
        <v>6794</v>
      </c>
      <c r="BL48">
        <v>6794</v>
      </c>
    </row>
    <row r="49" spans="1:64">
      <c r="A49">
        <f t="shared" si="1"/>
        <v>6.387</v>
      </c>
      <c r="B49">
        <f t="shared" si="2"/>
        <v>7.151</v>
      </c>
      <c r="C49">
        <f t="shared" si="3"/>
        <v>6.456</v>
      </c>
      <c r="D49">
        <f t="shared" si="4"/>
        <v>6.567</v>
      </c>
      <c r="E49">
        <f t="shared" si="5"/>
        <v>7.674</v>
      </c>
      <c r="F49">
        <f t="shared" si="6"/>
        <v>6.456</v>
      </c>
      <c r="G49">
        <f t="shared" si="7"/>
        <v>2.892</v>
      </c>
      <c r="H49">
        <f t="shared" si="8"/>
        <v>6.976</v>
      </c>
      <c r="I49">
        <f t="shared" si="9"/>
        <v>6.905</v>
      </c>
      <c r="J49">
        <f t="shared" si="10"/>
        <v>6.638</v>
      </c>
      <c r="K49">
        <f t="shared" si="11"/>
        <v>8.567</v>
      </c>
      <c r="L49">
        <f t="shared" si="12"/>
        <v>6.905</v>
      </c>
      <c r="N49">
        <v>6387</v>
      </c>
      <c r="O49">
        <v>7151</v>
      </c>
      <c r="P49">
        <v>6456</v>
      </c>
      <c r="Q49">
        <v>6567</v>
      </c>
      <c r="R49">
        <v>7674</v>
      </c>
      <c r="S49">
        <v>6456</v>
      </c>
      <c r="T49">
        <v>2892</v>
      </c>
      <c r="U49">
        <v>6976</v>
      </c>
      <c r="V49">
        <v>6905</v>
      </c>
      <c r="W49">
        <v>6638</v>
      </c>
      <c r="X49">
        <v>8567</v>
      </c>
      <c r="Y49">
        <v>6905</v>
      </c>
      <c r="AA49" t="s">
        <v>2054</v>
      </c>
      <c r="AC49">
        <v>6347</v>
      </c>
      <c r="AE49">
        <v>6535</v>
      </c>
      <c r="AG49" t="s">
        <v>2055</v>
      </c>
      <c r="AI49">
        <v>2866</v>
      </c>
      <c r="AK49">
        <v>6566</v>
      </c>
      <c r="AP49" t="s">
        <v>2056</v>
      </c>
      <c r="AR49">
        <v>7022</v>
      </c>
      <c r="AT49">
        <v>7366</v>
      </c>
      <c r="AV49" t="s">
        <v>2057</v>
      </c>
      <c r="AX49">
        <v>6851</v>
      </c>
      <c r="AZ49">
        <v>8245</v>
      </c>
      <c r="BB49" t="s">
        <v>2058</v>
      </c>
      <c r="BD49">
        <v>6413</v>
      </c>
      <c r="BF49">
        <v>6413</v>
      </c>
      <c r="BH49" t="s">
        <v>2059</v>
      </c>
      <c r="BJ49">
        <v>6797</v>
      </c>
      <c r="BL49">
        <v>6797</v>
      </c>
    </row>
    <row r="50" spans="1:64">
      <c r="A50">
        <f t="shared" si="1"/>
        <v>6.397</v>
      </c>
      <c r="B50">
        <f t="shared" si="2"/>
        <v>7.202</v>
      </c>
      <c r="C50">
        <f t="shared" si="3"/>
        <v>6.456</v>
      </c>
      <c r="D50">
        <f t="shared" si="4"/>
        <v>6.568</v>
      </c>
      <c r="E50">
        <f t="shared" si="5"/>
        <v>7.701</v>
      </c>
      <c r="F50">
        <f t="shared" si="6"/>
        <v>6.456</v>
      </c>
      <c r="G50">
        <f t="shared" si="7"/>
        <v>2.893</v>
      </c>
      <c r="H50">
        <f t="shared" si="8"/>
        <v>6.989</v>
      </c>
      <c r="I50">
        <f t="shared" si="9"/>
        <v>6.91</v>
      </c>
      <c r="J50">
        <f t="shared" si="10"/>
        <v>6.638</v>
      </c>
      <c r="K50">
        <f t="shared" si="11"/>
        <v>8.603</v>
      </c>
      <c r="L50">
        <f t="shared" si="12"/>
        <v>6.91</v>
      </c>
      <c r="N50">
        <v>6397</v>
      </c>
      <c r="O50">
        <v>7202</v>
      </c>
      <c r="P50">
        <v>6456</v>
      </c>
      <c r="Q50">
        <v>6568</v>
      </c>
      <c r="R50">
        <v>7701</v>
      </c>
      <c r="S50">
        <v>6456</v>
      </c>
      <c r="T50">
        <v>2893</v>
      </c>
      <c r="U50">
        <v>6989</v>
      </c>
      <c r="V50">
        <v>6910</v>
      </c>
      <c r="W50">
        <v>6638</v>
      </c>
      <c r="X50">
        <v>8603</v>
      </c>
      <c r="Y50">
        <v>6910</v>
      </c>
      <c r="AA50" t="s">
        <v>2060</v>
      </c>
      <c r="AC50">
        <v>6347</v>
      </c>
      <c r="AE50">
        <v>6540</v>
      </c>
      <c r="AG50" t="s">
        <v>2061</v>
      </c>
      <c r="AI50">
        <v>2879</v>
      </c>
      <c r="AK50">
        <v>6566</v>
      </c>
      <c r="AP50" t="s">
        <v>2062</v>
      </c>
      <c r="AR50">
        <v>7042</v>
      </c>
      <c r="AT50">
        <v>7401</v>
      </c>
      <c r="AV50" t="s">
        <v>2063</v>
      </c>
      <c r="AX50">
        <v>6890</v>
      </c>
      <c r="AZ50">
        <v>8260</v>
      </c>
      <c r="BB50" t="s">
        <v>2064</v>
      </c>
      <c r="BD50">
        <v>6414</v>
      </c>
      <c r="BF50">
        <v>6414</v>
      </c>
      <c r="BH50" t="s">
        <v>2065</v>
      </c>
      <c r="BJ50">
        <v>6811</v>
      </c>
      <c r="BL50">
        <v>6811</v>
      </c>
    </row>
    <row r="51" spans="1:64">
      <c r="A51">
        <f t="shared" si="1"/>
        <v>6.403</v>
      </c>
      <c r="B51">
        <f t="shared" si="2"/>
        <v>7.205</v>
      </c>
      <c r="C51">
        <f t="shared" si="3"/>
        <v>6.465</v>
      </c>
      <c r="D51">
        <f t="shared" si="4"/>
        <v>6.569</v>
      </c>
      <c r="E51">
        <f t="shared" si="5"/>
        <v>7.781</v>
      </c>
      <c r="F51">
        <f t="shared" si="6"/>
        <v>6.465</v>
      </c>
      <c r="G51">
        <f t="shared" si="7"/>
        <v>2.894</v>
      </c>
      <c r="H51">
        <f t="shared" si="8"/>
        <v>7.006</v>
      </c>
      <c r="I51">
        <f t="shared" si="9"/>
        <v>6.914</v>
      </c>
      <c r="J51">
        <f t="shared" si="10"/>
        <v>6.643</v>
      </c>
      <c r="K51">
        <f t="shared" si="11"/>
        <v>8.736</v>
      </c>
      <c r="L51">
        <f t="shared" si="12"/>
        <v>6.914</v>
      </c>
      <c r="N51">
        <v>6403</v>
      </c>
      <c r="O51">
        <v>7205</v>
      </c>
      <c r="P51">
        <v>6465</v>
      </c>
      <c r="Q51">
        <v>6569</v>
      </c>
      <c r="R51">
        <v>7781</v>
      </c>
      <c r="S51">
        <v>6465</v>
      </c>
      <c r="T51">
        <v>2894</v>
      </c>
      <c r="U51">
        <v>7006</v>
      </c>
      <c r="V51">
        <v>6914</v>
      </c>
      <c r="W51">
        <v>6643</v>
      </c>
      <c r="X51">
        <v>8736</v>
      </c>
      <c r="Y51">
        <v>6914</v>
      </c>
      <c r="AA51" t="s">
        <v>2066</v>
      </c>
      <c r="AC51">
        <v>6366</v>
      </c>
      <c r="AE51">
        <v>6545</v>
      </c>
      <c r="AG51" t="s">
        <v>2067</v>
      </c>
      <c r="AI51">
        <v>2883</v>
      </c>
      <c r="AK51">
        <v>6570</v>
      </c>
      <c r="AP51" t="s">
        <v>2068</v>
      </c>
      <c r="AR51">
        <v>7065</v>
      </c>
      <c r="AT51">
        <v>7449</v>
      </c>
      <c r="AV51" t="s">
        <v>2069</v>
      </c>
      <c r="AX51">
        <v>6913</v>
      </c>
      <c r="AZ51">
        <v>8263</v>
      </c>
      <c r="BB51" t="s">
        <v>2070</v>
      </c>
      <c r="BD51">
        <v>6428</v>
      </c>
      <c r="BF51">
        <v>6428</v>
      </c>
      <c r="BH51" t="s">
        <v>2071</v>
      </c>
      <c r="BJ51">
        <v>6832</v>
      </c>
      <c r="BL51">
        <v>6832</v>
      </c>
    </row>
    <row r="52" spans="1:64">
      <c r="A52">
        <f t="shared" si="1"/>
        <v>6.411</v>
      </c>
      <c r="B52">
        <f t="shared" si="2"/>
        <v>7.237</v>
      </c>
      <c r="C52">
        <f t="shared" si="3"/>
        <v>6.467</v>
      </c>
      <c r="D52">
        <f t="shared" si="4"/>
        <v>6.57</v>
      </c>
      <c r="E52">
        <f t="shared" si="5"/>
        <v>7.866</v>
      </c>
      <c r="F52">
        <f t="shared" si="6"/>
        <v>6.467</v>
      </c>
      <c r="G52">
        <f t="shared" si="7"/>
        <v>2.899</v>
      </c>
      <c r="H52">
        <f t="shared" si="8"/>
        <v>7.02</v>
      </c>
      <c r="I52">
        <f t="shared" si="9"/>
        <v>6.918</v>
      </c>
      <c r="J52">
        <f t="shared" si="10"/>
        <v>6.644</v>
      </c>
      <c r="K52">
        <f t="shared" si="11"/>
        <v>8.749</v>
      </c>
      <c r="L52">
        <f t="shared" si="12"/>
        <v>6.918</v>
      </c>
      <c r="N52">
        <v>6411</v>
      </c>
      <c r="O52">
        <v>7237</v>
      </c>
      <c r="P52">
        <v>6467</v>
      </c>
      <c r="Q52">
        <v>6570</v>
      </c>
      <c r="R52">
        <v>7866</v>
      </c>
      <c r="S52">
        <v>6467</v>
      </c>
      <c r="T52">
        <v>2899</v>
      </c>
      <c r="U52">
        <v>7020</v>
      </c>
      <c r="V52">
        <v>6918</v>
      </c>
      <c r="W52">
        <v>6644</v>
      </c>
      <c r="X52">
        <v>8749</v>
      </c>
      <c r="Y52">
        <v>6918</v>
      </c>
      <c r="AA52" t="s">
        <v>2072</v>
      </c>
      <c r="AC52">
        <v>6374</v>
      </c>
      <c r="AE52">
        <v>6549</v>
      </c>
      <c r="AG52" t="s">
        <v>2073</v>
      </c>
      <c r="AI52">
        <v>2884</v>
      </c>
      <c r="AK52">
        <v>6587</v>
      </c>
      <c r="AP52" t="s">
        <v>2074</v>
      </c>
      <c r="AR52">
        <v>7081</v>
      </c>
      <c r="AT52">
        <v>7450</v>
      </c>
      <c r="AV52" t="s">
        <v>2075</v>
      </c>
      <c r="AX52">
        <v>6930</v>
      </c>
      <c r="AZ52">
        <v>8335</v>
      </c>
      <c r="BB52" t="s">
        <v>2076</v>
      </c>
      <c r="BD52">
        <v>6438</v>
      </c>
      <c r="BF52">
        <v>6438</v>
      </c>
      <c r="BH52" t="s">
        <v>2077</v>
      </c>
      <c r="BJ52">
        <v>6850</v>
      </c>
      <c r="BL52">
        <v>6850</v>
      </c>
    </row>
    <row r="53" spans="1:64">
      <c r="A53">
        <f t="shared" si="1"/>
        <v>6.42</v>
      </c>
      <c r="B53">
        <f t="shared" si="2"/>
        <v>7.268</v>
      </c>
      <c r="C53">
        <f t="shared" si="3"/>
        <v>6.482</v>
      </c>
      <c r="D53">
        <f t="shared" si="4"/>
        <v>6.579</v>
      </c>
      <c r="E53">
        <f t="shared" si="5"/>
        <v>8.002</v>
      </c>
      <c r="F53">
        <f t="shared" si="6"/>
        <v>6.482</v>
      </c>
      <c r="G53">
        <f t="shared" si="7"/>
        <v>2.902</v>
      </c>
      <c r="H53">
        <f t="shared" si="8"/>
        <v>7.046</v>
      </c>
      <c r="I53">
        <f t="shared" si="9"/>
        <v>6.935</v>
      </c>
      <c r="J53">
        <f t="shared" si="10"/>
        <v>6.658</v>
      </c>
      <c r="K53">
        <f t="shared" si="11"/>
        <v>8.802</v>
      </c>
      <c r="L53">
        <f t="shared" si="12"/>
        <v>6.935</v>
      </c>
      <c r="N53">
        <v>6420</v>
      </c>
      <c r="O53">
        <v>7268</v>
      </c>
      <c r="P53">
        <v>6482</v>
      </c>
      <c r="Q53">
        <v>6579</v>
      </c>
      <c r="R53">
        <v>8002</v>
      </c>
      <c r="S53">
        <v>6482</v>
      </c>
      <c r="T53">
        <v>2902</v>
      </c>
      <c r="U53">
        <v>7046</v>
      </c>
      <c r="V53">
        <v>6935</v>
      </c>
      <c r="W53">
        <v>6658</v>
      </c>
      <c r="X53">
        <v>8802</v>
      </c>
      <c r="Y53">
        <v>6935</v>
      </c>
      <c r="AA53" t="s">
        <v>2078</v>
      </c>
      <c r="AC53">
        <v>6376</v>
      </c>
      <c r="AE53">
        <v>6551</v>
      </c>
      <c r="AG53" t="s">
        <v>2079</v>
      </c>
      <c r="AI53">
        <v>2884</v>
      </c>
      <c r="AK53">
        <v>6604</v>
      </c>
      <c r="AP53" t="s">
        <v>2080</v>
      </c>
      <c r="AR53">
        <v>7113</v>
      </c>
      <c r="AT53">
        <v>7528</v>
      </c>
      <c r="AV53" t="s">
        <v>2081</v>
      </c>
      <c r="AX53">
        <v>6942</v>
      </c>
      <c r="AZ53">
        <v>8417</v>
      </c>
      <c r="BB53" t="s">
        <v>2082</v>
      </c>
      <c r="BD53">
        <v>6438</v>
      </c>
      <c r="BF53">
        <v>6438</v>
      </c>
      <c r="BH53" t="s">
        <v>2083</v>
      </c>
      <c r="BJ53">
        <v>6861</v>
      </c>
      <c r="BL53">
        <v>6861</v>
      </c>
    </row>
    <row r="54" spans="1:64">
      <c r="A54">
        <f t="shared" si="1"/>
        <v>6.422</v>
      </c>
      <c r="B54">
        <f t="shared" si="2"/>
        <v>7.329</v>
      </c>
      <c r="C54">
        <f t="shared" si="3"/>
        <v>6.488</v>
      </c>
      <c r="D54">
        <f t="shared" si="4"/>
        <v>6.585</v>
      </c>
      <c r="E54">
        <f t="shared" si="5"/>
        <v>8.002</v>
      </c>
      <c r="F54">
        <f t="shared" si="6"/>
        <v>6.488</v>
      </c>
      <c r="G54">
        <f t="shared" si="7"/>
        <v>2.904</v>
      </c>
      <c r="H54">
        <f t="shared" si="8"/>
        <v>7.052</v>
      </c>
      <c r="I54">
        <f t="shared" si="9"/>
        <v>6.941</v>
      </c>
      <c r="J54">
        <f t="shared" si="10"/>
        <v>6.67</v>
      </c>
      <c r="K54">
        <f t="shared" si="11"/>
        <v>8.817</v>
      </c>
      <c r="L54">
        <f t="shared" si="12"/>
        <v>6.941</v>
      </c>
      <c r="N54">
        <v>6422</v>
      </c>
      <c r="O54">
        <v>7329</v>
      </c>
      <c r="P54">
        <v>6488</v>
      </c>
      <c r="Q54">
        <v>6585</v>
      </c>
      <c r="R54">
        <v>8002</v>
      </c>
      <c r="S54">
        <v>6488</v>
      </c>
      <c r="T54">
        <v>2904</v>
      </c>
      <c r="U54">
        <v>7052</v>
      </c>
      <c r="V54">
        <v>6941</v>
      </c>
      <c r="W54">
        <v>6670</v>
      </c>
      <c r="X54">
        <v>8817</v>
      </c>
      <c r="Y54">
        <v>6941</v>
      </c>
      <c r="AA54" t="s">
        <v>2084</v>
      </c>
      <c r="AC54">
        <v>6378</v>
      </c>
      <c r="AE54">
        <v>6559</v>
      </c>
      <c r="AG54" t="s">
        <v>2085</v>
      </c>
      <c r="AI54">
        <v>2887</v>
      </c>
      <c r="AK54">
        <v>6622</v>
      </c>
      <c r="AP54" t="s">
        <v>2086</v>
      </c>
      <c r="AR54">
        <v>7133</v>
      </c>
      <c r="AT54">
        <v>7532</v>
      </c>
      <c r="AV54" t="s">
        <v>2087</v>
      </c>
      <c r="AX54">
        <v>6961</v>
      </c>
      <c r="AZ54">
        <v>8433</v>
      </c>
      <c r="BB54" t="s">
        <v>2088</v>
      </c>
      <c r="BD54">
        <v>6442</v>
      </c>
      <c r="BF54">
        <v>6442</v>
      </c>
      <c r="BH54" t="s">
        <v>2089</v>
      </c>
      <c r="BJ54">
        <v>6867</v>
      </c>
      <c r="BL54">
        <v>6867</v>
      </c>
    </row>
    <row r="55" spans="1:64">
      <c r="A55">
        <f t="shared" si="1"/>
        <v>6.429</v>
      </c>
      <c r="B55">
        <f t="shared" si="2"/>
        <v>7.347</v>
      </c>
      <c r="C55">
        <f t="shared" si="3"/>
        <v>6.493</v>
      </c>
      <c r="D55">
        <f t="shared" si="4"/>
        <v>6.588</v>
      </c>
      <c r="E55">
        <f t="shared" si="5"/>
        <v>8.104</v>
      </c>
      <c r="F55">
        <f t="shared" si="6"/>
        <v>6.493</v>
      </c>
      <c r="G55">
        <f t="shared" si="7"/>
        <v>2.908</v>
      </c>
      <c r="H55">
        <f t="shared" si="8"/>
        <v>7.065</v>
      </c>
      <c r="I55">
        <f t="shared" si="9"/>
        <v>6.966</v>
      </c>
      <c r="J55">
        <f t="shared" si="10"/>
        <v>6.681</v>
      </c>
      <c r="K55">
        <f t="shared" si="11"/>
        <v>8.823</v>
      </c>
      <c r="L55">
        <f t="shared" si="12"/>
        <v>6.966</v>
      </c>
      <c r="N55">
        <v>6429</v>
      </c>
      <c r="O55">
        <v>7347</v>
      </c>
      <c r="P55">
        <v>6493</v>
      </c>
      <c r="Q55">
        <v>6588</v>
      </c>
      <c r="R55">
        <v>8104</v>
      </c>
      <c r="S55">
        <v>6493</v>
      </c>
      <c r="T55">
        <v>2908</v>
      </c>
      <c r="U55">
        <v>7065</v>
      </c>
      <c r="V55">
        <v>6966</v>
      </c>
      <c r="W55">
        <v>6681</v>
      </c>
      <c r="X55">
        <v>8823</v>
      </c>
      <c r="Y55">
        <v>6966</v>
      </c>
      <c r="AA55" t="s">
        <v>2090</v>
      </c>
      <c r="AC55">
        <v>6380</v>
      </c>
      <c r="AE55">
        <v>6562</v>
      </c>
      <c r="AG55" t="s">
        <v>2091</v>
      </c>
      <c r="AI55">
        <v>2890</v>
      </c>
      <c r="AK55">
        <v>6629</v>
      </c>
      <c r="AP55" t="s">
        <v>2092</v>
      </c>
      <c r="AR55">
        <v>7145</v>
      </c>
      <c r="AT55">
        <v>7645</v>
      </c>
      <c r="AV55" t="s">
        <v>2093</v>
      </c>
      <c r="AX55">
        <v>6974</v>
      </c>
      <c r="AZ55">
        <v>8458</v>
      </c>
      <c r="BB55" t="s">
        <v>2094</v>
      </c>
      <c r="BD55">
        <v>6445</v>
      </c>
      <c r="BF55">
        <v>6445</v>
      </c>
      <c r="BH55" t="s">
        <v>2095</v>
      </c>
      <c r="BJ55">
        <v>6873</v>
      </c>
      <c r="BL55">
        <v>6873</v>
      </c>
    </row>
    <row r="56" spans="1:64">
      <c r="A56">
        <f t="shared" si="1"/>
        <v>6.442</v>
      </c>
      <c r="B56">
        <f t="shared" si="2"/>
        <v>7.348</v>
      </c>
      <c r="C56">
        <f t="shared" si="3"/>
        <v>6.497</v>
      </c>
      <c r="D56">
        <f t="shared" si="4"/>
        <v>6.588</v>
      </c>
      <c r="E56">
        <f t="shared" si="5"/>
        <v>8.147</v>
      </c>
      <c r="F56">
        <f t="shared" si="6"/>
        <v>6.497</v>
      </c>
      <c r="G56">
        <f t="shared" si="7"/>
        <v>2.911</v>
      </c>
      <c r="H56">
        <f t="shared" si="8"/>
        <v>7.066</v>
      </c>
      <c r="I56">
        <f t="shared" si="9"/>
        <v>6.974</v>
      </c>
      <c r="J56">
        <f t="shared" si="10"/>
        <v>6.686</v>
      </c>
      <c r="K56">
        <f t="shared" si="11"/>
        <v>8.883</v>
      </c>
      <c r="L56">
        <f t="shared" si="12"/>
        <v>6.974</v>
      </c>
      <c r="N56">
        <v>6442</v>
      </c>
      <c r="O56">
        <v>7348</v>
      </c>
      <c r="P56">
        <v>6497</v>
      </c>
      <c r="Q56">
        <v>6588</v>
      </c>
      <c r="R56">
        <v>8147</v>
      </c>
      <c r="S56">
        <v>6497</v>
      </c>
      <c r="T56">
        <v>2911</v>
      </c>
      <c r="U56">
        <v>7066</v>
      </c>
      <c r="V56">
        <v>6974</v>
      </c>
      <c r="W56">
        <v>6686</v>
      </c>
      <c r="X56">
        <v>8883</v>
      </c>
      <c r="Y56">
        <v>6974</v>
      </c>
      <c r="AA56" t="s">
        <v>2096</v>
      </c>
      <c r="AC56">
        <v>6385</v>
      </c>
      <c r="AE56">
        <v>6565</v>
      </c>
      <c r="AG56" t="s">
        <v>2097</v>
      </c>
      <c r="AI56">
        <v>2892</v>
      </c>
      <c r="AK56">
        <v>6632</v>
      </c>
      <c r="AP56" t="s">
        <v>2098</v>
      </c>
      <c r="AR56">
        <v>7151</v>
      </c>
      <c r="AT56">
        <v>7674</v>
      </c>
      <c r="AV56" t="s">
        <v>2099</v>
      </c>
      <c r="AX56">
        <v>6976</v>
      </c>
      <c r="AZ56">
        <v>8567</v>
      </c>
      <c r="BB56" t="s">
        <v>2100</v>
      </c>
      <c r="BD56">
        <v>6450</v>
      </c>
      <c r="BF56">
        <v>6450</v>
      </c>
      <c r="BH56" t="s">
        <v>2101</v>
      </c>
      <c r="BJ56">
        <v>6875</v>
      </c>
      <c r="BL56">
        <v>6875</v>
      </c>
    </row>
    <row r="57" spans="1:64">
      <c r="A57">
        <f t="shared" si="1"/>
        <v>6.453</v>
      </c>
      <c r="B57">
        <f t="shared" si="2"/>
        <v>7.366</v>
      </c>
      <c r="C57">
        <f t="shared" si="3"/>
        <v>6.502</v>
      </c>
      <c r="D57">
        <f t="shared" si="4"/>
        <v>6.602</v>
      </c>
      <c r="E57">
        <f t="shared" si="5"/>
        <v>8.211</v>
      </c>
      <c r="F57">
        <f t="shared" si="6"/>
        <v>6.502</v>
      </c>
      <c r="G57">
        <f t="shared" si="7"/>
        <v>2.912</v>
      </c>
      <c r="H57">
        <f t="shared" si="8"/>
        <v>7.081</v>
      </c>
      <c r="I57">
        <f t="shared" si="9"/>
        <v>6.975</v>
      </c>
      <c r="J57">
        <f t="shared" si="10"/>
        <v>6.69</v>
      </c>
      <c r="K57">
        <f t="shared" si="11"/>
        <v>8.883</v>
      </c>
      <c r="L57">
        <f t="shared" si="12"/>
        <v>6.975</v>
      </c>
      <c r="N57">
        <v>6453</v>
      </c>
      <c r="O57">
        <v>7366</v>
      </c>
      <c r="P57">
        <v>6502</v>
      </c>
      <c r="Q57">
        <v>6602</v>
      </c>
      <c r="R57">
        <v>8211</v>
      </c>
      <c r="S57">
        <v>6502</v>
      </c>
      <c r="T57">
        <v>2912</v>
      </c>
      <c r="U57">
        <v>7081</v>
      </c>
      <c r="V57">
        <v>6975</v>
      </c>
      <c r="W57">
        <v>6690</v>
      </c>
      <c r="X57">
        <v>8883</v>
      </c>
      <c r="Y57">
        <v>6975</v>
      </c>
      <c r="AA57" t="s">
        <v>2102</v>
      </c>
      <c r="AC57">
        <v>6387</v>
      </c>
      <c r="AE57">
        <v>6567</v>
      </c>
      <c r="AG57" t="s">
        <v>2103</v>
      </c>
      <c r="AI57">
        <v>2892</v>
      </c>
      <c r="AK57">
        <v>6638</v>
      </c>
      <c r="AP57" t="s">
        <v>2104</v>
      </c>
      <c r="AR57">
        <v>7202</v>
      </c>
      <c r="AT57">
        <v>7701</v>
      </c>
      <c r="AV57" t="s">
        <v>2105</v>
      </c>
      <c r="AX57">
        <v>6989</v>
      </c>
      <c r="AZ57">
        <v>8603</v>
      </c>
      <c r="BB57" t="s">
        <v>2106</v>
      </c>
      <c r="BD57">
        <v>6456</v>
      </c>
      <c r="BF57">
        <v>6456</v>
      </c>
      <c r="BH57" t="s">
        <v>2107</v>
      </c>
      <c r="BJ57">
        <v>6905</v>
      </c>
      <c r="BL57">
        <v>6905</v>
      </c>
    </row>
    <row r="58" spans="1:64">
      <c r="A58">
        <f t="shared" si="1"/>
        <v>6.46</v>
      </c>
      <c r="B58">
        <f t="shared" si="2"/>
        <v>7.401</v>
      </c>
      <c r="C58">
        <f t="shared" si="3"/>
        <v>6.509</v>
      </c>
      <c r="D58">
        <f t="shared" si="4"/>
        <v>6.61</v>
      </c>
      <c r="E58">
        <f t="shared" si="5"/>
        <v>8.239</v>
      </c>
      <c r="F58">
        <f t="shared" si="6"/>
        <v>6.509</v>
      </c>
      <c r="G58">
        <f t="shared" si="7"/>
        <v>2.916</v>
      </c>
      <c r="H58">
        <f t="shared" si="8"/>
        <v>7.092</v>
      </c>
      <c r="I58">
        <f t="shared" si="9"/>
        <v>6.976</v>
      </c>
      <c r="J58">
        <f t="shared" si="10"/>
        <v>6.7</v>
      </c>
      <c r="K58">
        <f t="shared" si="11"/>
        <v>8.907</v>
      </c>
      <c r="L58">
        <f t="shared" si="12"/>
        <v>6.976</v>
      </c>
      <c r="N58">
        <v>6460</v>
      </c>
      <c r="O58">
        <v>7401</v>
      </c>
      <c r="P58">
        <v>6509</v>
      </c>
      <c r="Q58">
        <v>6610</v>
      </c>
      <c r="R58">
        <v>8239</v>
      </c>
      <c r="S58">
        <v>6509</v>
      </c>
      <c r="T58">
        <v>2916</v>
      </c>
      <c r="U58">
        <v>7092</v>
      </c>
      <c r="V58">
        <v>6976</v>
      </c>
      <c r="W58">
        <v>6700</v>
      </c>
      <c r="X58">
        <v>8907</v>
      </c>
      <c r="Y58">
        <v>6976</v>
      </c>
      <c r="AA58" t="s">
        <v>2108</v>
      </c>
      <c r="AC58">
        <v>6397</v>
      </c>
      <c r="AE58">
        <v>6568</v>
      </c>
      <c r="AG58" t="s">
        <v>2109</v>
      </c>
      <c r="AI58">
        <v>2893</v>
      </c>
      <c r="AK58">
        <v>6638</v>
      </c>
      <c r="AP58" t="s">
        <v>2110</v>
      </c>
      <c r="AR58">
        <v>7205</v>
      </c>
      <c r="AT58">
        <v>7781</v>
      </c>
      <c r="AV58" t="s">
        <v>2111</v>
      </c>
      <c r="AX58">
        <v>7006</v>
      </c>
      <c r="AZ58">
        <v>8736</v>
      </c>
      <c r="BB58" t="s">
        <v>2112</v>
      </c>
      <c r="BD58">
        <v>6456</v>
      </c>
      <c r="BF58">
        <v>6456</v>
      </c>
      <c r="BH58" t="s">
        <v>2113</v>
      </c>
      <c r="BJ58">
        <v>6910</v>
      </c>
      <c r="BL58">
        <v>6910</v>
      </c>
    </row>
    <row r="59" spans="1:64">
      <c r="A59">
        <f t="shared" si="1"/>
        <v>6.471</v>
      </c>
      <c r="B59">
        <f t="shared" si="2"/>
        <v>7.409</v>
      </c>
      <c r="C59">
        <f t="shared" si="3"/>
        <v>6.517</v>
      </c>
      <c r="D59">
        <f t="shared" si="4"/>
        <v>6.61</v>
      </c>
      <c r="E59">
        <f t="shared" si="5"/>
        <v>8.383</v>
      </c>
      <c r="F59">
        <f t="shared" si="6"/>
        <v>6.517</v>
      </c>
      <c r="G59">
        <f t="shared" si="7"/>
        <v>2.916</v>
      </c>
      <c r="H59">
        <f t="shared" si="8"/>
        <v>7.092</v>
      </c>
      <c r="I59">
        <f t="shared" si="9"/>
        <v>6.981</v>
      </c>
      <c r="J59">
        <f t="shared" si="10"/>
        <v>6.718</v>
      </c>
      <c r="K59">
        <f t="shared" si="11"/>
        <v>8.98</v>
      </c>
      <c r="L59">
        <f t="shared" si="12"/>
        <v>6.981</v>
      </c>
      <c r="N59">
        <v>6471</v>
      </c>
      <c r="O59">
        <v>7409</v>
      </c>
      <c r="P59">
        <v>6517</v>
      </c>
      <c r="Q59">
        <v>6610</v>
      </c>
      <c r="R59">
        <v>8383</v>
      </c>
      <c r="S59">
        <v>6517</v>
      </c>
      <c r="T59">
        <v>2916</v>
      </c>
      <c r="U59">
        <v>7092</v>
      </c>
      <c r="V59">
        <v>6981</v>
      </c>
      <c r="W59">
        <v>6718</v>
      </c>
      <c r="X59">
        <v>8980</v>
      </c>
      <c r="Y59">
        <v>6981</v>
      </c>
      <c r="AA59" t="s">
        <v>2114</v>
      </c>
      <c r="AC59">
        <v>6403</v>
      </c>
      <c r="AE59">
        <v>6569</v>
      </c>
      <c r="AG59" t="s">
        <v>2115</v>
      </c>
      <c r="AI59">
        <v>2894</v>
      </c>
      <c r="AK59">
        <v>6643</v>
      </c>
      <c r="AP59" t="s">
        <v>2116</v>
      </c>
      <c r="AR59">
        <v>7237</v>
      </c>
      <c r="AT59">
        <v>7866</v>
      </c>
      <c r="AV59" t="s">
        <v>2117</v>
      </c>
      <c r="AX59">
        <v>7020</v>
      </c>
      <c r="AZ59">
        <v>8749</v>
      </c>
      <c r="BB59" t="s">
        <v>2118</v>
      </c>
      <c r="BD59">
        <v>6465</v>
      </c>
      <c r="BF59">
        <v>6465</v>
      </c>
      <c r="BH59" t="s">
        <v>2119</v>
      </c>
      <c r="BJ59">
        <v>6914</v>
      </c>
      <c r="BL59">
        <v>6914</v>
      </c>
    </row>
    <row r="60" spans="1:64">
      <c r="A60">
        <f t="shared" si="1"/>
        <v>6.473</v>
      </c>
      <c r="B60">
        <f t="shared" si="2"/>
        <v>7.449</v>
      </c>
      <c r="C60">
        <f t="shared" si="3"/>
        <v>6.531</v>
      </c>
      <c r="D60">
        <f t="shared" si="4"/>
        <v>6.619</v>
      </c>
      <c r="E60">
        <f t="shared" si="5"/>
        <v>8.595</v>
      </c>
      <c r="F60">
        <f t="shared" si="6"/>
        <v>6.531</v>
      </c>
      <c r="G60">
        <f t="shared" si="7"/>
        <v>2.916</v>
      </c>
      <c r="H60">
        <f t="shared" si="8"/>
        <v>7.093</v>
      </c>
      <c r="I60">
        <f t="shared" si="9"/>
        <v>6.985</v>
      </c>
      <c r="J60">
        <f t="shared" si="10"/>
        <v>6.735</v>
      </c>
      <c r="K60">
        <f t="shared" si="11"/>
        <v>8.991</v>
      </c>
      <c r="L60">
        <f t="shared" si="12"/>
        <v>6.985</v>
      </c>
      <c r="N60">
        <v>6473</v>
      </c>
      <c r="O60">
        <v>7449</v>
      </c>
      <c r="P60">
        <v>6531</v>
      </c>
      <c r="Q60">
        <v>6619</v>
      </c>
      <c r="R60">
        <v>8595</v>
      </c>
      <c r="S60">
        <v>6531</v>
      </c>
      <c r="T60">
        <v>2916</v>
      </c>
      <c r="U60">
        <v>7093</v>
      </c>
      <c r="V60">
        <v>6985</v>
      </c>
      <c r="W60">
        <v>6735</v>
      </c>
      <c r="X60">
        <v>8991</v>
      </c>
      <c r="Y60">
        <v>6985</v>
      </c>
      <c r="AA60" t="s">
        <v>2120</v>
      </c>
      <c r="AC60">
        <v>6411</v>
      </c>
      <c r="AE60">
        <v>6570</v>
      </c>
      <c r="AG60" t="s">
        <v>2121</v>
      </c>
      <c r="AI60">
        <v>2899</v>
      </c>
      <c r="AK60">
        <v>6644</v>
      </c>
      <c r="AP60" t="s">
        <v>2122</v>
      </c>
      <c r="AR60">
        <v>7268</v>
      </c>
      <c r="AT60">
        <v>8002</v>
      </c>
      <c r="AV60" t="s">
        <v>2123</v>
      </c>
      <c r="AX60">
        <v>7046</v>
      </c>
      <c r="AZ60">
        <v>8802</v>
      </c>
      <c r="BB60" t="s">
        <v>2124</v>
      </c>
      <c r="BD60">
        <v>6467</v>
      </c>
      <c r="BF60">
        <v>6467</v>
      </c>
      <c r="BH60" t="s">
        <v>2125</v>
      </c>
      <c r="BJ60">
        <v>6918</v>
      </c>
      <c r="BL60">
        <v>6918</v>
      </c>
    </row>
    <row r="61" spans="1:64">
      <c r="A61">
        <f t="shared" si="1"/>
        <v>6.474</v>
      </c>
      <c r="B61">
        <f t="shared" si="2"/>
        <v>7.45</v>
      </c>
      <c r="C61">
        <f t="shared" si="3"/>
        <v>6.55</v>
      </c>
      <c r="D61">
        <f t="shared" si="4"/>
        <v>6.622</v>
      </c>
      <c r="E61">
        <f t="shared" si="5"/>
        <v>8.824</v>
      </c>
      <c r="F61">
        <f t="shared" si="6"/>
        <v>6.55</v>
      </c>
      <c r="G61">
        <f t="shared" si="7"/>
        <v>2.916</v>
      </c>
      <c r="H61">
        <f t="shared" si="8"/>
        <v>7.098</v>
      </c>
      <c r="I61">
        <f t="shared" si="9"/>
        <v>6.997</v>
      </c>
      <c r="J61">
        <f t="shared" si="10"/>
        <v>6.739</v>
      </c>
      <c r="K61">
        <f t="shared" si="11"/>
        <v>9.02</v>
      </c>
      <c r="L61">
        <f t="shared" si="12"/>
        <v>6.997</v>
      </c>
      <c r="N61">
        <v>6474</v>
      </c>
      <c r="O61">
        <v>7450</v>
      </c>
      <c r="P61">
        <v>6550</v>
      </c>
      <c r="Q61">
        <v>6622</v>
      </c>
      <c r="R61">
        <v>8824</v>
      </c>
      <c r="S61">
        <v>6550</v>
      </c>
      <c r="T61">
        <v>2916</v>
      </c>
      <c r="U61">
        <v>7098</v>
      </c>
      <c r="V61">
        <v>6997</v>
      </c>
      <c r="W61">
        <v>6739</v>
      </c>
      <c r="X61">
        <v>9020</v>
      </c>
      <c r="Y61">
        <v>6997</v>
      </c>
      <c r="AA61" t="s">
        <v>2126</v>
      </c>
      <c r="AC61">
        <v>6420</v>
      </c>
      <c r="AE61">
        <v>6579</v>
      </c>
      <c r="AG61" t="s">
        <v>2127</v>
      </c>
      <c r="AI61">
        <v>2902</v>
      </c>
      <c r="AK61">
        <v>6658</v>
      </c>
      <c r="AP61" t="s">
        <v>2128</v>
      </c>
      <c r="AR61">
        <v>7329</v>
      </c>
      <c r="AT61">
        <v>8002</v>
      </c>
      <c r="AV61" t="s">
        <v>2129</v>
      </c>
      <c r="AX61">
        <v>7052</v>
      </c>
      <c r="AZ61">
        <v>8817</v>
      </c>
      <c r="BB61" t="s">
        <v>2130</v>
      </c>
      <c r="BD61">
        <v>6482</v>
      </c>
      <c r="BF61">
        <v>6482</v>
      </c>
      <c r="BH61" t="s">
        <v>2131</v>
      </c>
      <c r="BJ61">
        <v>6935</v>
      </c>
      <c r="BL61">
        <v>6935</v>
      </c>
    </row>
    <row r="62" spans="1:64">
      <c r="A62">
        <f t="shared" si="1"/>
        <v>6.485</v>
      </c>
      <c r="B62">
        <f t="shared" si="2"/>
        <v>7.507</v>
      </c>
      <c r="C62">
        <f t="shared" si="3"/>
        <v>6.55</v>
      </c>
      <c r="D62">
        <f t="shared" si="4"/>
        <v>6.627</v>
      </c>
      <c r="E62">
        <f t="shared" si="5"/>
        <v>8.97</v>
      </c>
      <c r="F62">
        <f t="shared" si="6"/>
        <v>6.55</v>
      </c>
      <c r="G62">
        <f t="shared" si="7"/>
        <v>2.917</v>
      </c>
      <c r="H62">
        <f t="shared" si="8"/>
        <v>7.1</v>
      </c>
      <c r="I62">
        <f t="shared" si="9"/>
        <v>7</v>
      </c>
      <c r="J62">
        <f t="shared" si="10"/>
        <v>6.75</v>
      </c>
      <c r="K62">
        <f t="shared" si="11"/>
        <v>9.031</v>
      </c>
      <c r="L62">
        <f t="shared" si="12"/>
        <v>7</v>
      </c>
      <c r="N62">
        <v>6485</v>
      </c>
      <c r="O62">
        <v>7507</v>
      </c>
      <c r="P62">
        <v>6550</v>
      </c>
      <c r="Q62">
        <v>6627</v>
      </c>
      <c r="R62">
        <v>8970</v>
      </c>
      <c r="S62">
        <v>6550</v>
      </c>
      <c r="T62">
        <v>2917</v>
      </c>
      <c r="U62">
        <v>7100</v>
      </c>
      <c r="V62">
        <v>7000</v>
      </c>
      <c r="W62">
        <v>6750</v>
      </c>
      <c r="X62">
        <v>9031</v>
      </c>
      <c r="Y62">
        <v>7000</v>
      </c>
      <c r="AA62" t="s">
        <v>2132</v>
      </c>
      <c r="AC62">
        <v>6422</v>
      </c>
      <c r="AE62">
        <v>6585</v>
      </c>
      <c r="AG62" t="s">
        <v>2133</v>
      </c>
      <c r="AI62">
        <v>2904</v>
      </c>
      <c r="AK62">
        <v>6670</v>
      </c>
      <c r="AP62" t="s">
        <v>2134</v>
      </c>
      <c r="AR62">
        <v>7347</v>
      </c>
      <c r="AT62">
        <v>8104</v>
      </c>
      <c r="AV62" t="s">
        <v>2135</v>
      </c>
      <c r="AX62">
        <v>7065</v>
      </c>
      <c r="AZ62">
        <v>8823</v>
      </c>
      <c r="BB62" t="s">
        <v>2136</v>
      </c>
      <c r="BD62">
        <v>6488</v>
      </c>
      <c r="BF62">
        <v>6488</v>
      </c>
      <c r="BH62" t="s">
        <v>2137</v>
      </c>
      <c r="BJ62">
        <v>6941</v>
      </c>
      <c r="BL62">
        <v>6941</v>
      </c>
    </row>
    <row r="63" spans="1:64">
      <c r="A63">
        <f t="shared" si="1"/>
        <v>6.49</v>
      </c>
      <c r="B63">
        <f t="shared" si="2"/>
        <v>7.528</v>
      </c>
      <c r="C63">
        <f t="shared" si="3"/>
        <v>6.559</v>
      </c>
      <c r="D63">
        <f t="shared" si="4"/>
        <v>6.637</v>
      </c>
      <c r="E63">
        <f t="shared" si="5"/>
        <v>9.061</v>
      </c>
      <c r="F63">
        <f t="shared" si="6"/>
        <v>6.559</v>
      </c>
      <c r="G63">
        <f t="shared" si="7"/>
        <v>2.923</v>
      </c>
      <c r="H63">
        <f t="shared" si="8"/>
        <v>7.104</v>
      </c>
      <c r="I63">
        <f t="shared" si="9"/>
        <v>7</v>
      </c>
      <c r="J63">
        <f t="shared" si="10"/>
        <v>6.779</v>
      </c>
      <c r="K63">
        <f t="shared" si="11"/>
        <v>9.071</v>
      </c>
      <c r="L63">
        <f t="shared" si="12"/>
        <v>7</v>
      </c>
      <c r="N63">
        <v>6490</v>
      </c>
      <c r="O63">
        <v>7528</v>
      </c>
      <c r="P63">
        <v>6559</v>
      </c>
      <c r="Q63">
        <v>6637</v>
      </c>
      <c r="R63">
        <v>9061</v>
      </c>
      <c r="S63">
        <v>6559</v>
      </c>
      <c r="T63">
        <v>2923</v>
      </c>
      <c r="U63">
        <v>7104</v>
      </c>
      <c r="V63">
        <v>7000</v>
      </c>
      <c r="W63">
        <v>6779</v>
      </c>
      <c r="X63">
        <v>9071</v>
      </c>
      <c r="Y63">
        <v>7000</v>
      </c>
      <c r="AA63" t="s">
        <v>2138</v>
      </c>
      <c r="AC63">
        <v>6429</v>
      </c>
      <c r="AE63">
        <v>6588</v>
      </c>
      <c r="AG63" t="s">
        <v>2139</v>
      </c>
      <c r="AI63">
        <v>2908</v>
      </c>
      <c r="AK63">
        <v>6681</v>
      </c>
      <c r="AP63" t="s">
        <v>2140</v>
      </c>
      <c r="AR63">
        <v>7348</v>
      </c>
      <c r="AT63">
        <v>8147</v>
      </c>
      <c r="AV63" t="s">
        <v>2141</v>
      </c>
      <c r="AX63">
        <v>7066</v>
      </c>
      <c r="AZ63">
        <v>8883</v>
      </c>
      <c r="BB63" t="s">
        <v>2142</v>
      </c>
      <c r="BD63">
        <v>6493</v>
      </c>
      <c r="BF63">
        <v>6493</v>
      </c>
      <c r="BH63" t="s">
        <v>2143</v>
      </c>
      <c r="BJ63">
        <v>6966</v>
      </c>
      <c r="BL63">
        <v>6966</v>
      </c>
    </row>
    <row r="64" spans="1:64">
      <c r="A64">
        <f t="shared" si="1"/>
        <v>6.492</v>
      </c>
      <c r="B64">
        <f t="shared" si="2"/>
        <v>7.532</v>
      </c>
      <c r="C64">
        <f t="shared" si="3"/>
        <v>6.568</v>
      </c>
      <c r="D64">
        <f t="shared" si="4"/>
        <v>6.644</v>
      </c>
      <c r="E64">
        <f t="shared" si="5"/>
        <v>9.116</v>
      </c>
      <c r="F64">
        <f t="shared" si="6"/>
        <v>6.568</v>
      </c>
      <c r="G64">
        <f t="shared" si="7"/>
        <v>2.925</v>
      </c>
      <c r="H64">
        <f t="shared" si="8"/>
        <v>7.106</v>
      </c>
      <c r="I64">
        <f t="shared" si="9"/>
        <v>7.016</v>
      </c>
      <c r="J64">
        <f t="shared" si="10"/>
        <v>6.783</v>
      </c>
      <c r="K64">
        <f t="shared" si="11"/>
        <v>9.131</v>
      </c>
      <c r="L64">
        <f t="shared" si="12"/>
        <v>7.016</v>
      </c>
      <c r="N64">
        <v>6492</v>
      </c>
      <c r="O64">
        <v>7532</v>
      </c>
      <c r="P64">
        <v>6568</v>
      </c>
      <c r="Q64">
        <v>6644</v>
      </c>
      <c r="R64">
        <v>9116</v>
      </c>
      <c r="S64">
        <v>6568</v>
      </c>
      <c r="T64">
        <v>2925</v>
      </c>
      <c r="U64">
        <v>7106</v>
      </c>
      <c r="V64">
        <v>7016</v>
      </c>
      <c r="W64">
        <v>6783</v>
      </c>
      <c r="X64">
        <v>9131</v>
      </c>
      <c r="Y64">
        <v>7016</v>
      </c>
      <c r="AA64" t="s">
        <v>2144</v>
      </c>
      <c r="AC64">
        <v>6442</v>
      </c>
      <c r="AE64">
        <v>6588</v>
      </c>
      <c r="AG64" t="s">
        <v>2145</v>
      </c>
      <c r="AI64">
        <v>2911</v>
      </c>
      <c r="AK64">
        <v>6686</v>
      </c>
      <c r="AP64" t="s">
        <v>2146</v>
      </c>
      <c r="AR64">
        <v>7366</v>
      </c>
      <c r="AT64">
        <v>8211</v>
      </c>
      <c r="AV64" t="s">
        <v>2147</v>
      </c>
      <c r="AX64">
        <v>7081</v>
      </c>
      <c r="AZ64">
        <v>8883</v>
      </c>
      <c r="BB64" t="s">
        <v>2148</v>
      </c>
      <c r="BD64">
        <v>6497</v>
      </c>
      <c r="BF64">
        <v>6497</v>
      </c>
      <c r="BH64" t="s">
        <v>2149</v>
      </c>
      <c r="BJ64">
        <v>6974</v>
      </c>
      <c r="BL64">
        <v>6974</v>
      </c>
    </row>
    <row r="65" spans="1:64">
      <c r="A65">
        <f t="shared" si="1"/>
        <v>6.503</v>
      </c>
      <c r="B65">
        <f t="shared" si="2"/>
        <v>7.535</v>
      </c>
      <c r="C65">
        <f t="shared" si="3"/>
        <v>6.575</v>
      </c>
      <c r="D65">
        <f t="shared" si="4"/>
        <v>6.657</v>
      </c>
      <c r="E65">
        <f t="shared" si="5"/>
        <v>9.138</v>
      </c>
      <c r="F65">
        <f t="shared" si="6"/>
        <v>6.575</v>
      </c>
      <c r="G65">
        <f t="shared" si="7"/>
        <v>2.926</v>
      </c>
      <c r="H65">
        <f t="shared" si="8"/>
        <v>7.106</v>
      </c>
      <c r="I65">
        <f t="shared" si="9"/>
        <v>7.041</v>
      </c>
      <c r="J65">
        <f t="shared" si="10"/>
        <v>6.805</v>
      </c>
      <c r="K65">
        <f t="shared" si="11"/>
        <v>9.198</v>
      </c>
      <c r="L65">
        <f t="shared" si="12"/>
        <v>7.041</v>
      </c>
      <c r="N65">
        <v>6503</v>
      </c>
      <c r="O65">
        <v>7535</v>
      </c>
      <c r="P65">
        <v>6575</v>
      </c>
      <c r="Q65">
        <v>6657</v>
      </c>
      <c r="R65">
        <v>9138</v>
      </c>
      <c r="S65">
        <v>6575</v>
      </c>
      <c r="T65">
        <v>2926</v>
      </c>
      <c r="U65">
        <v>7106</v>
      </c>
      <c r="V65">
        <v>7041</v>
      </c>
      <c r="W65">
        <v>6805</v>
      </c>
      <c r="X65">
        <v>9198</v>
      </c>
      <c r="Y65">
        <v>7041</v>
      </c>
      <c r="AA65" t="s">
        <v>2150</v>
      </c>
      <c r="AC65">
        <v>6453</v>
      </c>
      <c r="AE65">
        <v>6602</v>
      </c>
      <c r="AG65" t="s">
        <v>2151</v>
      </c>
      <c r="AI65">
        <v>2912</v>
      </c>
      <c r="AK65">
        <v>6690</v>
      </c>
      <c r="AP65" t="s">
        <v>2152</v>
      </c>
      <c r="AR65">
        <v>7401</v>
      </c>
      <c r="AT65">
        <v>8239</v>
      </c>
      <c r="AV65" t="s">
        <v>2153</v>
      </c>
      <c r="AX65">
        <v>7092</v>
      </c>
      <c r="AZ65">
        <v>8907</v>
      </c>
      <c r="BB65" t="s">
        <v>2154</v>
      </c>
      <c r="BD65">
        <v>6502</v>
      </c>
      <c r="BF65">
        <v>6502</v>
      </c>
      <c r="BH65" t="s">
        <v>2155</v>
      </c>
      <c r="BJ65">
        <v>6975</v>
      </c>
      <c r="BL65">
        <v>6975</v>
      </c>
    </row>
    <row r="66" spans="1:64">
      <c r="A66">
        <f t="shared" si="1"/>
        <v>6.515</v>
      </c>
      <c r="B66">
        <f t="shared" si="2"/>
        <v>7.551</v>
      </c>
      <c r="C66">
        <f t="shared" si="3"/>
        <v>6.598</v>
      </c>
      <c r="D66">
        <f t="shared" si="4"/>
        <v>6.66</v>
      </c>
      <c r="E66">
        <f t="shared" si="5"/>
        <v>9.159</v>
      </c>
      <c r="F66">
        <f t="shared" si="6"/>
        <v>6.598</v>
      </c>
      <c r="G66">
        <f t="shared" si="7"/>
        <v>2.929</v>
      </c>
      <c r="H66">
        <f t="shared" si="8"/>
        <v>7.107</v>
      </c>
      <c r="I66">
        <f t="shared" si="9"/>
        <v>7.043</v>
      </c>
      <c r="J66">
        <f t="shared" si="10"/>
        <v>6.813</v>
      </c>
      <c r="K66">
        <f t="shared" si="11"/>
        <v>9.269</v>
      </c>
      <c r="L66">
        <f t="shared" si="12"/>
        <v>7.043</v>
      </c>
      <c r="N66">
        <v>6515</v>
      </c>
      <c r="O66">
        <v>7551</v>
      </c>
      <c r="P66">
        <v>6598</v>
      </c>
      <c r="Q66">
        <v>6660</v>
      </c>
      <c r="R66">
        <v>9159</v>
      </c>
      <c r="S66">
        <v>6598</v>
      </c>
      <c r="T66">
        <v>2929</v>
      </c>
      <c r="U66">
        <v>7107</v>
      </c>
      <c r="V66">
        <v>7043</v>
      </c>
      <c r="W66">
        <v>6813</v>
      </c>
      <c r="X66">
        <v>9269</v>
      </c>
      <c r="Y66">
        <v>7043</v>
      </c>
      <c r="AA66" t="s">
        <v>2156</v>
      </c>
      <c r="AC66">
        <v>6460</v>
      </c>
      <c r="AE66">
        <v>6610</v>
      </c>
      <c r="AG66" t="s">
        <v>2157</v>
      </c>
      <c r="AI66">
        <v>2916</v>
      </c>
      <c r="AK66">
        <v>6700</v>
      </c>
      <c r="AP66" t="s">
        <v>2158</v>
      </c>
      <c r="AR66">
        <v>7409</v>
      </c>
      <c r="AT66">
        <v>8383</v>
      </c>
      <c r="AV66" t="s">
        <v>2159</v>
      </c>
      <c r="AX66">
        <v>7092</v>
      </c>
      <c r="AZ66">
        <v>8980</v>
      </c>
      <c r="BB66" t="s">
        <v>2160</v>
      </c>
      <c r="BD66">
        <v>6509</v>
      </c>
      <c r="BF66">
        <v>6509</v>
      </c>
      <c r="BH66" t="s">
        <v>2161</v>
      </c>
      <c r="BJ66">
        <v>6976</v>
      </c>
      <c r="BL66">
        <v>6976</v>
      </c>
    </row>
    <row r="67" spans="1:64">
      <c r="A67">
        <f t="shared" si="1"/>
        <v>6.515</v>
      </c>
      <c r="B67">
        <f t="shared" si="2"/>
        <v>7.618</v>
      </c>
      <c r="C67">
        <f t="shared" si="3"/>
        <v>6.599</v>
      </c>
      <c r="D67">
        <f t="shared" si="4"/>
        <v>6.664</v>
      </c>
      <c r="E67">
        <f t="shared" si="5"/>
        <v>9.162</v>
      </c>
      <c r="F67">
        <f t="shared" si="6"/>
        <v>6.599</v>
      </c>
      <c r="G67">
        <f t="shared" si="7"/>
        <v>2.932</v>
      </c>
      <c r="H67">
        <f t="shared" si="8"/>
        <v>7.109</v>
      </c>
      <c r="I67">
        <f t="shared" si="9"/>
        <v>7.044</v>
      </c>
      <c r="J67">
        <f t="shared" si="10"/>
        <v>6.814</v>
      </c>
      <c r="K67">
        <f t="shared" si="11"/>
        <v>9.304</v>
      </c>
      <c r="L67">
        <f t="shared" si="12"/>
        <v>7.044</v>
      </c>
      <c r="N67">
        <v>6515</v>
      </c>
      <c r="O67">
        <v>7618</v>
      </c>
      <c r="P67">
        <v>6599</v>
      </c>
      <c r="Q67">
        <v>6664</v>
      </c>
      <c r="R67">
        <v>9162</v>
      </c>
      <c r="S67">
        <v>6599</v>
      </c>
      <c r="T67">
        <v>2932</v>
      </c>
      <c r="U67">
        <v>7109</v>
      </c>
      <c r="V67">
        <v>7044</v>
      </c>
      <c r="W67">
        <v>6814</v>
      </c>
      <c r="X67">
        <v>9304</v>
      </c>
      <c r="Y67">
        <v>7044</v>
      </c>
      <c r="AA67" t="s">
        <v>2162</v>
      </c>
      <c r="AC67">
        <v>6471</v>
      </c>
      <c r="AE67">
        <v>6610</v>
      </c>
      <c r="AG67" t="s">
        <v>2163</v>
      </c>
      <c r="AI67">
        <v>2916</v>
      </c>
      <c r="AK67">
        <v>6718</v>
      </c>
      <c r="AP67" t="s">
        <v>2164</v>
      </c>
      <c r="AR67">
        <v>7449</v>
      </c>
      <c r="AT67">
        <v>8595</v>
      </c>
      <c r="AV67" t="s">
        <v>2165</v>
      </c>
      <c r="AX67">
        <v>7093</v>
      </c>
      <c r="AZ67">
        <v>8991</v>
      </c>
      <c r="BB67" t="s">
        <v>2166</v>
      </c>
      <c r="BD67">
        <v>6517</v>
      </c>
      <c r="BF67">
        <v>6517</v>
      </c>
      <c r="BH67" t="s">
        <v>2167</v>
      </c>
      <c r="BJ67">
        <v>6981</v>
      </c>
      <c r="BL67">
        <v>6981</v>
      </c>
    </row>
    <row r="68" spans="1:64">
      <c r="A68">
        <f t="shared" ref="A68:A131" si="13">N68/1000</f>
        <v>6.524</v>
      </c>
      <c r="B68">
        <f t="shared" ref="B68:B131" si="14">O68/1000</f>
        <v>7.645</v>
      </c>
      <c r="C68">
        <f t="shared" ref="C68:C131" si="15">P68/1000</f>
        <v>6.603</v>
      </c>
      <c r="D68">
        <f t="shared" ref="D68:D131" si="16">Q68/1000</f>
        <v>6.667</v>
      </c>
      <c r="E68">
        <f t="shared" ref="E68:E131" si="17">R68/1000</f>
        <v>9.225</v>
      </c>
      <c r="F68">
        <f t="shared" ref="F68:F131" si="18">S68/1000</f>
        <v>6.603</v>
      </c>
      <c r="G68">
        <f t="shared" ref="G68:G131" si="19">T68/1000</f>
        <v>2.934</v>
      </c>
      <c r="H68">
        <f t="shared" ref="H68:H131" si="20">U68/1000</f>
        <v>7.111</v>
      </c>
      <c r="I68">
        <f t="shared" ref="I68:I131" si="21">V68/1000</f>
        <v>7.048</v>
      </c>
      <c r="J68">
        <f t="shared" ref="J68:J131" si="22">W68/1000</f>
        <v>6.823</v>
      </c>
      <c r="K68">
        <f t="shared" ref="K68:K131" si="23">X68/1000</f>
        <v>9.339</v>
      </c>
      <c r="L68">
        <f t="shared" ref="L68:L131" si="24">Y68/1000</f>
        <v>7.048</v>
      </c>
      <c r="N68">
        <v>6524</v>
      </c>
      <c r="O68">
        <v>7645</v>
      </c>
      <c r="P68">
        <v>6603</v>
      </c>
      <c r="Q68">
        <v>6667</v>
      </c>
      <c r="R68">
        <v>9225</v>
      </c>
      <c r="S68">
        <v>6603</v>
      </c>
      <c r="T68">
        <v>2934</v>
      </c>
      <c r="U68">
        <v>7111</v>
      </c>
      <c r="V68">
        <v>7048</v>
      </c>
      <c r="W68">
        <v>6823</v>
      </c>
      <c r="X68">
        <v>9339</v>
      </c>
      <c r="Y68">
        <v>7048</v>
      </c>
      <c r="AA68" t="s">
        <v>2168</v>
      </c>
      <c r="AC68">
        <v>6473</v>
      </c>
      <c r="AE68">
        <v>6619</v>
      </c>
      <c r="AG68" t="s">
        <v>2169</v>
      </c>
      <c r="AI68">
        <v>2916</v>
      </c>
      <c r="AK68">
        <v>6735</v>
      </c>
      <c r="AP68" t="s">
        <v>2170</v>
      </c>
      <c r="AR68">
        <v>7450</v>
      </c>
      <c r="AT68">
        <v>8824</v>
      </c>
      <c r="AV68" t="s">
        <v>2171</v>
      </c>
      <c r="AX68">
        <v>7098</v>
      </c>
      <c r="AZ68">
        <v>9020</v>
      </c>
      <c r="BB68" t="s">
        <v>2172</v>
      </c>
      <c r="BD68">
        <v>6531</v>
      </c>
      <c r="BF68">
        <v>6531</v>
      </c>
      <c r="BH68" t="s">
        <v>2173</v>
      </c>
      <c r="BJ68">
        <v>6985</v>
      </c>
      <c r="BL68">
        <v>6985</v>
      </c>
    </row>
    <row r="69" spans="1:64">
      <c r="A69">
        <f t="shared" si="13"/>
        <v>6.527</v>
      </c>
      <c r="B69">
        <f t="shared" si="14"/>
        <v>7.674</v>
      </c>
      <c r="C69">
        <f t="shared" si="15"/>
        <v>6.603</v>
      </c>
      <c r="D69">
        <f t="shared" si="16"/>
        <v>6.668</v>
      </c>
      <c r="E69">
        <f t="shared" si="17"/>
        <v>9.253</v>
      </c>
      <c r="F69">
        <f t="shared" si="18"/>
        <v>6.603</v>
      </c>
      <c r="G69">
        <f t="shared" si="19"/>
        <v>2.936</v>
      </c>
      <c r="H69">
        <f t="shared" si="20"/>
        <v>7.116</v>
      </c>
      <c r="I69">
        <f t="shared" si="21"/>
        <v>7.058</v>
      </c>
      <c r="J69">
        <f t="shared" si="22"/>
        <v>6.831</v>
      </c>
      <c r="K69">
        <f t="shared" si="23"/>
        <v>9.346</v>
      </c>
      <c r="L69">
        <f t="shared" si="24"/>
        <v>7.058</v>
      </c>
      <c r="N69">
        <v>6527</v>
      </c>
      <c r="O69">
        <v>7674</v>
      </c>
      <c r="P69">
        <v>6603</v>
      </c>
      <c r="Q69">
        <v>6668</v>
      </c>
      <c r="R69">
        <v>9253</v>
      </c>
      <c r="S69">
        <v>6603</v>
      </c>
      <c r="T69">
        <v>2936</v>
      </c>
      <c r="U69">
        <v>7116</v>
      </c>
      <c r="V69">
        <v>7058</v>
      </c>
      <c r="W69">
        <v>6831</v>
      </c>
      <c r="X69">
        <v>9346</v>
      </c>
      <c r="Y69">
        <v>7058</v>
      </c>
      <c r="AA69" t="s">
        <v>2174</v>
      </c>
      <c r="AC69">
        <v>6474</v>
      </c>
      <c r="AE69">
        <v>6622</v>
      </c>
      <c r="AG69" t="s">
        <v>2175</v>
      </c>
      <c r="AI69">
        <v>2916</v>
      </c>
      <c r="AK69">
        <v>6739</v>
      </c>
      <c r="AP69" t="s">
        <v>2176</v>
      </c>
      <c r="AR69">
        <v>7507</v>
      </c>
      <c r="AT69">
        <v>8970</v>
      </c>
      <c r="AV69" t="s">
        <v>2177</v>
      </c>
      <c r="AX69">
        <v>7100</v>
      </c>
      <c r="AZ69">
        <v>9031</v>
      </c>
      <c r="BB69" t="s">
        <v>2178</v>
      </c>
      <c r="BD69">
        <v>6550</v>
      </c>
      <c r="BF69">
        <v>6550</v>
      </c>
      <c r="BH69" t="s">
        <v>2179</v>
      </c>
      <c r="BJ69">
        <v>6997</v>
      </c>
      <c r="BL69">
        <v>6997</v>
      </c>
    </row>
    <row r="70" spans="1:64">
      <c r="A70">
        <f t="shared" si="13"/>
        <v>6.53</v>
      </c>
      <c r="B70">
        <f t="shared" si="14"/>
        <v>7.701</v>
      </c>
      <c r="C70">
        <f t="shared" si="15"/>
        <v>6.61</v>
      </c>
      <c r="D70">
        <f t="shared" si="16"/>
        <v>6.678</v>
      </c>
      <c r="E70">
        <f t="shared" si="17"/>
        <v>9.259</v>
      </c>
      <c r="F70">
        <f t="shared" si="18"/>
        <v>6.61</v>
      </c>
      <c r="G70">
        <f t="shared" si="19"/>
        <v>2.936</v>
      </c>
      <c r="H70">
        <f t="shared" si="20"/>
        <v>7.119</v>
      </c>
      <c r="I70">
        <f t="shared" si="21"/>
        <v>7.074</v>
      </c>
      <c r="J70">
        <f t="shared" si="22"/>
        <v>6.833</v>
      </c>
      <c r="K70">
        <f t="shared" si="23"/>
        <v>9.374</v>
      </c>
      <c r="L70">
        <f t="shared" si="24"/>
        <v>7.074</v>
      </c>
      <c r="N70">
        <v>6530</v>
      </c>
      <c r="O70">
        <v>7701</v>
      </c>
      <c r="P70">
        <v>6610</v>
      </c>
      <c r="Q70">
        <v>6678</v>
      </c>
      <c r="R70">
        <v>9259</v>
      </c>
      <c r="S70">
        <v>6610</v>
      </c>
      <c r="T70">
        <v>2936</v>
      </c>
      <c r="U70">
        <v>7119</v>
      </c>
      <c r="V70">
        <v>7074</v>
      </c>
      <c r="W70">
        <v>6833</v>
      </c>
      <c r="X70">
        <v>9374</v>
      </c>
      <c r="Y70">
        <v>7074</v>
      </c>
      <c r="AA70" t="s">
        <v>2180</v>
      </c>
      <c r="AC70">
        <v>6485</v>
      </c>
      <c r="AE70">
        <v>6627</v>
      </c>
      <c r="AG70" t="s">
        <v>2181</v>
      </c>
      <c r="AI70">
        <v>2917</v>
      </c>
      <c r="AK70">
        <v>6750</v>
      </c>
      <c r="AP70" t="s">
        <v>2182</v>
      </c>
      <c r="AR70">
        <v>7528</v>
      </c>
      <c r="AT70">
        <v>9061</v>
      </c>
      <c r="AV70" t="s">
        <v>2183</v>
      </c>
      <c r="AX70">
        <v>7104</v>
      </c>
      <c r="AZ70">
        <v>9071</v>
      </c>
      <c r="BB70" t="s">
        <v>2184</v>
      </c>
      <c r="BD70">
        <v>6550</v>
      </c>
      <c r="BF70">
        <v>6550</v>
      </c>
      <c r="BH70" t="s">
        <v>2185</v>
      </c>
      <c r="BJ70">
        <v>7000</v>
      </c>
      <c r="BL70">
        <v>7000</v>
      </c>
    </row>
    <row r="71" spans="1:64">
      <c r="A71">
        <f t="shared" si="13"/>
        <v>6.535</v>
      </c>
      <c r="B71">
        <f t="shared" si="14"/>
        <v>7.781</v>
      </c>
      <c r="C71">
        <f t="shared" si="15"/>
        <v>6.617</v>
      </c>
      <c r="D71">
        <f t="shared" si="16"/>
        <v>6.68</v>
      </c>
      <c r="E71">
        <f t="shared" si="17"/>
        <v>9.277</v>
      </c>
      <c r="F71">
        <f t="shared" si="18"/>
        <v>6.617</v>
      </c>
      <c r="G71">
        <f t="shared" si="19"/>
        <v>2.937</v>
      </c>
      <c r="H71">
        <f t="shared" si="20"/>
        <v>7.132</v>
      </c>
      <c r="I71">
        <f t="shared" si="21"/>
        <v>7.084</v>
      </c>
      <c r="J71">
        <f t="shared" si="22"/>
        <v>6.835</v>
      </c>
      <c r="K71">
        <f t="shared" si="23"/>
        <v>9.396</v>
      </c>
      <c r="L71">
        <f t="shared" si="24"/>
        <v>7.084</v>
      </c>
      <c r="N71">
        <v>6535</v>
      </c>
      <c r="O71">
        <v>7781</v>
      </c>
      <c r="P71">
        <v>6617</v>
      </c>
      <c r="Q71">
        <v>6680</v>
      </c>
      <c r="R71">
        <v>9277</v>
      </c>
      <c r="S71">
        <v>6617</v>
      </c>
      <c r="T71">
        <v>2937</v>
      </c>
      <c r="U71">
        <v>7132</v>
      </c>
      <c r="V71">
        <v>7084</v>
      </c>
      <c r="W71">
        <v>6835</v>
      </c>
      <c r="X71">
        <v>9396</v>
      </c>
      <c r="Y71">
        <v>7084</v>
      </c>
      <c r="AA71" t="s">
        <v>2186</v>
      </c>
      <c r="AC71">
        <v>6490</v>
      </c>
      <c r="AE71">
        <v>6637</v>
      </c>
      <c r="AG71" t="s">
        <v>2187</v>
      </c>
      <c r="AI71">
        <v>2923</v>
      </c>
      <c r="AK71">
        <v>6779</v>
      </c>
      <c r="AP71" t="s">
        <v>2188</v>
      </c>
      <c r="AR71">
        <v>7532</v>
      </c>
      <c r="AT71">
        <v>9116</v>
      </c>
      <c r="AV71" t="s">
        <v>2189</v>
      </c>
      <c r="AX71">
        <v>7106</v>
      </c>
      <c r="AZ71">
        <v>9131</v>
      </c>
      <c r="BB71" t="s">
        <v>2190</v>
      </c>
      <c r="BD71">
        <v>6559</v>
      </c>
      <c r="BF71">
        <v>6559</v>
      </c>
      <c r="BH71" t="s">
        <v>2191</v>
      </c>
      <c r="BJ71">
        <v>7000</v>
      </c>
      <c r="BL71">
        <v>7000</v>
      </c>
    </row>
    <row r="72" spans="1:64">
      <c r="A72">
        <f t="shared" si="13"/>
        <v>6.54</v>
      </c>
      <c r="B72">
        <f t="shared" si="14"/>
        <v>7.804</v>
      </c>
      <c r="C72">
        <f t="shared" si="15"/>
        <v>6.618</v>
      </c>
      <c r="D72">
        <f t="shared" si="16"/>
        <v>6.681</v>
      </c>
      <c r="E72">
        <f t="shared" si="17"/>
        <v>9.319</v>
      </c>
      <c r="F72">
        <f t="shared" si="18"/>
        <v>6.618</v>
      </c>
      <c r="G72">
        <f t="shared" si="19"/>
        <v>2.938</v>
      </c>
      <c r="H72">
        <f t="shared" si="20"/>
        <v>7.145</v>
      </c>
      <c r="I72">
        <f t="shared" si="21"/>
        <v>7.089</v>
      </c>
      <c r="J72">
        <f t="shared" si="22"/>
        <v>6.851</v>
      </c>
      <c r="K72">
        <f t="shared" si="23"/>
        <v>9.402</v>
      </c>
      <c r="L72">
        <f t="shared" si="24"/>
        <v>7.089</v>
      </c>
      <c r="N72">
        <v>6540</v>
      </c>
      <c r="O72">
        <v>7804</v>
      </c>
      <c r="P72">
        <v>6618</v>
      </c>
      <c r="Q72">
        <v>6681</v>
      </c>
      <c r="R72">
        <v>9319</v>
      </c>
      <c r="S72">
        <v>6618</v>
      </c>
      <c r="T72">
        <v>2938</v>
      </c>
      <c r="U72">
        <v>7145</v>
      </c>
      <c r="V72">
        <v>7089</v>
      </c>
      <c r="W72">
        <v>6851</v>
      </c>
      <c r="X72">
        <v>9402</v>
      </c>
      <c r="Y72">
        <v>7089</v>
      </c>
      <c r="AA72" t="s">
        <v>2192</v>
      </c>
      <c r="AC72">
        <v>6492</v>
      </c>
      <c r="AE72">
        <v>6644</v>
      </c>
      <c r="AG72" t="s">
        <v>2193</v>
      </c>
      <c r="AI72">
        <v>2925</v>
      </c>
      <c r="AK72">
        <v>6783</v>
      </c>
      <c r="AP72" t="s">
        <v>2194</v>
      </c>
      <c r="AR72">
        <v>7535</v>
      </c>
      <c r="AT72">
        <v>9138</v>
      </c>
      <c r="AV72" t="s">
        <v>2195</v>
      </c>
      <c r="AX72">
        <v>7106</v>
      </c>
      <c r="AZ72">
        <v>9198</v>
      </c>
      <c r="BB72" t="s">
        <v>2196</v>
      </c>
      <c r="BD72">
        <v>6568</v>
      </c>
      <c r="BF72">
        <v>6568</v>
      </c>
      <c r="BH72" t="s">
        <v>2197</v>
      </c>
      <c r="BJ72">
        <v>7016</v>
      </c>
      <c r="BL72">
        <v>7016</v>
      </c>
    </row>
    <row r="73" spans="1:64">
      <c r="A73">
        <f t="shared" si="13"/>
        <v>6.545</v>
      </c>
      <c r="B73">
        <f t="shared" si="14"/>
        <v>7.866</v>
      </c>
      <c r="C73">
        <f t="shared" si="15"/>
        <v>6.625</v>
      </c>
      <c r="D73">
        <f t="shared" si="16"/>
        <v>6.684</v>
      </c>
      <c r="E73">
        <f t="shared" si="17"/>
        <v>9.325</v>
      </c>
      <c r="F73">
        <f t="shared" si="18"/>
        <v>6.625</v>
      </c>
      <c r="G73">
        <f t="shared" si="19"/>
        <v>2.94</v>
      </c>
      <c r="H73">
        <f t="shared" si="20"/>
        <v>7.154</v>
      </c>
      <c r="I73">
        <f t="shared" si="21"/>
        <v>7.092</v>
      </c>
      <c r="J73">
        <f t="shared" si="22"/>
        <v>6.865</v>
      </c>
      <c r="K73">
        <f t="shared" si="23"/>
        <v>9.428</v>
      </c>
      <c r="L73">
        <f t="shared" si="24"/>
        <v>7.092</v>
      </c>
      <c r="N73">
        <v>6545</v>
      </c>
      <c r="O73">
        <v>7866</v>
      </c>
      <c r="P73">
        <v>6625</v>
      </c>
      <c r="Q73">
        <v>6684</v>
      </c>
      <c r="R73">
        <v>9325</v>
      </c>
      <c r="S73">
        <v>6625</v>
      </c>
      <c r="T73">
        <v>2940</v>
      </c>
      <c r="U73">
        <v>7154</v>
      </c>
      <c r="V73">
        <v>7092</v>
      </c>
      <c r="W73">
        <v>6865</v>
      </c>
      <c r="X73">
        <v>9428</v>
      </c>
      <c r="Y73">
        <v>7092</v>
      </c>
      <c r="AA73" t="s">
        <v>2198</v>
      </c>
      <c r="AC73">
        <v>6503</v>
      </c>
      <c r="AE73">
        <v>6657</v>
      </c>
      <c r="AG73" t="s">
        <v>2199</v>
      </c>
      <c r="AI73">
        <v>2926</v>
      </c>
      <c r="AK73">
        <v>6805</v>
      </c>
      <c r="AP73" t="s">
        <v>2200</v>
      </c>
      <c r="AR73">
        <v>7551</v>
      </c>
      <c r="AT73">
        <v>9159</v>
      </c>
      <c r="AV73" t="s">
        <v>2201</v>
      </c>
      <c r="AX73">
        <v>7107</v>
      </c>
      <c r="AZ73">
        <v>9269</v>
      </c>
      <c r="BB73" t="s">
        <v>2202</v>
      </c>
      <c r="BD73">
        <v>6575</v>
      </c>
      <c r="BF73">
        <v>6575</v>
      </c>
      <c r="BH73" t="s">
        <v>2203</v>
      </c>
      <c r="BJ73">
        <v>7041</v>
      </c>
      <c r="BL73">
        <v>7041</v>
      </c>
    </row>
    <row r="74" spans="1:64">
      <c r="A74">
        <f t="shared" si="13"/>
        <v>6.549</v>
      </c>
      <c r="B74">
        <f t="shared" si="14"/>
        <v>7.961</v>
      </c>
      <c r="C74">
        <f t="shared" si="15"/>
        <v>6.627</v>
      </c>
      <c r="D74">
        <f t="shared" si="16"/>
        <v>6.689</v>
      </c>
      <c r="E74">
        <f t="shared" si="17"/>
        <v>9.365</v>
      </c>
      <c r="F74">
        <f t="shared" si="18"/>
        <v>6.627</v>
      </c>
      <c r="G74">
        <f t="shared" si="19"/>
        <v>2.946</v>
      </c>
      <c r="H74">
        <f t="shared" si="20"/>
        <v>7.16</v>
      </c>
      <c r="I74">
        <f t="shared" si="21"/>
        <v>7.095</v>
      </c>
      <c r="J74">
        <f t="shared" si="22"/>
        <v>6.868</v>
      </c>
      <c r="K74">
        <f t="shared" si="23"/>
        <v>9.44</v>
      </c>
      <c r="L74">
        <f t="shared" si="24"/>
        <v>7.095</v>
      </c>
      <c r="N74">
        <v>6549</v>
      </c>
      <c r="O74">
        <v>7961</v>
      </c>
      <c r="P74">
        <v>6627</v>
      </c>
      <c r="Q74">
        <v>6689</v>
      </c>
      <c r="R74">
        <v>9365</v>
      </c>
      <c r="S74">
        <v>6627</v>
      </c>
      <c r="T74">
        <v>2946</v>
      </c>
      <c r="U74">
        <v>7160</v>
      </c>
      <c r="V74">
        <v>7095</v>
      </c>
      <c r="W74">
        <v>6868</v>
      </c>
      <c r="X74">
        <v>9440</v>
      </c>
      <c r="Y74">
        <v>7095</v>
      </c>
      <c r="AA74" t="s">
        <v>2204</v>
      </c>
      <c r="AC74">
        <v>6515</v>
      </c>
      <c r="AE74">
        <v>6660</v>
      </c>
      <c r="AG74" t="s">
        <v>2205</v>
      </c>
      <c r="AI74">
        <v>2929</v>
      </c>
      <c r="AK74">
        <v>6813</v>
      </c>
      <c r="AP74" t="s">
        <v>2206</v>
      </c>
      <c r="AR74">
        <v>7618</v>
      </c>
      <c r="AT74">
        <v>9162</v>
      </c>
      <c r="AV74" t="s">
        <v>2207</v>
      </c>
      <c r="AX74">
        <v>7109</v>
      </c>
      <c r="AZ74">
        <v>9304</v>
      </c>
      <c r="BB74" t="s">
        <v>2208</v>
      </c>
      <c r="BD74">
        <v>6598</v>
      </c>
      <c r="BF74">
        <v>6598</v>
      </c>
      <c r="BH74" t="s">
        <v>2209</v>
      </c>
      <c r="BJ74">
        <v>7043</v>
      </c>
      <c r="BL74">
        <v>7043</v>
      </c>
    </row>
    <row r="75" spans="1:64">
      <c r="A75">
        <f t="shared" si="13"/>
        <v>6.551</v>
      </c>
      <c r="B75">
        <f t="shared" si="14"/>
        <v>8.002</v>
      </c>
      <c r="C75">
        <f t="shared" si="15"/>
        <v>6.651</v>
      </c>
      <c r="D75">
        <f t="shared" si="16"/>
        <v>6.697</v>
      </c>
      <c r="E75">
        <f t="shared" si="17"/>
        <v>9.372</v>
      </c>
      <c r="F75">
        <f t="shared" si="18"/>
        <v>6.651</v>
      </c>
      <c r="G75">
        <f t="shared" si="19"/>
        <v>2.946</v>
      </c>
      <c r="H75">
        <f t="shared" si="20"/>
        <v>7.17</v>
      </c>
      <c r="I75">
        <f t="shared" si="21"/>
        <v>7.1</v>
      </c>
      <c r="J75">
        <f t="shared" si="22"/>
        <v>6.869</v>
      </c>
      <c r="K75">
        <f t="shared" si="23"/>
        <v>9.518</v>
      </c>
      <c r="L75">
        <f t="shared" si="24"/>
        <v>7.1</v>
      </c>
      <c r="N75">
        <v>6551</v>
      </c>
      <c r="O75">
        <v>8002</v>
      </c>
      <c r="P75">
        <v>6651</v>
      </c>
      <c r="Q75">
        <v>6697</v>
      </c>
      <c r="R75">
        <v>9372</v>
      </c>
      <c r="S75">
        <v>6651</v>
      </c>
      <c r="T75">
        <v>2946</v>
      </c>
      <c r="U75">
        <v>7170</v>
      </c>
      <c r="V75">
        <v>7100</v>
      </c>
      <c r="W75">
        <v>6869</v>
      </c>
      <c r="X75">
        <v>9518</v>
      </c>
      <c r="Y75">
        <v>7100</v>
      </c>
      <c r="AA75" t="s">
        <v>2210</v>
      </c>
      <c r="AC75">
        <v>6515</v>
      </c>
      <c r="AE75">
        <v>6664</v>
      </c>
      <c r="AG75" t="s">
        <v>2211</v>
      </c>
      <c r="AI75">
        <v>2932</v>
      </c>
      <c r="AK75">
        <v>6814</v>
      </c>
      <c r="AP75" t="s">
        <v>2212</v>
      </c>
      <c r="AR75">
        <v>7645</v>
      </c>
      <c r="AT75">
        <v>9225</v>
      </c>
      <c r="AV75" t="s">
        <v>2213</v>
      </c>
      <c r="AX75">
        <v>7111</v>
      </c>
      <c r="AZ75">
        <v>9339</v>
      </c>
      <c r="BB75" t="s">
        <v>2214</v>
      </c>
      <c r="BD75">
        <v>6599</v>
      </c>
      <c r="BF75">
        <v>6599</v>
      </c>
      <c r="BH75" t="s">
        <v>2215</v>
      </c>
      <c r="BJ75">
        <v>7044</v>
      </c>
      <c r="BL75">
        <v>7044</v>
      </c>
    </row>
    <row r="76" spans="1:64">
      <c r="A76">
        <f t="shared" si="13"/>
        <v>6.559</v>
      </c>
      <c r="B76">
        <f t="shared" si="14"/>
        <v>8.002</v>
      </c>
      <c r="C76">
        <f t="shared" si="15"/>
        <v>6.655</v>
      </c>
      <c r="D76">
        <f t="shared" si="16"/>
        <v>6.7</v>
      </c>
      <c r="E76">
        <f t="shared" si="17"/>
        <v>9.499</v>
      </c>
      <c r="F76">
        <f t="shared" si="18"/>
        <v>6.655</v>
      </c>
      <c r="G76">
        <f t="shared" si="19"/>
        <v>2.948</v>
      </c>
      <c r="H76">
        <f t="shared" si="20"/>
        <v>7.17</v>
      </c>
      <c r="I76">
        <f t="shared" si="21"/>
        <v>7.119</v>
      </c>
      <c r="J76">
        <f t="shared" si="22"/>
        <v>6.869</v>
      </c>
      <c r="K76">
        <f t="shared" si="23"/>
        <v>9.528</v>
      </c>
      <c r="L76">
        <f t="shared" si="24"/>
        <v>7.119</v>
      </c>
      <c r="N76">
        <v>6559</v>
      </c>
      <c r="O76">
        <v>8002</v>
      </c>
      <c r="P76">
        <v>6655</v>
      </c>
      <c r="Q76">
        <v>6700</v>
      </c>
      <c r="R76">
        <v>9499</v>
      </c>
      <c r="S76">
        <v>6655</v>
      </c>
      <c r="T76">
        <v>2948</v>
      </c>
      <c r="U76">
        <v>7170</v>
      </c>
      <c r="V76">
        <v>7119</v>
      </c>
      <c r="W76">
        <v>6869</v>
      </c>
      <c r="X76">
        <v>9528</v>
      </c>
      <c r="Y76">
        <v>7119</v>
      </c>
      <c r="AA76" t="s">
        <v>2216</v>
      </c>
      <c r="AC76">
        <v>6524</v>
      </c>
      <c r="AE76">
        <v>6667</v>
      </c>
      <c r="AG76" t="s">
        <v>2217</v>
      </c>
      <c r="AI76">
        <v>2934</v>
      </c>
      <c r="AK76">
        <v>6823</v>
      </c>
      <c r="AP76" t="s">
        <v>2218</v>
      </c>
      <c r="AR76">
        <v>7674</v>
      </c>
      <c r="AT76">
        <v>9253</v>
      </c>
      <c r="AV76" t="s">
        <v>2219</v>
      </c>
      <c r="AX76">
        <v>7116</v>
      </c>
      <c r="AZ76">
        <v>9346</v>
      </c>
      <c r="BB76" t="s">
        <v>2220</v>
      </c>
      <c r="BD76">
        <v>6603</v>
      </c>
      <c r="BF76">
        <v>6603</v>
      </c>
      <c r="BH76" t="s">
        <v>2221</v>
      </c>
      <c r="BJ76">
        <v>7048</v>
      </c>
      <c r="BL76">
        <v>7048</v>
      </c>
    </row>
    <row r="77" spans="1:64">
      <c r="A77">
        <f t="shared" si="13"/>
        <v>6.562</v>
      </c>
      <c r="B77">
        <f t="shared" si="14"/>
        <v>8.082</v>
      </c>
      <c r="C77">
        <f t="shared" si="15"/>
        <v>6.666</v>
      </c>
      <c r="D77">
        <f t="shared" si="16"/>
        <v>6.702</v>
      </c>
      <c r="E77">
        <f t="shared" si="17"/>
        <v>9.511</v>
      </c>
      <c r="F77">
        <f t="shared" si="18"/>
        <v>6.666</v>
      </c>
      <c r="G77">
        <f t="shared" si="19"/>
        <v>2.952</v>
      </c>
      <c r="H77">
        <f t="shared" si="20"/>
        <v>7.174</v>
      </c>
      <c r="I77">
        <f t="shared" si="21"/>
        <v>7.126</v>
      </c>
      <c r="J77">
        <f t="shared" si="22"/>
        <v>6.87</v>
      </c>
      <c r="K77">
        <f t="shared" si="23"/>
        <v>9.542</v>
      </c>
      <c r="L77">
        <f t="shared" si="24"/>
        <v>7.126</v>
      </c>
      <c r="N77">
        <v>6562</v>
      </c>
      <c r="O77">
        <v>8082</v>
      </c>
      <c r="P77">
        <v>6666</v>
      </c>
      <c r="Q77">
        <v>6702</v>
      </c>
      <c r="R77">
        <v>9511</v>
      </c>
      <c r="S77">
        <v>6666</v>
      </c>
      <c r="T77">
        <v>2952</v>
      </c>
      <c r="U77">
        <v>7174</v>
      </c>
      <c r="V77">
        <v>7126</v>
      </c>
      <c r="W77">
        <v>6870</v>
      </c>
      <c r="X77">
        <v>9542</v>
      </c>
      <c r="Y77">
        <v>7126</v>
      </c>
      <c r="AA77" t="s">
        <v>2222</v>
      </c>
      <c r="AC77">
        <v>6527</v>
      </c>
      <c r="AE77">
        <v>6668</v>
      </c>
      <c r="AG77" t="s">
        <v>2223</v>
      </c>
      <c r="AI77">
        <v>2936</v>
      </c>
      <c r="AK77">
        <v>6831</v>
      </c>
      <c r="AP77" t="s">
        <v>2224</v>
      </c>
      <c r="AR77">
        <v>7701</v>
      </c>
      <c r="AT77">
        <v>9259</v>
      </c>
      <c r="AV77" t="s">
        <v>2225</v>
      </c>
      <c r="AX77">
        <v>7119</v>
      </c>
      <c r="AZ77">
        <v>9374</v>
      </c>
      <c r="BB77" t="s">
        <v>2226</v>
      </c>
      <c r="BD77">
        <v>6603</v>
      </c>
      <c r="BF77">
        <v>6603</v>
      </c>
      <c r="BH77" t="s">
        <v>2227</v>
      </c>
      <c r="BJ77">
        <v>7058</v>
      </c>
      <c r="BL77">
        <v>7058</v>
      </c>
    </row>
    <row r="78" spans="1:64">
      <c r="A78">
        <f t="shared" si="13"/>
        <v>6.565</v>
      </c>
      <c r="B78">
        <f t="shared" si="14"/>
        <v>8.104</v>
      </c>
      <c r="C78">
        <f t="shared" si="15"/>
        <v>6.667</v>
      </c>
      <c r="D78">
        <f t="shared" si="16"/>
        <v>6.704</v>
      </c>
      <c r="E78">
        <f t="shared" si="17"/>
        <v>9.601</v>
      </c>
      <c r="F78">
        <f t="shared" si="18"/>
        <v>6.667</v>
      </c>
      <c r="G78">
        <f t="shared" si="19"/>
        <v>2.953</v>
      </c>
      <c r="H78">
        <f t="shared" si="20"/>
        <v>7.18</v>
      </c>
      <c r="I78">
        <f t="shared" si="21"/>
        <v>7.133</v>
      </c>
      <c r="J78">
        <f t="shared" si="22"/>
        <v>6.887</v>
      </c>
      <c r="K78">
        <f t="shared" si="23"/>
        <v>9.548</v>
      </c>
      <c r="L78">
        <f t="shared" si="24"/>
        <v>7.133</v>
      </c>
      <c r="N78">
        <v>6565</v>
      </c>
      <c r="O78">
        <v>8104</v>
      </c>
      <c r="P78">
        <v>6667</v>
      </c>
      <c r="Q78">
        <v>6704</v>
      </c>
      <c r="R78">
        <v>9601</v>
      </c>
      <c r="S78">
        <v>6667</v>
      </c>
      <c r="T78">
        <v>2953</v>
      </c>
      <c r="U78">
        <v>7180</v>
      </c>
      <c r="V78">
        <v>7133</v>
      </c>
      <c r="W78">
        <v>6887</v>
      </c>
      <c r="X78">
        <v>9548</v>
      </c>
      <c r="Y78">
        <v>7133</v>
      </c>
      <c r="AA78" t="s">
        <v>2228</v>
      </c>
      <c r="AC78">
        <v>6530</v>
      </c>
      <c r="AE78">
        <v>6678</v>
      </c>
      <c r="AG78" t="s">
        <v>2229</v>
      </c>
      <c r="AI78">
        <v>2936</v>
      </c>
      <c r="AK78">
        <v>6833</v>
      </c>
      <c r="AP78" t="s">
        <v>2230</v>
      </c>
      <c r="AR78">
        <v>7781</v>
      </c>
      <c r="AT78">
        <v>9277</v>
      </c>
      <c r="AV78" t="s">
        <v>2231</v>
      </c>
      <c r="AX78">
        <v>7132</v>
      </c>
      <c r="AZ78">
        <v>9396</v>
      </c>
      <c r="BB78" t="s">
        <v>2232</v>
      </c>
      <c r="BD78">
        <v>6610</v>
      </c>
      <c r="BF78">
        <v>6610</v>
      </c>
      <c r="BH78" t="s">
        <v>2233</v>
      </c>
      <c r="BJ78">
        <v>7074</v>
      </c>
      <c r="BL78">
        <v>7074</v>
      </c>
    </row>
    <row r="79" spans="1:64">
      <c r="A79">
        <f t="shared" si="13"/>
        <v>6.567</v>
      </c>
      <c r="B79">
        <f t="shared" si="14"/>
        <v>8.147</v>
      </c>
      <c r="C79">
        <f t="shared" si="15"/>
        <v>6.67</v>
      </c>
      <c r="D79">
        <f t="shared" si="16"/>
        <v>6.716</v>
      </c>
      <c r="E79">
        <f t="shared" si="17"/>
        <v>9.616</v>
      </c>
      <c r="F79">
        <f t="shared" si="18"/>
        <v>6.67</v>
      </c>
      <c r="G79">
        <f t="shared" si="19"/>
        <v>2.955</v>
      </c>
      <c r="H79">
        <f t="shared" si="20"/>
        <v>7.184</v>
      </c>
      <c r="I79">
        <f t="shared" si="21"/>
        <v>7.133</v>
      </c>
      <c r="J79">
        <f t="shared" si="22"/>
        <v>6.909</v>
      </c>
      <c r="K79">
        <f t="shared" si="23"/>
        <v>9.637</v>
      </c>
      <c r="L79">
        <f t="shared" si="24"/>
        <v>7.133</v>
      </c>
      <c r="N79">
        <v>6567</v>
      </c>
      <c r="O79">
        <v>8147</v>
      </c>
      <c r="P79">
        <v>6670</v>
      </c>
      <c r="Q79">
        <v>6716</v>
      </c>
      <c r="R79">
        <v>9616</v>
      </c>
      <c r="S79">
        <v>6670</v>
      </c>
      <c r="T79">
        <v>2955</v>
      </c>
      <c r="U79">
        <v>7184</v>
      </c>
      <c r="V79">
        <v>7133</v>
      </c>
      <c r="W79">
        <v>6909</v>
      </c>
      <c r="X79">
        <v>9637</v>
      </c>
      <c r="Y79">
        <v>7133</v>
      </c>
      <c r="AA79" t="s">
        <v>2234</v>
      </c>
      <c r="AC79">
        <v>6535</v>
      </c>
      <c r="AE79">
        <v>6680</v>
      </c>
      <c r="AG79" t="s">
        <v>2235</v>
      </c>
      <c r="AI79">
        <v>2937</v>
      </c>
      <c r="AK79">
        <v>6835</v>
      </c>
      <c r="AP79" t="s">
        <v>2236</v>
      </c>
      <c r="AR79">
        <v>7804</v>
      </c>
      <c r="AT79">
        <v>9319</v>
      </c>
      <c r="AV79" t="s">
        <v>2237</v>
      </c>
      <c r="AX79">
        <v>7145</v>
      </c>
      <c r="AZ79">
        <v>9402</v>
      </c>
      <c r="BB79" t="s">
        <v>2238</v>
      </c>
      <c r="BD79">
        <v>6617</v>
      </c>
      <c r="BF79">
        <v>6617</v>
      </c>
      <c r="BH79" t="s">
        <v>2239</v>
      </c>
      <c r="BJ79">
        <v>7084</v>
      </c>
      <c r="BL79">
        <v>7084</v>
      </c>
    </row>
    <row r="80" spans="1:64">
      <c r="A80">
        <f t="shared" si="13"/>
        <v>6.568</v>
      </c>
      <c r="B80">
        <f t="shared" si="14"/>
        <v>8.211</v>
      </c>
      <c r="C80">
        <f t="shared" si="15"/>
        <v>6.67</v>
      </c>
      <c r="D80">
        <f t="shared" si="16"/>
        <v>6.718</v>
      </c>
      <c r="E80">
        <f t="shared" si="17"/>
        <v>9.716</v>
      </c>
      <c r="F80">
        <f t="shared" si="18"/>
        <v>6.67</v>
      </c>
      <c r="G80">
        <f t="shared" si="19"/>
        <v>2.957</v>
      </c>
      <c r="H80">
        <f t="shared" si="20"/>
        <v>7.188</v>
      </c>
      <c r="I80">
        <f t="shared" si="21"/>
        <v>7.163</v>
      </c>
      <c r="J80">
        <f t="shared" si="22"/>
        <v>6.909</v>
      </c>
      <c r="K80">
        <f t="shared" si="23"/>
        <v>9.683</v>
      </c>
      <c r="L80">
        <f t="shared" si="24"/>
        <v>7.163</v>
      </c>
      <c r="N80">
        <v>6568</v>
      </c>
      <c r="O80">
        <v>8211</v>
      </c>
      <c r="P80">
        <v>6670</v>
      </c>
      <c r="Q80">
        <v>6718</v>
      </c>
      <c r="R80">
        <v>9716</v>
      </c>
      <c r="S80">
        <v>6670</v>
      </c>
      <c r="T80">
        <v>2957</v>
      </c>
      <c r="U80">
        <v>7188</v>
      </c>
      <c r="V80">
        <v>7163</v>
      </c>
      <c r="W80">
        <v>6909</v>
      </c>
      <c r="X80">
        <v>9683</v>
      </c>
      <c r="Y80">
        <v>7163</v>
      </c>
      <c r="AA80" t="s">
        <v>2240</v>
      </c>
      <c r="AC80">
        <v>6540</v>
      </c>
      <c r="AE80">
        <v>6681</v>
      </c>
      <c r="AG80" t="s">
        <v>2241</v>
      </c>
      <c r="AI80">
        <v>2938</v>
      </c>
      <c r="AK80">
        <v>6851</v>
      </c>
      <c r="AP80" t="s">
        <v>2242</v>
      </c>
      <c r="AR80">
        <v>7866</v>
      </c>
      <c r="AT80">
        <v>9325</v>
      </c>
      <c r="AV80" t="s">
        <v>2243</v>
      </c>
      <c r="AX80">
        <v>7154</v>
      </c>
      <c r="AZ80">
        <v>9428</v>
      </c>
      <c r="BB80" t="s">
        <v>2244</v>
      </c>
      <c r="BD80">
        <v>6618</v>
      </c>
      <c r="BF80">
        <v>6618</v>
      </c>
      <c r="BH80" t="s">
        <v>2245</v>
      </c>
      <c r="BJ80">
        <v>7089</v>
      </c>
      <c r="BL80">
        <v>7089</v>
      </c>
    </row>
    <row r="81" spans="1:64">
      <c r="A81">
        <f t="shared" si="13"/>
        <v>6.569</v>
      </c>
      <c r="B81">
        <f t="shared" si="14"/>
        <v>8.239</v>
      </c>
      <c r="C81">
        <f t="shared" si="15"/>
        <v>6.671</v>
      </c>
      <c r="D81">
        <f t="shared" si="16"/>
        <v>6.735</v>
      </c>
      <c r="E81">
        <f t="shared" si="17"/>
        <v>9.78</v>
      </c>
      <c r="F81">
        <f t="shared" si="18"/>
        <v>6.671</v>
      </c>
      <c r="G81">
        <f t="shared" si="19"/>
        <v>2.957</v>
      </c>
      <c r="H81">
        <f t="shared" si="20"/>
        <v>7.214</v>
      </c>
      <c r="I81">
        <f t="shared" si="21"/>
        <v>7.186</v>
      </c>
      <c r="J81">
        <f t="shared" si="22"/>
        <v>6.911</v>
      </c>
      <c r="K81">
        <f t="shared" si="23"/>
        <v>9.688</v>
      </c>
      <c r="L81">
        <f t="shared" si="24"/>
        <v>7.186</v>
      </c>
      <c r="N81">
        <v>6569</v>
      </c>
      <c r="O81">
        <v>8239</v>
      </c>
      <c r="P81">
        <v>6671</v>
      </c>
      <c r="Q81">
        <v>6735</v>
      </c>
      <c r="R81">
        <v>9780</v>
      </c>
      <c r="S81">
        <v>6671</v>
      </c>
      <c r="T81">
        <v>2957</v>
      </c>
      <c r="U81">
        <v>7214</v>
      </c>
      <c r="V81">
        <v>7186</v>
      </c>
      <c r="W81">
        <v>6911</v>
      </c>
      <c r="X81">
        <v>9688</v>
      </c>
      <c r="Y81">
        <v>7186</v>
      </c>
      <c r="AA81" t="s">
        <v>2246</v>
      </c>
      <c r="AC81">
        <v>6545</v>
      </c>
      <c r="AE81">
        <v>6684</v>
      </c>
      <c r="AG81" t="s">
        <v>2247</v>
      </c>
      <c r="AI81">
        <v>2940</v>
      </c>
      <c r="AK81">
        <v>6865</v>
      </c>
      <c r="AP81" t="s">
        <v>2248</v>
      </c>
      <c r="AR81">
        <v>7961</v>
      </c>
      <c r="AT81">
        <v>9365</v>
      </c>
      <c r="AV81" t="s">
        <v>2249</v>
      </c>
      <c r="AX81">
        <v>7160</v>
      </c>
      <c r="AZ81">
        <v>9440</v>
      </c>
      <c r="BB81" t="s">
        <v>2250</v>
      </c>
      <c r="BD81">
        <v>6625</v>
      </c>
      <c r="BF81">
        <v>6625</v>
      </c>
      <c r="BH81" t="s">
        <v>2251</v>
      </c>
      <c r="BJ81">
        <v>7092</v>
      </c>
      <c r="BL81">
        <v>7092</v>
      </c>
    </row>
    <row r="82" spans="1:64">
      <c r="A82">
        <f t="shared" si="13"/>
        <v>6.57</v>
      </c>
      <c r="B82">
        <f t="shared" si="14"/>
        <v>8.281</v>
      </c>
      <c r="C82">
        <f t="shared" si="15"/>
        <v>6.674</v>
      </c>
      <c r="D82">
        <f t="shared" si="16"/>
        <v>6.735</v>
      </c>
      <c r="E82">
        <f t="shared" si="17"/>
        <v>9.866</v>
      </c>
      <c r="F82">
        <f t="shared" si="18"/>
        <v>6.674</v>
      </c>
      <c r="G82">
        <f t="shared" si="19"/>
        <v>2.959</v>
      </c>
      <c r="H82">
        <f t="shared" si="20"/>
        <v>7.216</v>
      </c>
      <c r="I82">
        <f t="shared" si="21"/>
        <v>7.187</v>
      </c>
      <c r="J82">
        <f t="shared" si="22"/>
        <v>6.924</v>
      </c>
      <c r="K82">
        <f t="shared" si="23"/>
        <v>9.741</v>
      </c>
      <c r="L82">
        <f t="shared" si="24"/>
        <v>7.187</v>
      </c>
      <c r="N82">
        <v>6570</v>
      </c>
      <c r="O82">
        <v>8281</v>
      </c>
      <c r="P82">
        <v>6674</v>
      </c>
      <c r="Q82">
        <v>6735</v>
      </c>
      <c r="R82">
        <v>9866</v>
      </c>
      <c r="S82">
        <v>6674</v>
      </c>
      <c r="T82">
        <v>2959</v>
      </c>
      <c r="U82">
        <v>7216</v>
      </c>
      <c r="V82">
        <v>7187</v>
      </c>
      <c r="W82">
        <v>6924</v>
      </c>
      <c r="X82">
        <v>9741</v>
      </c>
      <c r="Y82">
        <v>7187</v>
      </c>
      <c r="AA82" t="s">
        <v>2252</v>
      </c>
      <c r="AC82">
        <v>6549</v>
      </c>
      <c r="AE82">
        <v>6689</v>
      </c>
      <c r="AG82" t="s">
        <v>2253</v>
      </c>
      <c r="AI82">
        <v>2946</v>
      </c>
      <c r="AK82">
        <v>6868</v>
      </c>
      <c r="AP82" t="s">
        <v>2254</v>
      </c>
      <c r="AR82">
        <v>8002</v>
      </c>
      <c r="AT82">
        <v>9372</v>
      </c>
      <c r="AV82" t="s">
        <v>2255</v>
      </c>
      <c r="AX82">
        <v>7170</v>
      </c>
      <c r="AZ82">
        <v>9518</v>
      </c>
      <c r="BB82" t="s">
        <v>2256</v>
      </c>
      <c r="BD82">
        <v>6627</v>
      </c>
      <c r="BF82">
        <v>6627</v>
      </c>
      <c r="BH82" t="s">
        <v>2257</v>
      </c>
      <c r="BJ82">
        <v>7095</v>
      </c>
      <c r="BL82">
        <v>7095</v>
      </c>
    </row>
    <row r="83" spans="1:64">
      <c r="A83">
        <f t="shared" si="13"/>
        <v>6.579</v>
      </c>
      <c r="B83">
        <f t="shared" si="14"/>
        <v>8.383</v>
      </c>
      <c r="C83">
        <f t="shared" si="15"/>
        <v>6.676</v>
      </c>
      <c r="D83">
        <f t="shared" si="16"/>
        <v>6.736</v>
      </c>
      <c r="E83">
        <f t="shared" si="17"/>
        <v>9.908</v>
      </c>
      <c r="F83">
        <f t="shared" si="18"/>
        <v>6.676</v>
      </c>
      <c r="G83">
        <f t="shared" si="19"/>
        <v>2.96</v>
      </c>
      <c r="H83">
        <f t="shared" si="20"/>
        <v>7.227</v>
      </c>
      <c r="I83">
        <f t="shared" si="21"/>
        <v>7.189</v>
      </c>
      <c r="J83">
        <f t="shared" si="22"/>
        <v>6.956</v>
      </c>
      <c r="K83">
        <f t="shared" si="23"/>
        <v>9.76</v>
      </c>
      <c r="L83">
        <f t="shared" si="24"/>
        <v>7.189</v>
      </c>
      <c r="N83">
        <v>6579</v>
      </c>
      <c r="O83">
        <v>8383</v>
      </c>
      <c r="P83">
        <v>6676</v>
      </c>
      <c r="Q83">
        <v>6736</v>
      </c>
      <c r="R83">
        <v>9908</v>
      </c>
      <c r="S83">
        <v>6676</v>
      </c>
      <c r="T83">
        <v>2960</v>
      </c>
      <c r="U83">
        <v>7227</v>
      </c>
      <c r="V83">
        <v>7189</v>
      </c>
      <c r="W83">
        <v>6956</v>
      </c>
      <c r="X83">
        <v>9760</v>
      </c>
      <c r="Y83">
        <v>7189</v>
      </c>
      <c r="AA83" t="s">
        <v>2258</v>
      </c>
      <c r="AC83">
        <v>6551</v>
      </c>
      <c r="AE83">
        <v>6697</v>
      </c>
      <c r="AG83" t="s">
        <v>2259</v>
      </c>
      <c r="AI83">
        <v>2946</v>
      </c>
      <c r="AK83">
        <v>6869</v>
      </c>
      <c r="AP83" t="s">
        <v>2260</v>
      </c>
      <c r="AR83">
        <v>8002</v>
      </c>
      <c r="AT83">
        <v>9499</v>
      </c>
      <c r="AV83" t="s">
        <v>2261</v>
      </c>
      <c r="AX83">
        <v>7170</v>
      </c>
      <c r="AZ83">
        <v>9528</v>
      </c>
      <c r="BB83" t="s">
        <v>2262</v>
      </c>
      <c r="BD83">
        <v>6651</v>
      </c>
      <c r="BF83">
        <v>6651</v>
      </c>
      <c r="BH83" t="s">
        <v>2263</v>
      </c>
      <c r="BJ83">
        <v>7100</v>
      </c>
      <c r="BL83">
        <v>7100</v>
      </c>
    </row>
    <row r="84" spans="1:64">
      <c r="A84">
        <f t="shared" si="13"/>
        <v>6.585</v>
      </c>
      <c r="B84">
        <f t="shared" si="14"/>
        <v>8.578</v>
      </c>
      <c r="C84">
        <f t="shared" si="15"/>
        <v>6.685</v>
      </c>
      <c r="D84">
        <f t="shared" si="16"/>
        <v>6.736</v>
      </c>
      <c r="E84">
        <f t="shared" si="17"/>
        <v>9.988</v>
      </c>
      <c r="F84">
        <f t="shared" si="18"/>
        <v>6.685</v>
      </c>
      <c r="G84">
        <f t="shared" si="19"/>
        <v>2.961</v>
      </c>
      <c r="H84">
        <f t="shared" si="20"/>
        <v>7.283</v>
      </c>
      <c r="I84">
        <f t="shared" si="21"/>
        <v>7.218</v>
      </c>
      <c r="J84">
        <f t="shared" si="22"/>
        <v>6.967</v>
      </c>
      <c r="K84">
        <f t="shared" si="23"/>
        <v>9.777</v>
      </c>
      <c r="L84">
        <f t="shared" si="24"/>
        <v>7.218</v>
      </c>
      <c r="N84">
        <v>6585</v>
      </c>
      <c r="O84">
        <v>8578</v>
      </c>
      <c r="P84">
        <v>6685</v>
      </c>
      <c r="Q84">
        <v>6736</v>
      </c>
      <c r="R84">
        <v>9988</v>
      </c>
      <c r="S84">
        <v>6685</v>
      </c>
      <c r="T84">
        <v>2961</v>
      </c>
      <c r="U84">
        <v>7283</v>
      </c>
      <c r="V84">
        <v>7218</v>
      </c>
      <c r="W84">
        <v>6967</v>
      </c>
      <c r="X84">
        <v>9777</v>
      </c>
      <c r="Y84">
        <v>7218</v>
      </c>
      <c r="AA84" t="s">
        <v>2264</v>
      </c>
      <c r="AC84">
        <v>6559</v>
      </c>
      <c r="AE84">
        <v>6700</v>
      </c>
      <c r="AG84" t="s">
        <v>2265</v>
      </c>
      <c r="AI84">
        <v>2948</v>
      </c>
      <c r="AK84">
        <v>6869</v>
      </c>
      <c r="AP84" t="s">
        <v>2266</v>
      </c>
      <c r="AR84">
        <v>8082</v>
      </c>
      <c r="AT84">
        <v>9511</v>
      </c>
      <c r="AV84" t="s">
        <v>2267</v>
      </c>
      <c r="AX84">
        <v>7174</v>
      </c>
      <c r="AZ84">
        <v>9542</v>
      </c>
      <c r="BB84" t="s">
        <v>2268</v>
      </c>
      <c r="BD84">
        <v>6655</v>
      </c>
      <c r="BF84">
        <v>6655</v>
      </c>
      <c r="BH84" t="s">
        <v>2269</v>
      </c>
      <c r="BJ84">
        <v>7119</v>
      </c>
      <c r="BL84">
        <v>7119</v>
      </c>
    </row>
    <row r="85" spans="1:64">
      <c r="A85">
        <f t="shared" si="13"/>
        <v>6.588</v>
      </c>
      <c r="B85">
        <f t="shared" si="14"/>
        <v>8.595</v>
      </c>
      <c r="C85">
        <f t="shared" si="15"/>
        <v>6.689</v>
      </c>
      <c r="D85">
        <f t="shared" si="16"/>
        <v>6.747</v>
      </c>
      <c r="E85">
        <f t="shared" si="17"/>
        <v>10.01</v>
      </c>
      <c r="F85">
        <f t="shared" si="18"/>
        <v>6.689</v>
      </c>
      <c r="G85">
        <f t="shared" si="19"/>
        <v>2.962</v>
      </c>
      <c r="H85">
        <f t="shared" si="20"/>
        <v>7.285</v>
      </c>
      <c r="I85">
        <f t="shared" si="21"/>
        <v>7.225</v>
      </c>
      <c r="J85">
        <f t="shared" si="22"/>
        <v>6.978</v>
      </c>
      <c r="K85">
        <f t="shared" si="23"/>
        <v>9.783</v>
      </c>
      <c r="L85">
        <f t="shared" si="24"/>
        <v>7.225</v>
      </c>
      <c r="N85">
        <v>6588</v>
      </c>
      <c r="O85">
        <v>8595</v>
      </c>
      <c r="P85">
        <v>6689</v>
      </c>
      <c r="Q85">
        <v>6747</v>
      </c>
      <c r="R85">
        <v>10010</v>
      </c>
      <c r="S85">
        <v>6689</v>
      </c>
      <c r="T85">
        <v>2962</v>
      </c>
      <c r="U85">
        <v>7285</v>
      </c>
      <c r="V85">
        <v>7225</v>
      </c>
      <c r="W85">
        <v>6978</v>
      </c>
      <c r="X85">
        <v>9783</v>
      </c>
      <c r="Y85">
        <v>7225</v>
      </c>
      <c r="AA85" t="s">
        <v>2270</v>
      </c>
      <c r="AC85">
        <v>6562</v>
      </c>
      <c r="AE85">
        <v>6702</v>
      </c>
      <c r="AG85" t="s">
        <v>2271</v>
      </c>
      <c r="AI85">
        <v>2952</v>
      </c>
      <c r="AK85">
        <v>6870</v>
      </c>
      <c r="AP85" t="s">
        <v>2272</v>
      </c>
      <c r="AR85">
        <v>8104</v>
      </c>
      <c r="AT85">
        <v>9601</v>
      </c>
      <c r="AV85" t="s">
        <v>2273</v>
      </c>
      <c r="AX85">
        <v>7180</v>
      </c>
      <c r="AZ85">
        <v>9548</v>
      </c>
      <c r="BB85" t="s">
        <v>2274</v>
      </c>
      <c r="BD85">
        <v>6666</v>
      </c>
      <c r="BF85">
        <v>6666</v>
      </c>
      <c r="BH85" t="s">
        <v>2275</v>
      </c>
      <c r="BJ85">
        <v>7126</v>
      </c>
      <c r="BL85">
        <v>7126</v>
      </c>
    </row>
    <row r="86" spans="1:64">
      <c r="A86">
        <f t="shared" si="13"/>
        <v>6.588</v>
      </c>
      <c r="B86">
        <f t="shared" si="14"/>
        <v>8.824</v>
      </c>
      <c r="C86">
        <f t="shared" si="15"/>
        <v>6.696</v>
      </c>
      <c r="D86">
        <f t="shared" si="16"/>
        <v>6.759</v>
      </c>
      <c r="E86">
        <f t="shared" si="17"/>
        <v>10.051</v>
      </c>
      <c r="F86">
        <f t="shared" si="18"/>
        <v>6.696</v>
      </c>
      <c r="G86">
        <f t="shared" si="19"/>
        <v>2.964</v>
      </c>
      <c r="H86">
        <f t="shared" si="20"/>
        <v>7.317</v>
      </c>
      <c r="I86">
        <f t="shared" si="21"/>
        <v>7.234</v>
      </c>
      <c r="J86">
        <f t="shared" si="22"/>
        <v>6.98</v>
      </c>
      <c r="K86">
        <f t="shared" si="23"/>
        <v>9.783</v>
      </c>
      <c r="L86">
        <f t="shared" si="24"/>
        <v>7.234</v>
      </c>
      <c r="N86">
        <v>6588</v>
      </c>
      <c r="O86">
        <v>8824</v>
      </c>
      <c r="P86">
        <v>6696</v>
      </c>
      <c r="Q86">
        <v>6759</v>
      </c>
      <c r="R86">
        <v>10051</v>
      </c>
      <c r="S86">
        <v>6696</v>
      </c>
      <c r="T86">
        <v>2964</v>
      </c>
      <c r="U86">
        <v>7317</v>
      </c>
      <c r="V86">
        <v>7234</v>
      </c>
      <c r="W86">
        <v>6980</v>
      </c>
      <c r="X86">
        <v>9783</v>
      </c>
      <c r="Y86">
        <v>7234</v>
      </c>
      <c r="AA86" t="s">
        <v>2276</v>
      </c>
      <c r="AC86">
        <v>6565</v>
      </c>
      <c r="AE86">
        <v>6704</v>
      </c>
      <c r="AG86" t="s">
        <v>2277</v>
      </c>
      <c r="AI86">
        <v>2953</v>
      </c>
      <c r="AK86">
        <v>6887</v>
      </c>
      <c r="AP86" t="s">
        <v>2278</v>
      </c>
      <c r="AR86">
        <v>8147</v>
      </c>
      <c r="AT86">
        <v>9616</v>
      </c>
      <c r="AV86" t="s">
        <v>2279</v>
      </c>
      <c r="AX86">
        <v>7184</v>
      </c>
      <c r="AZ86">
        <v>9637</v>
      </c>
      <c r="BB86" t="s">
        <v>2280</v>
      </c>
      <c r="BD86">
        <v>6667</v>
      </c>
      <c r="BF86">
        <v>6667</v>
      </c>
      <c r="BH86" t="s">
        <v>2281</v>
      </c>
      <c r="BJ86">
        <v>7133</v>
      </c>
      <c r="BL86">
        <v>7133</v>
      </c>
    </row>
    <row r="87" spans="1:64">
      <c r="A87">
        <f t="shared" si="13"/>
        <v>6.602</v>
      </c>
      <c r="B87">
        <f t="shared" si="14"/>
        <v>8.97</v>
      </c>
      <c r="C87">
        <f t="shared" si="15"/>
        <v>6.697</v>
      </c>
      <c r="D87">
        <f t="shared" si="16"/>
        <v>6.771</v>
      </c>
      <c r="E87">
        <f t="shared" si="17"/>
        <v>10.099</v>
      </c>
      <c r="F87">
        <f t="shared" si="18"/>
        <v>6.697</v>
      </c>
      <c r="G87">
        <f t="shared" si="19"/>
        <v>2.965</v>
      </c>
      <c r="H87">
        <f t="shared" si="20"/>
        <v>7.333</v>
      </c>
      <c r="I87">
        <f t="shared" si="21"/>
        <v>7.238</v>
      </c>
      <c r="J87">
        <f t="shared" si="22"/>
        <v>6.985</v>
      </c>
      <c r="K87">
        <f t="shared" si="23"/>
        <v>9.827</v>
      </c>
      <c r="L87">
        <f t="shared" si="24"/>
        <v>7.238</v>
      </c>
      <c r="N87">
        <v>6602</v>
      </c>
      <c r="O87">
        <v>8970</v>
      </c>
      <c r="P87">
        <v>6697</v>
      </c>
      <c r="Q87">
        <v>6771</v>
      </c>
      <c r="R87">
        <v>10099</v>
      </c>
      <c r="S87">
        <v>6697</v>
      </c>
      <c r="T87">
        <v>2965</v>
      </c>
      <c r="U87">
        <v>7333</v>
      </c>
      <c r="V87">
        <v>7238</v>
      </c>
      <c r="W87">
        <v>6985</v>
      </c>
      <c r="X87">
        <v>9827</v>
      </c>
      <c r="Y87">
        <v>7238</v>
      </c>
      <c r="AA87" t="s">
        <v>2282</v>
      </c>
      <c r="AC87">
        <v>6567</v>
      </c>
      <c r="AE87">
        <v>6716</v>
      </c>
      <c r="AG87" t="s">
        <v>2283</v>
      </c>
      <c r="AI87">
        <v>2955</v>
      </c>
      <c r="AK87">
        <v>6909</v>
      </c>
      <c r="AP87" t="s">
        <v>2284</v>
      </c>
      <c r="AR87">
        <v>8211</v>
      </c>
      <c r="AT87">
        <v>9716</v>
      </c>
      <c r="AV87" t="s">
        <v>2285</v>
      </c>
      <c r="AX87">
        <v>7188</v>
      </c>
      <c r="AZ87">
        <v>9683</v>
      </c>
      <c r="BB87" t="s">
        <v>2286</v>
      </c>
      <c r="BD87">
        <v>6670</v>
      </c>
      <c r="BF87">
        <v>6670</v>
      </c>
      <c r="BH87" t="s">
        <v>2287</v>
      </c>
      <c r="BJ87">
        <v>7133</v>
      </c>
      <c r="BL87">
        <v>7133</v>
      </c>
    </row>
    <row r="88" spans="1:64">
      <c r="A88">
        <f t="shared" si="13"/>
        <v>6.61</v>
      </c>
      <c r="B88">
        <f t="shared" si="14"/>
        <v>9.061</v>
      </c>
      <c r="C88">
        <f t="shared" si="15"/>
        <v>6.697</v>
      </c>
      <c r="D88">
        <f t="shared" si="16"/>
        <v>6.774</v>
      </c>
      <c r="E88">
        <f t="shared" si="17"/>
        <v>10.218</v>
      </c>
      <c r="F88">
        <f t="shared" si="18"/>
        <v>6.697</v>
      </c>
      <c r="G88">
        <f t="shared" si="19"/>
        <v>2.974</v>
      </c>
      <c r="H88">
        <f t="shared" si="20"/>
        <v>7.336</v>
      </c>
      <c r="I88">
        <f t="shared" si="21"/>
        <v>7.25</v>
      </c>
      <c r="J88">
        <f t="shared" si="22"/>
        <v>6.99</v>
      </c>
      <c r="K88">
        <f t="shared" si="23"/>
        <v>9.834</v>
      </c>
      <c r="L88">
        <f t="shared" si="24"/>
        <v>7.25</v>
      </c>
      <c r="N88">
        <v>6610</v>
      </c>
      <c r="O88">
        <v>9061</v>
      </c>
      <c r="P88">
        <v>6697</v>
      </c>
      <c r="Q88">
        <v>6774</v>
      </c>
      <c r="R88">
        <v>10218</v>
      </c>
      <c r="S88">
        <v>6697</v>
      </c>
      <c r="T88">
        <v>2974</v>
      </c>
      <c r="U88">
        <v>7336</v>
      </c>
      <c r="V88">
        <v>7250</v>
      </c>
      <c r="W88">
        <v>6990</v>
      </c>
      <c r="X88">
        <v>9834</v>
      </c>
      <c r="Y88">
        <v>7250</v>
      </c>
      <c r="AA88" t="s">
        <v>2288</v>
      </c>
      <c r="AC88">
        <v>6568</v>
      </c>
      <c r="AE88">
        <v>6718</v>
      </c>
      <c r="AG88" t="s">
        <v>2289</v>
      </c>
      <c r="AI88">
        <v>2957</v>
      </c>
      <c r="AK88">
        <v>6909</v>
      </c>
      <c r="AP88" t="s">
        <v>2290</v>
      </c>
      <c r="AR88">
        <v>8239</v>
      </c>
      <c r="AT88">
        <v>9780</v>
      </c>
      <c r="AV88" t="s">
        <v>2291</v>
      </c>
      <c r="AX88">
        <v>7214</v>
      </c>
      <c r="AZ88">
        <v>9688</v>
      </c>
      <c r="BB88" t="s">
        <v>2292</v>
      </c>
      <c r="BD88">
        <v>6670</v>
      </c>
      <c r="BF88">
        <v>6670</v>
      </c>
      <c r="BH88" t="s">
        <v>2293</v>
      </c>
      <c r="BJ88">
        <v>7163</v>
      </c>
      <c r="BL88">
        <v>7163</v>
      </c>
    </row>
    <row r="89" spans="1:64">
      <c r="A89">
        <f t="shared" si="13"/>
        <v>6.61</v>
      </c>
      <c r="B89">
        <f t="shared" si="14"/>
        <v>9.116</v>
      </c>
      <c r="C89">
        <f t="shared" si="15"/>
        <v>6.702</v>
      </c>
      <c r="D89">
        <f t="shared" si="16"/>
        <v>6.776</v>
      </c>
      <c r="E89">
        <f t="shared" si="17"/>
        <v>10.241</v>
      </c>
      <c r="F89">
        <f t="shared" si="18"/>
        <v>6.702</v>
      </c>
      <c r="G89">
        <f t="shared" si="19"/>
        <v>2.978</v>
      </c>
      <c r="H89">
        <f t="shared" si="20"/>
        <v>7.342</v>
      </c>
      <c r="I89">
        <f t="shared" si="21"/>
        <v>7.256</v>
      </c>
      <c r="J89">
        <f t="shared" si="22"/>
        <v>6.997</v>
      </c>
      <c r="K89">
        <f t="shared" si="23"/>
        <v>9.901</v>
      </c>
      <c r="L89">
        <f t="shared" si="24"/>
        <v>7.256</v>
      </c>
      <c r="N89">
        <v>6610</v>
      </c>
      <c r="O89">
        <v>9116</v>
      </c>
      <c r="P89">
        <v>6702</v>
      </c>
      <c r="Q89">
        <v>6776</v>
      </c>
      <c r="R89">
        <v>10241</v>
      </c>
      <c r="S89">
        <v>6702</v>
      </c>
      <c r="T89">
        <v>2978</v>
      </c>
      <c r="U89">
        <v>7342</v>
      </c>
      <c r="V89">
        <v>7256</v>
      </c>
      <c r="W89">
        <v>6997</v>
      </c>
      <c r="X89">
        <v>9901</v>
      </c>
      <c r="Y89">
        <v>7256</v>
      </c>
      <c r="AA89" t="s">
        <v>2294</v>
      </c>
      <c r="AC89">
        <v>6569</v>
      </c>
      <c r="AE89">
        <v>6735</v>
      </c>
      <c r="AG89" t="s">
        <v>2295</v>
      </c>
      <c r="AI89">
        <v>2957</v>
      </c>
      <c r="AK89">
        <v>6911</v>
      </c>
      <c r="AP89" t="s">
        <v>2296</v>
      </c>
      <c r="AR89">
        <v>8281</v>
      </c>
      <c r="AT89">
        <v>9866</v>
      </c>
      <c r="AV89" t="s">
        <v>2297</v>
      </c>
      <c r="AX89">
        <v>7216</v>
      </c>
      <c r="AZ89">
        <v>9741</v>
      </c>
      <c r="BB89" t="s">
        <v>2298</v>
      </c>
      <c r="BD89">
        <v>6671</v>
      </c>
      <c r="BF89">
        <v>6671</v>
      </c>
      <c r="BH89" t="s">
        <v>2299</v>
      </c>
      <c r="BJ89">
        <v>7186</v>
      </c>
      <c r="BL89">
        <v>7186</v>
      </c>
    </row>
    <row r="90" spans="1:64">
      <c r="A90">
        <f t="shared" si="13"/>
        <v>6.619</v>
      </c>
      <c r="B90">
        <f t="shared" si="14"/>
        <v>9.138</v>
      </c>
      <c r="C90">
        <f t="shared" si="15"/>
        <v>6.704</v>
      </c>
      <c r="D90">
        <f t="shared" si="16"/>
        <v>6.779</v>
      </c>
      <c r="E90">
        <f t="shared" si="17"/>
        <v>10.243</v>
      </c>
      <c r="F90">
        <f t="shared" si="18"/>
        <v>6.704</v>
      </c>
      <c r="G90">
        <f t="shared" si="19"/>
        <v>2.978</v>
      </c>
      <c r="H90">
        <f t="shared" si="20"/>
        <v>7.342</v>
      </c>
      <c r="I90">
        <f t="shared" si="21"/>
        <v>7.256</v>
      </c>
      <c r="J90">
        <f t="shared" si="22"/>
        <v>7.007</v>
      </c>
      <c r="K90">
        <f t="shared" si="23"/>
        <v>9.945</v>
      </c>
      <c r="L90">
        <f t="shared" si="24"/>
        <v>7.256</v>
      </c>
      <c r="N90">
        <v>6619</v>
      </c>
      <c r="O90">
        <v>9138</v>
      </c>
      <c r="P90">
        <v>6704</v>
      </c>
      <c r="Q90">
        <v>6779</v>
      </c>
      <c r="R90">
        <v>10243</v>
      </c>
      <c r="S90">
        <v>6704</v>
      </c>
      <c r="T90">
        <v>2978</v>
      </c>
      <c r="U90">
        <v>7342</v>
      </c>
      <c r="V90">
        <v>7256</v>
      </c>
      <c r="W90">
        <v>7007</v>
      </c>
      <c r="X90">
        <v>9945</v>
      </c>
      <c r="Y90">
        <v>7256</v>
      </c>
      <c r="AA90" t="s">
        <v>2300</v>
      </c>
      <c r="AC90">
        <v>6570</v>
      </c>
      <c r="AE90">
        <v>6735</v>
      </c>
      <c r="AG90" t="s">
        <v>2301</v>
      </c>
      <c r="AI90">
        <v>2959</v>
      </c>
      <c r="AK90">
        <v>6924</v>
      </c>
      <c r="AP90" t="s">
        <v>2302</v>
      </c>
      <c r="AR90">
        <v>8383</v>
      </c>
      <c r="AT90">
        <v>9908</v>
      </c>
      <c r="AV90" t="s">
        <v>2303</v>
      </c>
      <c r="AX90">
        <v>7227</v>
      </c>
      <c r="AZ90">
        <v>9760</v>
      </c>
      <c r="BB90" t="s">
        <v>2304</v>
      </c>
      <c r="BD90">
        <v>6674</v>
      </c>
      <c r="BF90">
        <v>6674</v>
      </c>
      <c r="BH90" t="s">
        <v>2305</v>
      </c>
      <c r="BJ90">
        <v>7187</v>
      </c>
      <c r="BL90">
        <v>7187</v>
      </c>
    </row>
    <row r="91" spans="1:64">
      <c r="A91">
        <f t="shared" si="13"/>
        <v>6.622</v>
      </c>
      <c r="B91">
        <f t="shared" si="14"/>
        <v>9.159</v>
      </c>
      <c r="C91">
        <f t="shared" si="15"/>
        <v>6.707</v>
      </c>
      <c r="D91">
        <f t="shared" si="16"/>
        <v>6.787</v>
      </c>
      <c r="E91">
        <f t="shared" si="17"/>
        <v>10.314</v>
      </c>
      <c r="F91">
        <f t="shared" si="18"/>
        <v>6.707</v>
      </c>
      <c r="G91">
        <f t="shared" si="19"/>
        <v>2.979</v>
      </c>
      <c r="H91">
        <f t="shared" si="20"/>
        <v>7.343</v>
      </c>
      <c r="I91">
        <f t="shared" si="21"/>
        <v>7.268</v>
      </c>
      <c r="J91">
        <f t="shared" si="22"/>
        <v>7.011</v>
      </c>
      <c r="K91">
        <f t="shared" si="23"/>
        <v>10.02</v>
      </c>
      <c r="L91">
        <f t="shared" si="24"/>
        <v>7.268</v>
      </c>
      <c r="N91">
        <v>6622</v>
      </c>
      <c r="O91">
        <v>9159</v>
      </c>
      <c r="P91">
        <v>6707</v>
      </c>
      <c r="Q91">
        <v>6787</v>
      </c>
      <c r="R91">
        <v>10314</v>
      </c>
      <c r="S91">
        <v>6707</v>
      </c>
      <c r="T91">
        <v>2979</v>
      </c>
      <c r="U91">
        <v>7343</v>
      </c>
      <c r="V91">
        <v>7268</v>
      </c>
      <c r="W91">
        <v>7011</v>
      </c>
      <c r="X91">
        <v>10020</v>
      </c>
      <c r="Y91">
        <v>7268</v>
      </c>
      <c r="AA91" t="s">
        <v>2306</v>
      </c>
      <c r="AC91">
        <v>6579</v>
      </c>
      <c r="AE91">
        <v>6736</v>
      </c>
      <c r="AG91" t="s">
        <v>2307</v>
      </c>
      <c r="AI91">
        <v>2960</v>
      </c>
      <c r="AK91">
        <v>6956</v>
      </c>
      <c r="AP91" t="s">
        <v>2308</v>
      </c>
      <c r="AR91">
        <v>8578</v>
      </c>
      <c r="AT91">
        <v>9988</v>
      </c>
      <c r="AV91" t="s">
        <v>2309</v>
      </c>
      <c r="AX91">
        <v>7283</v>
      </c>
      <c r="AZ91">
        <v>9777</v>
      </c>
      <c r="BB91" t="s">
        <v>2310</v>
      </c>
      <c r="BD91">
        <v>6676</v>
      </c>
      <c r="BF91">
        <v>6676</v>
      </c>
      <c r="BH91" t="s">
        <v>2311</v>
      </c>
      <c r="BJ91">
        <v>7189</v>
      </c>
      <c r="BL91">
        <v>7189</v>
      </c>
    </row>
    <row r="92" spans="1:64">
      <c r="A92">
        <f t="shared" si="13"/>
        <v>6.627</v>
      </c>
      <c r="B92">
        <f t="shared" si="14"/>
        <v>9.162</v>
      </c>
      <c r="C92">
        <f t="shared" si="15"/>
        <v>6.714</v>
      </c>
      <c r="D92">
        <f t="shared" si="16"/>
        <v>6.791</v>
      </c>
      <c r="E92">
        <f t="shared" si="17"/>
        <v>10.383</v>
      </c>
      <c r="F92">
        <f t="shared" si="18"/>
        <v>6.714</v>
      </c>
      <c r="G92">
        <f t="shared" si="19"/>
        <v>2.979</v>
      </c>
      <c r="H92">
        <f t="shared" si="20"/>
        <v>7.379</v>
      </c>
      <c r="I92">
        <f t="shared" si="21"/>
        <v>7.28</v>
      </c>
      <c r="J92">
        <f t="shared" si="22"/>
        <v>7.013</v>
      </c>
      <c r="K92">
        <f t="shared" si="23"/>
        <v>10.051</v>
      </c>
      <c r="L92">
        <f t="shared" si="24"/>
        <v>7.28</v>
      </c>
      <c r="N92">
        <v>6627</v>
      </c>
      <c r="O92">
        <v>9162</v>
      </c>
      <c r="P92">
        <v>6714</v>
      </c>
      <c r="Q92">
        <v>6791</v>
      </c>
      <c r="R92">
        <v>10383</v>
      </c>
      <c r="S92">
        <v>6714</v>
      </c>
      <c r="T92">
        <v>2979</v>
      </c>
      <c r="U92">
        <v>7379</v>
      </c>
      <c r="V92">
        <v>7280</v>
      </c>
      <c r="W92">
        <v>7013</v>
      </c>
      <c r="X92">
        <v>10051</v>
      </c>
      <c r="Y92">
        <v>7280</v>
      </c>
      <c r="AA92" t="s">
        <v>2312</v>
      </c>
      <c r="AC92">
        <v>6585</v>
      </c>
      <c r="AE92">
        <v>6736</v>
      </c>
      <c r="AG92" t="s">
        <v>2313</v>
      </c>
      <c r="AI92">
        <v>2961</v>
      </c>
      <c r="AK92">
        <v>6967</v>
      </c>
      <c r="AP92" t="s">
        <v>2314</v>
      </c>
      <c r="AR92">
        <v>8595</v>
      </c>
      <c r="AT92">
        <v>10010</v>
      </c>
      <c r="AV92" t="s">
        <v>2315</v>
      </c>
      <c r="AX92">
        <v>7285</v>
      </c>
      <c r="AZ92">
        <v>9783</v>
      </c>
      <c r="BB92" t="s">
        <v>2316</v>
      </c>
      <c r="BD92">
        <v>6685</v>
      </c>
      <c r="BF92">
        <v>6685</v>
      </c>
      <c r="BH92" t="s">
        <v>2317</v>
      </c>
      <c r="BJ92">
        <v>7218</v>
      </c>
      <c r="BL92">
        <v>7218</v>
      </c>
    </row>
    <row r="93" spans="1:64">
      <c r="A93">
        <f t="shared" si="13"/>
        <v>6.637</v>
      </c>
      <c r="B93">
        <f t="shared" si="14"/>
        <v>9.225</v>
      </c>
      <c r="C93">
        <f t="shared" si="15"/>
        <v>6.731</v>
      </c>
      <c r="D93">
        <f t="shared" si="16"/>
        <v>6.795</v>
      </c>
      <c r="E93">
        <f t="shared" si="17"/>
        <v>10.442</v>
      </c>
      <c r="F93">
        <f t="shared" si="18"/>
        <v>6.731</v>
      </c>
      <c r="G93">
        <f t="shared" si="19"/>
        <v>2.981</v>
      </c>
      <c r="H93">
        <f t="shared" si="20"/>
        <v>7.395</v>
      </c>
      <c r="I93">
        <f t="shared" si="21"/>
        <v>7.285</v>
      </c>
      <c r="J93">
        <f t="shared" si="22"/>
        <v>7.032</v>
      </c>
      <c r="K93">
        <f t="shared" si="23"/>
        <v>10.078</v>
      </c>
      <c r="L93">
        <f t="shared" si="24"/>
        <v>7.285</v>
      </c>
      <c r="N93">
        <v>6637</v>
      </c>
      <c r="O93">
        <v>9225</v>
      </c>
      <c r="P93">
        <v>6731</v>
      </c>
      <c r="Q93">
        <v>6795</v>
      </c>
      <c r="R93">
        <v>10442</v>
      </c>
      <c r="S93">
        <v>6731</v>
      </c>
      <c r="T93">
        <v>2981</v>
      </c>
      <c r="U93">
        <v>7395</v>
      </c>
      <c r="V93">
        <v>7285</v>
      </c>
      <c r="W93">
        <v>7032</v>
      </c>
      <c r="X93">
        <v>10078</v>
      </c>
      <c r="Y93">
        <v>7285</v>
      </c>
      <c r="AA93" t="s">
        <v>2318</v>
      </c>
      <c r="AC93">
        <v>6588</v>
      </c>
      <c r="AE93">
        <v>6747</v>
      </c>
      <c r="AG93" t="s">
        <v>2319</v>
      </c>
      <c r="AI93">
        <v>2962</v>
      </c>
      <c r="AK93">
        <v>6978</v>
      </c>
      <c r="AP93" t="s">
        <v>2320</v>
      </c>
      <c r="AR93">
        <v>8824</v>
      </c>
      <c r="AT93">
        <v>10051</v>
      </c>
      <c r="AV93" t="s">
        <v>2321</v>
      </c>
      <c r="AX93">
        <v>7317</v>
      </c>
      <c r="AZ93">
        <v>9783</v>
      </c>
      <c r="BB93" t="s">
        <v>2322</v>
      </c>
      <c r="BD93">
        <v>6689</v>
      </c>
      <c r="BF93">
        <v>6689</v>
      </c>
      <c r="BH93" t="s">
        <v>2323</v>
      </c>
      <c r="BJ93">
        <v>7225</v>
      </c>
      <c r="BL93">
        <v>7225</v>
      </c>
    </row>
    <row r="94" spans="1:64">
      <c r="A94">
        <f t="shared" si="13"/>
        <v>6.644</v>
      </c>
      <c r="B94">
        <f t="shared" si="14"/>
        <v>9.253</v>
      </c>
      <c r="C94">
        <f t="shared" si="15"/>
        <v>6.736</v>
      </c>
      <c r="D94">
        <f t="shared" si="16"/>
        <v>6.797</v>
      </c>
      <c r="E94">
        <f t="shared" si="17"/>
        <v>10.482</v>
      </c>
      <c r="F94">
        <f t="shared" si="18"/>
        <v>6.736</v>
      </c>
      <c r="G94">
        <f t="shared" si="19"/>
        <v>2.986</v>
      </c>
      <c r="H94">
        <f t="shared" si="20"/>
        <v>7.412</v>
      </c>
      <c r="I94">
        <f t="shared" si="21"/>
        <v>7.288</v>
      </c>
      <c r="J94">
        <f t="shared" si="22"/>
        <v>7.049</v>
      </c>
      <c r="K94">
        <f t="shared" si="23"/>
        <v>10.086</v>
      </c>
      <c r="L94">
        <f t="shared" si="24"/>
        <v>7.288</v>
      </c>
      <c r="N94">
        <v>6644</v>
      </c>
      <c r="O94">
        <v>9253</v>
      </c>
      <c r="P94">
        <v>6736</v>
      </c>
      <c r="Q94">
        <v>6797</v>
      </c>
      <c r="R94">
        <v>10482</v>
      </c>
      <c r="S94">
        <v>6736</v>
      </c>
      <c r="T94">
        <v>2986</v>
      </c>
      <c r="U94">
        <v>7412</v>
      </c>
      <c r="V94">
        <v>7288</v>
      </c>
      <c r="W94">
        <v>7049</v>
      </c>
      <c r="X94">
        <v>10086</v>
      </c>
      <c r="Y94">
        <v>7288</v>
      </c>
      <c r="AA94" t="s">
        <v>2324</v>
      </c>
      <c r="AC94">
        <v>6588</v>
      </c>
      <c r="AE94">
        <v>6759</v>
      </c>
      <c r="AG94" t="s">
        <v>2325</v>
      </c>
      <c r="AI94">
        <v>2964</v>
      </c>
      <c r="AK94">
        <v>6980</v>
      </c>
      <c r="AP94" t="s">
        <v>2326</v>
      </c>
      <c r="AR94">
        <v>8970</v>
      </c>
      <c r="AT94">
        <v>10099</v>
      </c>
      <c r="AV94" t="s">
        <v>2327</v>
      </c>
      <c r="AX94">
        <v>7333</v>
      </c>
      <c r="AZ94">
        <v>9827</v>
      </c>
      <c r="BB94" t="s">
        <v>2328</v>
      </c>
      <c r="BD94">
        <v>6696</v>
      </c>
      <c r="BF94">
        <v>6696</v>
      </c>
      <c r="BH94" t="s">
        <v>2329</v>
      </c>
      <c r="BJ94">
        <v>7234</v>
      </c>
      <c r="BL94">
        <v>7234</v>
      </c>
    </row>
    <row r="95" spans="1:64">
      <c r="A95">
        <f t="shared" si="13"/>
        <v>6.657</v>
      </c>
      <c r="B95">
        <f t="shared" si="14"/>
        <v>9.259</v>
      </c>
      <c r="C95">
        <f t="shared" si="15"/>
        <v>6.738</v>
      </c>
      <c r="D95">
        <f t="shared" si="16"/>
        <v>6.801</v>
      </c>
      <c r="E95">
        <f t="shared" si="17"/>
        <v>10.695</v>
      </c>
      <c r="F95">
        <f t="shared" si="18"/>
        <v>6.738</v>
      </c>
      <c r="G95">
        <f t="shared" si="19"/>
        <v>2.987</v>
      </c>
      <c r="H95">
        <f t="shared" si="20"/>
        <v>7.443</v>
      </c>
      <c r="I95">
        <f t="shared" si="21"/>
        <v>7.289</v>
      </c>
      <c r="J95">
        <f t="shared" si="22"/>
        <v>7.091</v>
      </c>
      <c r="K95">
        <f t="shared" si="23"/>
        <v>10.116</v>
      </c>
      <c r="L95">
        <f t="shared" si="24"/>
        <v>7.289</v>
      </c>
      <c r="N95">
        <v>6657</v>
      </c>
      <c r="O95">
        <v>9259</v>
      </c>
      <c r="P95">
        <v>6738</v>
      </c>
      <c r="Q95">
        <v>6801</v>
      </c>
      <c r="R95">
        <v>10695</v>
      </c>
      <c r="S95">
        <v>6738</v>
      </c>
      <c r="T95">
        <v>2987</v>
      </c>
      <c r="U95">
        <v>7443</v>
      </c>
      <c r="V95">
        <v>7289</v>
      </c>
      <c r="W95">
        <v>7091</v>
      </c>
      <c r="X95">
        <v>10116</v>
      </c>
      <c r="Y95">
        <v>7289</v>
      </c>
      <c r="AA95" t="s">
        <v>2330</v>
      </c>
      <c r="AC95">
        <v>6602</v>
      </c>
      <c r="AE95">
        <v>6771</v>
      </c>
      <c r="AG95" t="s">
        <v>2331</v>
      </c>
      <c r="AI95">
        <v>2965</v>
      </c>
      <c r="AK95">
        <v>6985</v>
      </c>
      <c r="AP95" t="s">
        <v>2332</v>
      </c>
      <c r="AR95">
        <v>9061</v>
      </c>
      <c r="AT95">
        <v>10218</v>
      </c>
      <c r="AV95" t="s">
        <v>2333</v>
      </c>
      <c r="AX95">
        <v>7336</v>
      </c>
      <c r="AZ95">
        <v>9834</v>
      </c>
      <c r="BB95" t="s">
        <v>2334</v>
      </c>
      <c r="BD95">
        <v>6697</v>
      </c>
      <c r="BF95">
        <v>6697</v>
      </c>
      <c r="BH95" t="s">
        <v>2335</v>
      </c>
      <c r="BJ95">
        <v>7238</v>
      </c>
      <c r="BL95">
        <v>7238</v>
      </c>
    </row>
    <row r="96" spans="1:64">
      <c r="A96">
        <f t="shared" si="13"/>
        <v>6.66</v>
      </c>
      <c r="B96">
        <f t="shared" si="14"/>
        <v>9.277</v>
      </c>
      <c r="C96">
        <f t="shared" si="15"/>
        <v>6.745</v>
      </c>
      <c r="D96">
        <f t="shared" si="16"/>
        <v>6.801</v>
      </c>
      <c r="E96">
        <f t="shared" si="17"/>
        <v>10.758</v>
      </c>
      <c r="F96">
        <f t="shared" si="18"/>
        <v>6.745</v>
      </c>
      <c r="G96">
        <f t="shared" si="19"/>
        <v>2.987</v>
      </c>
      <c r="H96">
        <f t="shared" si="20"/>
        <v>7.465</v>
      </c>
      <c r="I96">
        <f t="shared" si="21"/>
        <v>7.299</v>
      </c>
      <c r="J96">
        <f t="shared" si="22"/>
        <v>7.134</v>
      </c>
      <c r="K96">
        <f t="shared" si="23"/>
        <v>10.141</v>
      </c>
      <c r="L96">
        <f t="shared" si="24"/>
        <v>7.299</v>
      </c>
      <c r="N96">
        <v>6660</v>
      </c>
      <c r="O96">
        <v>9277</v>
      </c>
      <c r="P96">
        <v>6745</v>
      </c>
      <c r="Q96">
        <v>6801</v>
      </c>
      <c r="R96">
        <v>10758</v>
      </c>
      <c r="S96">
        <v>6745</v>
      </c>
      <c r="T96">
        <v>2987</v>
      </c>
      <c r="U96">
        <v>7465</v>
      </c>
      <c r="V96">
        <v>7299</v>
      </c>
      <c r="W96">
        <v>7134</v>
      </c>
      <c r="X96">
        <v>10141</v>
      </c>
      <c r="Y96">
        <v>7299</v>
      </c>
      <c r="AA96" t="s">
        <v>2336</v>
      </c>
      <c r="AC96">
        <v>6610</v>
      </c>
      <c r="AE96">
        <v>6774</v>
      </c>
      <c r="AG96" t="s">
        <v>2337</v>
      </c>
      <c r="AI96">
        <v>2974</v>
      </c>
      <c r="AK96">
        <v>6990</v>
      </c>
      <c r="AP96" t="s">
        <v>2338</v>
      </c>
      <c r="AR96">
        <v>9116</v>
      </c>
      <c r="AT96">
        <v>10241</v>
      </c>
      <c r="AV96" t="s">
        <v>2339</v>
      </c>
      <c r="AX96">
        <v>7342</v>
      </c>
      <c r="AZ96">
        <v>9901</v>
      </c>
      <c r="BB96" t="s">
        <v>2340</v>
      </c>
      <c r="BD96">
        <v>6697</v>
      </c>
      <c r="BF96">
        <v>6697</v>
      </c>
      <c r="BH96" t="s">
        <v>2341</v>
      </c>
      <c r="BJ96">
        <v>7250</v>
      </c>
      <c r="BL96">
        <v>7250</v>
      </c>
    </row>
    <row r="97" spans="1:64">
      <c r="A97">
        <f t="shared" si="13"/>
        <v>6.664</v>
      </c>
      <c r="B97">
        <f t="shared" si="14"/>
        <v>9.319</v>
      </c>
      <c r="C97">
        <f t="shared" si="15"/>
        <v>6.749</v>
      </c>
      <c r="D97">
        <f t="shared" si="16"/>
        <v>6.802</v>
      </c>
      <c r="E97">
        <f t="shared" si="17"/>
        <v>10.76</v>
      </c>
      <c r="F97">
        <f t="shared" si="18"/>
        <v>6.749</v>
      </c>
      <c r="G97">
        <f t="shared" si="19"/>
        <v>2.988</v>
      </c>
      <c r="H97">
        <f t="shared" si="20"/>
        <v>7.471</v>
      </c>
      <c r="I97">
        <f t="shared" si="21"/>
        <v>7.308</v>
      </c>
      <c r="J97">
        <f t="shared" si="22"/>
        <v>7.14</v>
      </c>
      <c r="K97">
        <f t="shared" si="23"/>
        <v>10.16</v>
      </c>
      <c r="L97">
        <f t="shared" si="24"/>
        <v>7.308</v>
      </c>
      <c r="N97">
        <v>6664</v>
      </c>
      <c r="O97">
        <v>9319</v>
      </c>
      <c r="P97">
        <v>6749</v>
      </c>
      <c r="Q97">
        <v>6802</v>
      </c>
      <c r="R97">
        <v>10760</v>
      </c>
      <c r="S97">
        <v>6749</v>
      </c>
      <c r="T97">
        <v>2988</v>
      </c>
      <c r="U97">
        <v>7471</v>
      </c>
      <c r="V97">
        <v>7308</v>
      </c>
      <c r="W97">
        <v>7140</v>
      </c>
      <c r="X97">
        <v>10160</v>
      </c>
      <c r="Y97">
        <v>7308</v>
      </c>
      <c r="AA97" t="s">
        <v>2342</v>
      </c>
      <c r="AC97">
        <v>6610</v>
      </c>
      <c r="AE97">
        <v>6776</v>
      </c>
      <c r="AG97" t="s">
        <v>2343</v>
      </c>
      <c r="AI97">
        <v>2978</v>
      </c>
      <c r="AK97">
        <v>6997</v>
      </c>
      <c r="AP97" t="s">
        <v>2344</v>
      </c>
      <c r="AR97">
        <v>9138</v>
      </c>
      <c r="AT97">
        <v>10243</v>
      </c>
      <c r="AV97" t="s">
        <v>2345</v>
      </c>
      <c r="AX97">
        <v>7342</v>
      </c>
      <c r="AZ97">
        <v>9945</v>
      </c>
      <c r="BB97" t="s">
        <v>2346</v>
      </c>
      <c r="BD97">
        <v>6702</v>
      </c>
      <c r="BF97">
        <v>6702</v>
      </c>
      <c r="BH97" t="s">
        <v>2347</v>
      </c>
      <c r="BJ97">
        <v>7256</v>
      </c>
      <c r="BL97">
        <v>7256</v>
      </c>
    </row>
    <row r="98" spans="1:64">
      <c r="A98">
        <f t="shared" si="13"/>
        <v>6.667</v>
      </c>
      <c r="B98">
        <f t="shared" si="14"/>
        <v>9.325</v>
      </c>
      <c r="C98">
        <f t="shared" si="15"/>
        <v>6.75</v>
      </c>
      <c r="D98">
        <f t="shared" si="16"/>
        <v>6.804</v>
      </c>
      <c r="E98">
        <f t="shared" si="17"/>
        <v>10.808</v>
      </c>
      <c r="F98">
        <f t="shared" si="18"/>
        <v>6.75</v>
      </c>
      <c r="G98">
        <f t="shared" si="19"/>
        <v>2.991</v>
      </c>
      <c r="H98">
        <f t="shared" si="20"/>
        <v>7.472</v>
      </c>
      <c r="I98">
        <f t="shared" si="21"/>
        <v>7.308</v>
      </c>
      <c r="J98">
        <f t="shared" si="22"/>
        <v>7.153</v>
      </c>
      <c r="K98">
        <f t="shared" si="23"/>
        <v>10.174</v>
      </c>
      <c r="L98">
        <f t="shared" si="24"/>
        <v>7.308</v>
      </c>
      <c r="N98">
        <v>6667</v>
      </c>
      <c r="O98">
        <v>9325</v>
      </c>
      <c r="P98">
        <v>6750</v>
      </c>
      <c r="Q98">
        <v>6804</v>
      </c>
      <c r="R98">
        <v>10808</v>
      </c>
      <c r="S98">
        <v>6750</v>
      </c>
      <c r="T98">
        <v>2991</v>
      </c>
      <c r="U98">
        <v>7472</v>
      </c>
      <c r="V98">
        <v>7308</v>
      </c>
      <c r="W98">
        <v>7153</v>
      </c>
      <c r="X98">
        <v>10174</v>
      </c>
      <c r="Y98">
        <v>7308</v>
      </c>
      <c r="AA98" t="s">
        <v>2348</v>
      </c>
      <c r="AC98">
        <v>6619</v>
      </c>
      <c r="AE98">
        <v>6779</v>
      </c>
      <c r="AG98" t="s">
        <v>2349</v>
      </c>
      <c r="AI98">
        <v>2978</v>
      </c>
      <c r="AK98">
        <v>7007</v>
      </c>
      <c r="AP98" t="s">
        <v>2350</v>
      </c>
      <c r="AR98">
        <v>9159</v>
      </c>
      <c r="AT98">
        <v>10314</v>
      </c>
      <c r="AV98" t="s">
        <v>2351</v>
      </c>
      <c r="AX98">
        <v>7343</v>
      </c>
      <c r="AZ98">
        <v>10020</v>
      </c>
      <c r="BB98" t="s">
        <v>2352</v>
      </c>
      <c r="BD98">
        <v>6704</v>
      </c>
      <c r="BF98">
        <v>6704</v>
      </c>
      <c r="BH98" t="s">
        <v>2353</v>
      </c>
      <c r="BJ98">
        <v>7256</v>
      </c>
      <c r="BL98">
        <v>7256</v>
      </c>
    </row>
    <row r="99" spans="1:64">
      <c r="A99">
        <f t="shared" si="13"/>
        <v>6.668</v>
      </c>
      <c r="B99">
        <f t="shared" si="14"/>
        <v>9.365</v>
      </c>
      <c r="C99">
        <f t="shared" si="15"/>
        <v>6.755</v>
      </c>
      <c r="D99">
        <f t="shared" si="16"/>
        <v>6.804</v>
      </c>
      <c r="E99">
        <f t="shared" si="17"/>
        <v>10.813</v>
      </c>
      <c r="F99">
        <f t="shared" si="18"/>
        <v>6.755</v>
      </c>
      <c r="G99">
        <f t="shared" si="19"/>
        <v>2.992</v>
      </c>
      <c r="H99">
        <f t="shared" si="20"/>
        <v>7.482</v>
      </c>
      <c r="I99">
        <f t="shared" si="21"/>
        <v>7.313</v>
      </c>
      <c r="J99">
        <f t="shared" si="22"/>
        <v>7.156</v>
      </c>
      <c r="K99">
        <f t="shared" si="23"/>
        <v>10.247</v>
      </c>
      <c r="L99">
        <f t="shared" si="24"/>
        <v>7.313</v>
      </c>
      <c r="N99">
        <v>6668</v>
      </c>
      <c r="O99">
        <v>9365</v>
      </c>
      <c r="P99">
        <v>6755</v>
      </c>
      <c r="Q99">
        <v>6804</v>
      </c>
      <c r="R99">
        <v>10813</v>
      </c>
      <c r="S99">
        <v>6755</v>
      </c>
      <c r="T99">
        <v>2992</v>
      </c>
      <c r="U99">
        <v>7482</v>
      </c>
      <c r="V99">
        <v>7313</v>
      </c>
      <c r="W99">
        <v>7156</v>
      </c>
      <c r="X99">
        <v>10247</v>
      </c>
      <c r="Y99">
        <v>7313</v>
      </c>
      <c r="AA99" t="s">
        <v>2354</v>
      </c>
      <c r="AC99">
        <v>6622</v>
      </c>
      <c r="AE99">
        <v>6787</v>
      </c>
      <c r="AG99" t="s">
        <v>2355</v>
      </c>
      <c r="AI99">
        <v>2979</v>
      </c>
      <c r="AK99">
        <v>7011</v>
      </c>
      <c r="AP99" t="s">
        <v>2356</v>
      </c>
      <c r="AR99">
        <v>9162</v>
      </c>
      <c r="AT99">
        <v>10383</v>
      </c>
      <c r="AV99" t="s">
        <v>2357</v>
      </c>
      <c r="AX99">
        <v>7379</v>
      </c>
      <c r="AZ99">
        <v>10051</v>
      </c>
      <c r="BB99" t="s">
        <v>2358</v>
      </c>
      <c r="BD99">
        <v>6707</v>
      </c>
      <c r="BF99">
        <v>6707</v>
      </c>
      <c r="BH99" t="s">
        <v>2359</v>
      </c>
      <c r="BJ99">
        <v>7268</v>
      </c>
      <c r="BL99">
        <v>7268</v>
      </c>
    </row>
    <row r="100" spans="1:64">
      <c r="A100">
        <f t="shared" si="13"/>
        <v>6.678</v>
      </c>
      <c r="B100">
        <f t="shared" si="14"/>
        <v>9.372</v>
      </c>
      <c r="C100">
        <f t="shared" si="15"/>
        <v>6.763</v>
      </c>
      <c r="D100">
        <f t="shared" si="16"/>
        <v>6.805</v>
      </c>
      <c r="E100">
        <f t="shared" si="17"/>
        <v>10.818</v>
      </c>
      <c r="F100">
        <f t="shared" si="18"/>
        <v>6.763</v>
      </c>
      <c r="G100">
        <f t="shared" si="19"/>
        <v>2.993</v>
      </c>
      <c r="H100">
        <f t="shared" si="20"/>
        <v>7.483</v>
      </c>
      <c r="I100">
        <f t="shared" si="21"/>
        <v>7.346</v>
      </c>
      <c r="J100">
        <f t="shared" si="22"/>
        <v>7.169</v>
      </c>
      <c r="K100">
        <f t="shared" si="23"/>
        <v>10.258</v>
      </c>
      <c r="L100">
        <f t="shared" si="24"/>
        <v>7.346</v>
      </c>
      <c r="N100">
        <v>6678</v>
      </c>
      <c r="O100">
        <v>9372</v>
      </c>
      <c r="P100">
        <v>6763</v>
      </c>
      <c r="Q100">
        <v>6805</v>
      </c>
      <c r="R100">
        <v>10818</v>
      </c>
      <c r="S100">
        <v>6763</v>
      </c>
      <c r="T100">
        <v>2993</v>
      </c>
      <c r="U100">
        <v>7483</v>
      </c>
      <c r="V100">
        <v>7346</v>
      </c>
      <c r="W100">
        <v>7169</v>
      </c>
      <c r="X100">
        <v>10258</v>
      </c>
      <c r="Y100">
        <v>7346</v>
      </c>
      <c r="AA100" t="s">
        <v>2360</v>
      </c>
      <c r="AC100">
        <v>6627</v>
      </c>
      <c r="AE100">
        <v>6791</v>
      </c>
      <c r="AG100" t="s">
        <v>2361</v>
      </c>
      <c r="AI100">
        <v>2979</v>
      </c>
      <c r="AK100">
        <v>7013</v>
      </c>
      <c r="AP100" t="s">
        <v>2362</v>
      </c>
      <c r="AR100">
        <v>9225</v>
      </c>
      <c r="AT100">
        <v>10442</v>
      </c>
      <c r="AV100" t="s">
        <v>2363</v>
      </c>
      <c r="AX100">
        <v>7395</v>
      </c>
      <c r="AZ100">
        <v>10078</v>
      </c>
      <c r="BB100" t="s">
        <v>2364</v>
      </c>
      <c r="BD100">
        <v>6714</v>
      </c>
      <c r="BF100">
        <v>6714</v>
      </c>
      <c r="BH100" t="s">
        <v>2365</v>
      </c>
      <c r="BJ100">
        <v>7280</v>
      </c>
      <c r="BL100">
        <v>7280</v>
      </c>
    </row>
    <row r="101" spans="1:64">
      <c r="A101">
        <f t="shared" si="13"/>
        <v>6.68</v>
      </c>
      <c r="B101">
        <f t="shared" si="14"/>
        <v>9.499</v>
      </c>
      <c r="C101">
        <f t="shared" si="15"/>
        <v>6.768</v>
      </c>
      <c r="D101">
        <f t="shared" si="16"/>
        <v>6.816</v>
      </c>
      <c r="E101">
        <f t="shared" si="17"/>
        <v>10.82</v>
      </c>
      <c r="F101">
        <f t="shared" si="18"/>
        <v>6.768</v>
      </c>
      <c r="G101">
        <f t="shared" si="19"/>
        <v>2.994</v>
      </c>
      <c r="H101">
        <f t="shared" si="20"/>
        <v>7.489</v>
      </c>
      <c r="I101">
        <f t="shared" si="21"/>
        <v>7.35</v>
      </c>
      <c r="J101">
        <f t="shared" si="22"/>
        <v>7.17</v>
      </c>
      <c r="K101">
        <f t="shared" si="23"/>
        <v>10.276</v>
      </c>
      <c r="L101">
        <f t="shared" si="24"/>
        <v>7.35</v>
      </c>
      <c r="N101">
        <v>6680</v>
      </c>
      <c r="O101">
        <v>9499</v>
      </c>
      <c r="P101">
        <v>6768</v>
      </c>
      <c r="Q101">
        <v>6816</v>
      </c>
      <c r="R101">
        <v>10820</v>
      </c>
      <c r="S101">
        <v>6768</v>
      </c>
      <c r="T101">
        <v>2994</v>
      </c>
      <c r="U101">
        <v>7489</v>
      </c>
      <c r="V101">
        <v>7350</v>
      </c>
      <c r="W101">
        <v>7170</v>
      </c>
      <c r="X101">
        <v>10276</v>
      </c>
      <c r="Y101">
        <v>7350</v>
      </c>
      <c r="AA101" t="s">
        <v>2366</v>
      </c>
      <c r="AC101">
        <v>6637</v>
      </c>
      <c r="AE101">
        <v>6795</v>
      </c>
      <c r="AG101" t="s">
        <v>2367</v>
      </c>
      <c r="AI101">
        <v>2981</v>
      </c>
      <c r="AK101">
        <v>7032</v>
      </c>
      <c r="AP101" t="s">
        <v>2368</v>
      </c>
      <c r="AR101">
        <v>9253</v>
      </c>
      <c r="AT101">
        <v>10482</v>
      </c>
      <c r="AV101" t="s">
        <v>2369</v>
      </c>
      <c r="AX101">
        <v>7412</v>
      </c>
      <c r="AZ101">
        <v>10086</v>
      </c>
      <c r="BB101" t="s">
        <v>2370</v>
      </c>
      <c r="BD101">
        <v>6731</v>
      </c>
      <c r="BF101">
        <v>6731</v>
      </c>
      <c r="BH101" t="s">
        <v>2371</v>
      </c>
      <c r="BJ101">
        <v>7285</v>
      </c>
      <c r="BL101">
        <v>7285</v>
      </c>
    </row>
    <row r="102" spans="1:64">
      <c r="A102">
        <f t="shared" si="13"/>
        <v>6.681</v>
      </c>
      <c r="B102">
        <f t="shared" si="14"/>
        <v>9.511</v>
      </c>
      <c r="C102">
        <f t="shared" si="15"/>
        <v>6.77</v>
      </c>
      <c r="D102">
        <f t="shared" si="16"/>
        <v>6.816</v>
      </c>
      <c r="E102">
        <f t="shared" si="17"/>
        <v>10.852</v>
      </c>
      <c r="F102">
        <f t="shared" si="18"/>
        <v>6.77</v>
      </c>
      <c r="G102">
        <f t="shared" si="19"/>
        <v>2.995</v>
      </c>
      <c r="H102">
        <f t="shared" si="20"/>
        <v>7.49</v>
      </c>
      <c r="I102">
        <f t="shared" si="21"/>
        <v>7.351</v>
      </c>
      <c r="J102">
        <f t="shared" si="22"/>
        <v>7.175</v>
      </c>
      <c r="K102">
        <f t="shared" si="23"/>
        <v>10.304</v>
      </c>
      <c r="L102">
        <f t="shared" si="24"/>
        <v>7.351</v>
      </c>
      <c r="N102">
        <v>6681</v>
      </c>
      <c r="O102">
        <v>9511</v>
      </c>
      <c r="P102">
        <v>6770</v>
      </c>
      <c r="Q102">
        <v>6816</v>
      </c>
      <c r="R102">
        <v>10852</v>
      </c>
      <c r="S102">
        <v>6770</v>
      </c>
      <c r="T102">
        <v>2995</v>
      </c>
      <c r="U102">
        <v>7490</v>
      </c>
      <c r="V102">
        <v>7351</v>
      </c>
      <c r="W102">
        <v>7175</v>
      </c>
      <c r="X102">
        <v>10304</v>
      </c>
      <c r="Y102">
        <v>7351</v>
      </c>
      <c r="AA102" t="s">
        <v>2372</v>
      </c>
      <c r="AC102">
        <v>6644</v>
      </c>
      <c r="AE102">
        <v>6797</v>
      </c>
      <c r="AG102" t="s">
        <v>2373</v>
      </c>
      <c r="AI102">
        <v>2986</v>
      </c>
      <c r="AK102">
        <v>7049</v>
      </c>
      <c r="AP102" t="s">
        <v>2374</v>
      </c>
      <c r="AR102">
        <v>9259</v>
      </c>
      <c r="AT102">
        <v>10695</v>
      </c>
      <c r="AV102" t="s">
        <v>2375</v>
      </c>
      <c r="AX102">
        <v>7443</v>
      </c>
      <c r="AZ102">
        <v>10116</v>
      </c>
      <c r="BB102" t="s">
        <v>2376</v>
      </c>
      <c r="BD102">
        <v>6736</v>
      </c>
      <c r="BF102">
        <v>6736</v>
      </c>
      <c r="BH102" t="s">
        <v>2377</v>
      </c>
      <c r="BJ102">
        <v>7288</v>
      </c>
      <c r="BL102">
        <v>7288</v>
      </c>
    </row>
    <row r="103" spans="1:64">
      <c r="A103">
        <f t="shared" si="13"/>
        <v>6.684</v>
      </c>
      <c r="B103">
        <f t="shared" si="14"/>
        <v>9.601</v>
      </c>
      <c r="C103">
        <f t="shared" si="15"/>
        <v>6.774</v>
      </c>
      <c r="D103">
        <f t="shared" si="16"/>
        <v>6.816</v>
      </c>
      <c r="E103">
        <f t="shared" si="17"/>
        <v>10.91</v>
      </c>
      <c r="F103">
        <f t="shared" si="18"/>
        <v>6.774</v>
      </c>
      <c r="G103">
        <f t="shared" si="19"/>
        <v>2.995</v>
      </c>
      <c r="H103">
        <f t="shared" si="20"/>
        <v>7.515</v>
      </c>
      <c r="I103">
        <f t="shared" si="21"/>
        <v>7.352</v>
      </c>
      <c r="J103">
        <f t="shared" si="22"/>
        <v>7.18</v>
      </c>
      <c r="K103">
        <f t="shared" si="23"/>
        <v>10.339</v>
      </c>
      <c r="L103">
        <f t="shared" si="24"/>
        <v>7.352</v>
      </c>
      <c r="N103">
        <v>6684</v>
      </c>
      <c r="O103">
        <v>9601</v>
      </c>
      <c r="P103">
        <v>6774</v>
      </c>
      <c r="Q103">
        <v>6816</v>
      </c>
      <c r="R103">
        <v>10910</v>
      </c>
      <c r="S103">
        <v>6774</v>
      </c>
      <c r="T103">
        <v>2995</v>
      </c>
      <c r="U103">
        <v>7515</v>
      </c>
      <c r="V103">
        <v>7352</v>
      </c>
      <c r="W103">
        <v>7180</v>
      </c>
      <c r="X103">
        <v>10339</v>
      </c>
      <c r="Y103">
        <v>7352</v>
      </c>
      <c r="AA103" t="s">
        <v>2378</v>
      </c>
      <c r="AC103">
        <v>6657</v>
      </c>
      <c r="AE103">
        <v>6801</v>
      </c>
      <c r="AG103" t="s">
        <v>2379</v>
      </c>
      <c r="AI103">
        <v>2987</v>
      </c>
      <c r="AK103">
        <v>7091</v>
      </c>
      <c r="AP103" t="s">
        <v>2380</v>
      </c>
      <c r="AR103">
        <v>9277</v>
      </c>
      <c r="AT103">
        <v>10758</v>
      </c>
      <c r="AV103" t="s">
        <v>2381</v>
      </c>
      <c r="AX103">
        <v>7465</v>
      </c>
      <c r="AZ103">
        <v>10141</v>
      </c>
      <c r="BB103" t="s">
        <v>2382</v>
      </c>
      <c r="BD103">
        <v>6738</v>
      </c>
      <c r="BF103">
        <v>6738</v>
      </c>
      <c r="BH103" t="s">
        <v>2383</v>
      </c>
      <c r="BJ103">
        <v>7289</v>
      </c>
      <c r="BL103">
        <v>7289</v>
      </c>
    </row>
    <row r="104" spans="1:64">
      <c r="A104">
        <f t="shared" si="13"/>
        <v>6.689</v>
      </c>
      <c r="B104">
        <f t="shared" si="14"/>
        <v>9.616</v>
      </c>
      <c r="C104">
        <f t="shared" si="15"/>
        <v>6.781</v>
      </c>
      <c r="D104">
        <f t="shared" si="16"/>
        <v>6.824</v>
      </c>
      <c r="E104">
        <f t="shared" si="17"/>
        <v>10.973</v>
      </c>
      <c r="F104">
        <f t="shared" si="18"/>
        <v>6.781</v>
      </c>
      <c r="G104">
        <f t="shared" si="19"/>
        <v>2.997</v>
      </c>
      <c r="H104">
        <f t="shared" si="20"/>
        <v>7.524</v>
      </c>
      <c r="I104">
        <f t="shared" si="21"/>
        <v>7.352</v>
      </c>
      <c r="J104">
        <f t="shared" si="22"/>
        <v>7.212</v>
      </c>
      <c r="K104">
        <f t="shared" si="23"/>
        <v>10.388</v>
      </c>
      <c r="L104">
        <f t="shared" si="24"/>
        <v>7.352</v>
      </c>
      <c r="N104">
        <v>6689</v>
      </c>
      <c r="O104">
        <v>9616</v>
      </c>
      <c r="P104">
        <v>6781</v>
      </c>
      <c r="Q104">
        <v>6824</v>
      </c>
      <c r="R104">
        <v>10973</v>
      </c>
      <c r="S104">
        <v>6781</v>
      </c>
      <c r="T104">
        <v>2997</v>
      </c>
      <c r="U104">
        <v>7524</v>
      </c>
      <c r="V104">
        <v>7352</v>
      </c>
      <c r="W104">
        <v>7212</v>
      </c>
      <c r="X104">
        <v>10388</v>
      </c>
      <c r="Y104">
        <v>7352</v>
      </c>
      <c r="AA104" t="s">
        <v>2384</v>
      </c>
      <c r="AC104">
        <v>6660</v>
      </c>
      <c r="AE104">
        <v>6801</v>
      </c>
      <c r="AG104" t="s">
        <v>2385</v>
      </c>
      <c r="AI104">
        <v>2987</v>
      </c>
      <c r="AK104">
        <v>7134</v>
      </c>
      <c r="AP104" t="s">
        <v>2386</v>
      </c>
      <c r="AR104">
        <v>9319</v>
      </c>
      <c r="AT104">
        <v>10760</v>
      </c>
      <c r="AV104" t="s">
        <v>2387</v>
      </c>
      <c r="AX104">
        <v>7471</v>
      </c>
      <c r="AZ104">
        <v>10160</v>
      </c>
      <c r="BB104" t="s">
        <v>2388</v>
      </c>
      <c r="BD104">
        <v>6745</v>
      </c>
      <c r="BF104">
        <v>6745</v>
      </c>
      <c r="BH104" t="s">
        <v>2389</v>
      </c>
      <c r="BJ104">
        <v>7299</v>
      </c>
      <c r="BL104">
        <v>7299</v>
      </c>
    </row>
    <row r="105" spans="1:64">
      <c r="A105">
        <f t="shared" si="13"/>
        <v>6.697</v>
      </c>
      <c r="B105">
        <f t="shared" si="14"/>
        <v>9.716</v>
      </c>
      <c r="C105">
        <f t="shared" si="15"/>
        <v>6.789</v>
      </c>
      <c r="D105">
        <f t="shared" si="16"/>
        <v>6.837</v>
      </c>
      <c r="E105">
        <f t="shared" si="17"/>
        <v>10.992</v>
      </c>
      <c r="F105">
        <f t="shared" si="18"/>
        <v>6.789</v>
      </c>
      <c r="G105">
        <f t="shared" si="19"/>
        <v>2.998</v>
      </c>
      <c r="H105">
        <f t="shared" si="20"/>
        <v>7.525</v>
      </c>
      <c r="I105">
        <f t="shared" si="21"/>
        <v>7.388</v>
      </c>
      <c r="J105">
        <f t="shared" si="22"/>
        <v>7.22</v>
      </c>
      <c r="K105">
        <f t="shared" si="23"/>
        <v>10.402</v>
      </c>
      <c r="L105">
        <f t="shared" si="24"/>
        <v>7.388</v>
      </c>
      <c r="N105">
        <v>6697</v>
      </c>
      <c r="O105">
        <v>9716</v>
      </c>
      <c r="P105">
        <v>6789</v>
      </c>
      <c r="Q105">
        <v>6837</v>
      </c>
      <c r="R105">
        <v>10992</v>
      </c>
      <c r="S105">
        <v>6789</v>
      </c>
      <c r="T105">
        <v>2998</v>
      </c>
      <c r="U105">
        <v>7525</v>
      </c>
      <c r="V105">
        <v>7388</v>
      </c>
      <c r="W105">
        <v>7220</v>
      </c>
      <c r="X105">
        <v>10402</v>
      </c>
      <c r="Y105">
        <v>7388</v>
      </c>
      <c r="AA105" t="s">
        <v>2390</v>
      </c>
      <c r="AC105">
        <v>6664</v>
      </c>
      <c r="AE105">
        <v>6802</v>
      </c>
      <c r="AG105" t="s">
        <v>2391</v>
      </c>
      <c r="AI105">
        <v>2988</v>
      </c>
      <c r="AK105">
        <v>7140</v>
      </c>
      <c r="AP105" t="s">
        <v>2392</v>
      </c>
      <c r="AR105">
        <v>9325</v>
      </c>
      <c r="AT105">
        <v>10808</v>
      </c>
      <c r="AV105" t="s">
        <v>2393</v>
      </c>
      <c r="AX105">
        <v>7472</v>
      </c>
      <c r="AZ105">
        <v>10174</v>
      </c>
      <c r="BB105" t="s">
        <v>2394</v>
      </c>
      <c r="BD105">
        <v>6749</v>
      </c>
      <c r="BF105">
        <v>6749</v>
      </c>
      <c r="BH105" t="s">
        <v>2395</v>
      </c>
      <c r="BJ105">
        <v>7308</v>
      </c>
      <c r="BL105">
        <v>7308</v>
      </c>
    </row>
    <row r="106" spans="1:64">
      <c r="A106">
        <f t="shared" si="13"/>
        <v>6.7</v>
      </c>
      <c r="B106">
        <f t="shared" si="14"/>
        <v>9.78</v>
      </c>
      <c r="C106">
        <f t="shared" si="15"/>
        <v>6.791</v>
      </c>
      <c r="D106">
        <f t="shared" si="16"/>
        <v>6.844</v>
      </c>
      <c r="E106">
        <f t="shared" si="17"/>
        <v>10.997</v>
      </c>
      <c r="F106">
        <f t="shared" si="18"/>
        <v>6.791</v>
      </c>
      <c r="G106">
        <f t="shared" si="19"/>
        <v>2.998</v>
      </c>
      <c r="H106">
        <f t="shared" si="20"/>
        <v>7.528</v>
      </c>
      <c r="I106">
        <f t="shared" si="21"/>
        <v>7.389</v>
      </c>
      <c r="J106">
        <f t="shared" si="22"/>
        <v>7.245</v>
      </c>
      <c r="K106">
        <f t="shared" si="23"/>
        <v>10.415</v>
      </c>
      <c r="L106">
        <f t="shared" si="24"/>
        <v>7.389</v>
      </c>
      <c r="N106">
        <v>6700</v>
      </c>
      <c r="O106">
        <v>9780</v>
      </c>
      <c r="P106">
        <v>6791</v>
      </c>
      <c r="Q106">
        <v>6844</v>
      </c>
      <c r="R106">
        <v>10997</v>
      </c>
      <c r="S106">
        <v>6791</v>
      </c>
      <c r="T106">
        <v>2998</v>
      </c>
      <c r="U106">
        <v>7528</v>
      </c>
      <c r="V106">
        <v>7389</v>
      </c>
      <c r="W106">
        <v>7245</v>
      </c>
      <c r="X106">
        <v>10415</v>
      </c>
      <c r="Y106">
        <v>7389</v>
      </c>
      <c r="AA106" t="s">
        <v>2396</v>
      </c>
      <c r="AC106">
        <v>6667</v>
      </c>
      <c r="AE106">
        <v>6804</v>
      </c>
      <c r="AG106" t="s">
        <v>2397</v>
      </c>
      <c r="AI106">
        <v>2991</v>
      </c>
      <c r="AK106">
        <v>7153</v>
      </c>
      <c r="AP106" t="s">
        <v>2398</v>
      </c>
      <c r="AR106">
        <v>9365</v>
      </c>
      <c r="AT106">
        <v>10813</v>
      </c>
      <c r="AV106" t="s">
        <v>2399</v>
      </c>
      <c r="AX106">
        <v>7482</v>
      </c>
      <c r="AZ106">
        <v>10247</v>
      </c>
      <c r="BB106" t="s">
        <v>2400</v>
      </c>
      <c r="BD106">
        <v>6750</v>
      </c>
      <c r="BF106">
        <v>6750</v>
      </c>
      <c r="BH106" t="s">
        <v>2401</v>
      </c>
      <c r="BJ106">
        <v>7308</v>
      </c>
      <c r="BL106">
        <v>7308</v>
      </c>
    </row>
    <row r="107" spans="1:64">
      <c r="A107">
        <f t="shared" si="13"/>
        <v>6.702</v>
      </c>
      <c r="B107">
        <f t="shared" si="14"/>
        <v>9.844</v>
      </c>
      <c r="C107">
        <f t="shared" si="15"/>
        <v>6.801</v>
      </c>
      <c r="D107">
        <f t="shared" si="16"/>
        <v>6.844</v>
      </c>
      <c r="E107">
        <f t="shared" si="17"/>
        <v>11.015</v>
      </c>
      <c r="F107">
        <f t="shared" si="18"/>
        <v>6.801</v>
      </c>
      <c r="G107">
        <f t="shared" si="19"/>
        <v>2.998</v>
      </c>
      <c r="H107">
        <f t="shared" si="20"/>
        <v>7.535</v>
      </c>
      <c r="I107">
        <f t="shared" si="21"/>
        <v>7.415</v>
      </c>
      <c r="J107">
        <f t="shared" si="22"/>
        <v>7.27</v>
      </c>
      <c r="K107">
        <f t="shared" si="23"/>
        <v>10.431</v>
      </c>
      <c r="L107">
        <f t="shared" si="24"/>
        <v>7.415</v>
      </c>
      <c r="N107">
        <v>6702</v>
      </c>
      <c r="O107">
        <v>9844</v>
      </c>
      <c r="P107">
        <v>6801</v>
      </c>
      <c r="Q107">
        <v>6844</v>
      </c>
      <c r="R107">
        <v>11015</v>
      </c>
      <c r="S107">
        <v>6801</v>
      </c>
      <c r="T107">
        <v>2998</v>
      </c>
      <c r="U107">
        <v>7535</v>
      </c>
      <c r="V107">
        <v>7415</v>
      </c>
      <c r="W107">
        <v>7270</v>
      </c>
      <c r="X107">
        <v>10431</v>
      </c>
      <c r="Y107">
        <v>7415</v>
      </c>
      <c r="AA107" t="s">
        <v>2402</v>
      </c>
      <c r="AC107">
        <v>6668</v>
      </c>
      <c r="AE107">
        <v>6804</v>
      </c>
      <c r="AG107" t="s">
        <v>2403</v>
      </c>
      <c r="AI107">
        <v>2992</v>
      </c>
      <c r="AK107">
        <v>7156</v>
      </c>
      <c r="AP107" t="s">
        <v>2404</v>
      </c>
      <c r="AR107">
        <v>9372</v>
      </c>
      <c r="AT107">
        <v>10818</v>
      </c>
      <c r="AV107" t="s">
        <v>2405</v>
      </c>
      <c r="AX107">
        <v>7483</v>
      </c>
      <c r="AZ107">
        <v>10258</v>
      </c>
      <c r="BB107" t="s">
        <v>2406</v>
      </c>
      <c r="BD107">
        <v>6755</v>
      </c>
      <c r="BF107">
        <v>6755</v>
      </c>
      <c r="BH107" t="s">
        <v>2407</v>
      </c>
      <c r="BJ107">
        <v>7313</v>
      </c>
      <c r="BL107">
        <v>7313</v>
      </c>
    </row>
    <row r="108" spans="1:64">
      <c r="A108">
        <f t="shared" si="13"/>
        <v>6.704</v>
      </c>
      <c r="B108">
        <f t="shared" si="14"/>
        <v>9.866</v>
      </c>
      <c r="C108">
        <f t="shared" si="15"/>
        <v>6.802</v>
      </c>
      <c r="D108">
        <f t="shared" si="16"/>
        <v>6.847</v>
      </c>
      <c r="E108">
        <f t="shared" si="17"/>
        <v>11.021</v>
      </c>
      <c r="F108">
        <f t="shared" si="18"/>
        <v>6.802</v>
      </c>
      <c r="G108">
        <f t="shared" si="19"/>
        <v>3</v>
      </c>
      <c r="H108">
        <f t="shared" si="20"/>
        <v>7.537</v>
      </c>
      <c r="I108">
        <f t="shared" si="21"/>
        <v>7.431</v>
      </c>
      <c r="J108">
        <f t="shared" si="22"/>
        <v>7.302</v>
      </c>
      <c r="K108">
        <f t="shared" si="23"/>
        <v>10.44</v>
      </c>
      <c r="L108">
        <f t="shared" si="24"/>
        <v>7.431</v>
      </c>
      <c r="N108">
        <v>6704</v>
      </c>
      <c r="O108">
        <v>9866</v>
      </c>
      <c r="P108">
        <v>6802</v>
      </c>
      <c r="Q108">
        <v>6847</v>
      </c>
      <c r="R108">
        <v>11021</v>
      </c>
      <c r="S108">
        <v>6802</v>
      </c>
      <c r="T108">
        <v>3000</v>
      </c>
      <c r="U108">
        <v>7537</v>
      </c>
      <c r="V108">
        <v>7431</v>
      </c>
      <c r="W108">
        <v>7302</v>
      </c>
      <c r="X108">
        <v>10440</v>
      </c>
      <c r="Y108">
        <v>7431</v>
      </c>
      <c r="AA108" t="s">
        <v>2408</v>
      </c>
      <c r="AC108">
        <v>6678</v>
      </c>
      <c r="AE108">
        <v>6805</v>
      </c>
      <c r="AG108" t="s">
        <v>2409</v>
      </c>
      <c r="AI108">
        <v>2993</v>
      </c>
      <c r="AK108">
        <v>7169</v>
      </c>
      <c r="AP108" t="s">
        <v>2410</v>
      </c>
      <c r="AR108">
        <v>9499</v>
      </c>
      <c r="AT108">
        <v>10820</v>
      </c>
      <c r="AV108" t="s">
        <v>2411</v>
      </c>
      <c r="AX108">
        <v>7489</v>
      </c>
      <c r="AZ108">
        <v>10276</v>
      </c>
      <c r="BB108" t="s">
        <v>2412</v>
      </c>
      <c r="BD108">
        <v>6763</v>
      </c>
      <c r="BF108">
        <v>6763</v>
      </c>
      <c r="BH108" t="s">
        <v>2413</v>
      </c>
      <c r="BJ108">
        <v>7346</v>
      </c>
      <c r="BL108">
        <v>7346</v>
      </c>
    </row>
    <row r="109" spans="1:64">
      <c r="A109">
        <f t="shared" si="13"/>
        <v>6.716</v>
      </c>
      <c r="B109">
        <f t="shared" si="14"/>
        <v>9.908</v>
      </c>
      <c r="C109">
        <f t="shared" si="15"/>
        <v>6.803</v>
      </c>
      <c r="D109">
        <f t="shared" si="16"/>
        <v>6.847</v>
      </c>
      <c r="E109">
        <f t="shared" si="17"/>
        <v>11.043</v>
      </c>
      <c r="F109">
        <f t="shared" si="18"/>
        <v>6.803</v>
      </c>
      <c r="G109">
        <f t="shared" si="19"/>
        <v>3</v>
      </c>
      <c r="H109">
        <f t="shared" si="20"/>
        <v>7.547</v>
      </c>
      <c r="I109">
        <f t="shared" si="21"/>
        <v>7.44</v>
      </c>
      <c r="J109">
        <f t="shared" si="22"/>
        <v>7.303</v>
      </c>
      <c r="K109">
        <f t="shared" si="23"/>
        <v>10.482</v>
      </c>
      <c r="L109">
        <f t="shared" si="24"/>
        <v>7.44</v>
      </c>
      <c r="N109">
        <v>6716</v>
      </c>
      <c r="O109">
        <v>9908</v>
      </c>
      <c r="P109">
        <v>6803</v>
      </c>
      <c r="Q109">
        <v>6847</v>
      </c>
      <c r="R109">
        <v>11043</v>
      </c>
      <c r="S109">
        <v>6803</v>
      </c>
      <c r="T109">
        <v>3000</v>
      </c>
      <c r="U109">
        <v>7547</v>
      </c>
      <c r="V109">
        <v>7440</v>
      </c>
      <c r="W109">
        <v>7303</v>
      </c>
      <c r="X109">
        <v>10482</v>
      </c>
      <c r="Y109">
        <v>7440</v>
      </c>
      <c r="AA109" t="s">
        <v>2414</v>
      </c>
      <c r="AC109">
        <v>6680</v>
      </c>
      <c r="AE109">
        <v>6816</v>
      </c>
      <c r="AG109" t="s">
        <v>2415</v>
      </c>
      <c r="AI109">
        <v>2994</v>
      </c>
      <c r="AK109">
        <v>7170</v>
      </c>
      <c r="AP109" t="s">
        <v>2416</v>
      </c>
      <c r="AR109">
        <v>9511</v>
      </c>
      <c r="AT109">
        <v>10852</v>
      </c>
      <c r="AV109" t="s">
        <v>2417</v>
      </c>
      <c r="AX109">
        <v>7490</v>
      </c>
      <c r="AZ109">
        <v>10304</v>
      </c>
      <c r="BB109" t="s">
        <v>2418</v>
      </c>
      <c r="BD109">
        <v>6768</v>
      </c>
      <c r="BF109">
        <v>6768</v>
      </c>
      <c r="BH109" t="s">
        <v>2419</v>
      </c>
      <c r="BJ109">
        <v>7350</v>
      </c>
      <c r="BL109">
        <v>7350</v>
      </c>
    </row>
    <row r="110" spans="1:64">
      <c r="A110">
        <f t="shared" si="13"/>
        <v>6.718</v>
      </c>
      <c r="B110">
        <f t="shared" si="14"/>
        <v>9.988</v>
      </c>
      <c r="C110">
        <f t="shared" si="15"/>
        <v>6.807</v>
      </c>
      <c r="D110">
        <f t="shared" si="16"/>
        <v>6.848</v>
      </c>
      <c r="E110">
        <f t="shared" si="17"/>
        <v>11.057</v>
      </c>
      <c r="F110">
        <f t="shared" si="18"/>
        <v>6.807</v>
      </c>
      <c r="G110">
        <f t="shared" si="19"/>
        <v>3.002</v>
      </c>
      <c r="H110">
        <f t="shared" si="20"/>
        <v>7.555</v>
      </c>
      <c r="I110">
        <f t="shared" si="21"/>
        <v>7.446</v>
      </c>
      <c r="J110">
        <f t="shared" si="22"/>
        <v>7.305</v>
      </c>
      <c r="K110">
        <f t="shared" si="23"/>
        <v>10.522</v>
      </c>
      <c r="L110">
        <f t="shared" si="24"/>
        <v>7.446</v>
      </c>
      <c r="N110">
        <v>6718</v>
      </c>
      <c r="O110">
        <v>9988</v>
      </c>
      <c r="P110">
        <v>6807</v>
      </c>
      <c r="Q110">
        <v>6848</v>
      </c>
      <c r="R110">
        <v>11057</v>
      </c>
      <c r="S110">
        <v>6807</v>
      </c>
      <c r="T110">
        <v>3002</v>
      </c>
      <c r="U110">
        <v>7555</v>
      </c>
      <c r="V110">
        <v>7446</v>
      </c>
      <c r="W110">
        <v>7305</v>
      </c>
      <c r="X110">
        <v>10522</v>
      </c>
      <c r="Y110">
        <v>7446</v>
      </c>
      <c r="AA110" t="s">
        <v>2420</v>
      </c>
      <c r="AC110">
        <v>6681</v>
      </c>
      <c r="AE110">
        <v>6816</v>
      </c>
      <c r="AG110" t="s">
        <v>2421</v>
      </c>
      <c r="AI110">
        <v>2995</v>
      </c>
      <c r="AK110">
        <v>7175</v>
      </c>
      <c r="AP110" t="s">
        <v>2422</v>
      </c>
      <c r="AR110">
        <v>9601</v>
      </c>
      <c r="AT110">
        <v>10910</v>
      </c>
      <c r="AV110" t="s">
        <v>2423</v>
      </c>
      <c r="AX110">
        <v>7515</v>
      </c>
      <c r="AZ110">
        <v>10339</v>
      </c>
      <c r="BB110" t="s">
        <v>2424</v>
      </c>
      <c r="BD110">
        <v>6770</v>
      </c>
      <c r="BF110">
        <v>6770</v>
      </c>
      <c r="BH110" t="s">
        <v>2425</v>
      </c>
      <c r="BJ110">
        <v>7351</v>
      </c>
      <c r="BL110">
        <v>7351</v>
      </c>
    </row>
    <row r="111" spans="1:64">
      <c r="A111">
        <f t="shared" si="13"/>
        <v>6.735</v>
      </c>
      <c r="B111">
        <f t="shared" si="14"/>
        <v>10.01</v>
      </c>
      <c r="C111">
        <f t="shared" si="15"/>
        <v>6.808</v>
      </c>
      <c r="D111">
        <f t="shared" si="16"/>
        <v>6.858</v>
      </c>
      <c r="E111">
        <f t="shared" si="17"/>
        <v>11.06</v>
      </c>
      <c r="F111">
        <f t="shared" si="18"/>
        <v>6.808</v>
      </c>
      <c r="G111">
        <f t="shared" si="19"/>
        <v>3.002</v>
      </c>
      <c r="H111">
        <f t="shared" si="20"/>
        <v>7.567</v>
      </c>
      <c r="I111">
        <f t="shared" si="21"/>
        <v>7.448</v>
      </c>
      <c r="J111">
        <f t="shared" si="22"/>
        <v>7.319</v>
      </c>
      <c r="K111">
        <f t="shared" si="23"/>
        <v>10.559</v>
      </c>
      <c r="L111">
        <f t="shared" si="24"/>
        <v>7.448</v>
      </c>
      <c r="N111">
        <v>6735</v>
      </c>
      <c r="O111">
        <v>10010</v>
      </c>
      <c r="P111">
        <v>6808</v>
      </c>
      <c r="Q111">
        <v>6858</v>
      </c>
      <c r="R111">
        <v>11060</v>
      </c>
      <c r="S111">
        <v>6808</v>
      </c>
      <c r="T111">
        <v>3002</v>
      </c>
      <c r="U111">
        <v>7567</v>
      </c>
      <c r="V111">
        <v>7448</v>
      </c>
      <c r="W111">
        <v>7319</v>
      </c>
      <c r="X111">
        <v>10559</v>
      </c>
      <c r="Y111">
        <v>7448</v>
      </c>
      <c r="AA111" t="s">
        <v>2426</v>
      </c>
      <c r="AC111">
        <v>6684</v>
      </c>
      <c r="AE111">
        <v>6816</v>
      </c>
      <c r="AG111" t="s">
        <v>2427</v>
      </c>
      <c r="AI111">
        <v>2995</v>
      </c>
      <c r="AK111">
        <v>7180</v>
      </c>
      <c r="AP111" t="s">
        <v>2428</v>
      </c>
      <c r="AR111">
        <v>9616</v>
      </c>
      <c r="AT111">
        <v>10973</v>
      </c>
      <c r="AV111" t="s">
        <v>2429</v>
      </c>
      <c r="AX111">
        <v>7524</v>
      </c>
      <c r="AZ111">
        <v>10388</v>
      </c>
      <c r="BB111" t="s">
        <v>2430</v>
      </c>
      <c r="BD111">
        <v>6774</v>
      </c>
      <c r="BF111">
        <v>6774</v>
      </c>
      <c r="BH111" t="s">
        <v>2431</v>
      </c>
      <c r="BJ111">
        <v>7352</v>
      </c>
      <c r="BL111">
        <v>7352</v>
      </c>
    </row>
    <row r="112" spans="1:64">
      <c r="A112">
        <f t="shared" si="13"/>
        <v>6.735</v>
      </c>
      <c r="B112">
        <f t="shared" si="14"/>
        <v>10.051</v>
      </c>
      <c r="C112">
        <f t="shared" si="15"/>
        <v>6.812</v>
      </c>
      <c r="D112">
        <f t="shared" si="16"/>
        <v>6.862</v>
      </c>
      <c r="E112">
        <f t="shared" si="17"/>
        <v>11.063</v>
      </c>
      <c r="F112">
        <f t="shared" si="18"/>
        <v>6.812</v>
      </c>
      <c r="G112">
        <f t="shared" si="19"/>
        <v>3.003</v>
      </c>
      <c r="H112">
        <f t="shared" si="20"/>
        <v>7.572</v>
      </c>
      <c r="I112">
        <f t="shared" si="21"/>
        <v>7.472</v>
      </c>
      <c r="J112">
        <f t="shared" si="22"/>
        <v>7.32</v>
      </c>
      <c r="K112">
        <f t="shared" si="23"/>
        <v>10.649</v>
      </c>
      <c r="L112">
        <f t="shared" si="24"/>
        <v>7.472</v>
      </c>
      <c r="N112">
        <v>6735</v>
      </c>
      <c r="O112">
        <v>10051</v>
      </c>
      <c r="P112">
        <v>6812</v>
      </c>
      <c r="Q112">
        <v>6862</v>
      </c>
      <c r="R112">
        <v>11063</v>
      </c>
      <c r="S112">
        <v>6812</v>
      </c>
      <c r="T112">
        <v>3003</v>
      </c>
      <c r="U112">
        <v>7572</v>
      </c>
      <c r="V112">
        <v>7472</v>
      </c>
      <c r="W112">
        <v>7320</v>
      </c>
      <c r="X112">
        <v>10649</v>
      </c>
      <c r="Y112">
        <v>7472</v>
      </c>
      <c r="AA112" t="s">
        <v>2432</v>
      </c>
      <c r="AC112">
        <v>6689</v>
      </c>
      <c r="AE112">
        <v>6824</v>
      </c>
      <c r="AG112" t="s">
        <v>2433</v>
      </c>
      <c r="AI112">
        <v>2997</v>
      </c>
      <c r="AK112">
        <v>7212</v>
      </c>
      <c r="AP112" t="s">
        <v>2434</v>
      </c>
      <c r="AR112">
        <v>9716</v>
      </c>
      <c r="AT112">
        <v>10992</v>
      </c>
      <c r="AV112" t="s">
        <v>2435</v>
      </c>
      <c r="AX112">
        <v>7525</v>
      </c>
      <c r="AZ112">
        <v>10402</v>
      </c>
      <c r="BB112" t="s">
        <v>2436</v>
      </c>
      <c r="BD112">
        <v>6781</v>
      </c>
      <c r="BF112">
        <v>6781</v>
      </c>
      <c r="BH112" t="s">
        <v>2437</v>
      </c>
      <c r="BJ112">
        <v>7352</v>
      </c>
      <c r="BL112">
        <v>7352</v>
      </c>
    </row>
    <row r="113" spans="1:64">
      <c r="A113">
        <f t="shared" si="13"/>
        <v>6.736</v>
      </c>
      <c r="B113">
        <f t="shared" si="14"/>
        <v>10.099</v>
      </c>
      <c r="C113">
        <f t="shared" si="15"/>
        <v>6.821</v>
      </c>
      <c r="D113">
        <f t="shared" si="16"/>
        <v>6.862</v>
      </c>
      <c r="E113">
        <f t="shared" si="17"/>
        <v>11.124</v>
      </c>
      <c r="F113">
        <f t="shared" si="18"/>
        <v>6.821</v>
      </c>
      <c r="G113">
        <f t="shared" si="19"/>
        <v>3.005</v>
      </c>
      <c r="H113">
        <f t="shared" si="20"/>
        <v>7.595</v>
      </c>
      <c r="I113">
        <f t="shared" si="21"/>
        <v>7.474</v>
      </c>
      <c r="J113">
        <f t="shared" si="22"/>
        <v>7.321</v>
      </c>
      <c r="K113">
        <f t="shared" si="23"/>
        <v>10.716</v>
      </c>
      <c r="L113">
        <f t="shared" si="24"/>
        <v>7.474</v>
      </c>
      <c r="N113">
        <v>6736</v>
      </c>
      <c r="O113">
        <v>10099</v>
      </c>
      <c r="P113">
        <v>6821</v>
      </c>
      <c r="Q113">
        <v>6862</v>
      </c>
      <c r="R113">
        <v>11124</v>
      </c>
      <c r="S113">
        <v>6821</v>
      </c>
      <c r="T113">
        <v>3005</v>
      </c>
      <c r="U113">
        <v>7595</v>
      </c>
      <c r="V113">
        <v>7474</v>
      </c>
      <c r="W113">
        <v>7321</v>
      </c>
      <c r="X113">
        <v>10716</v>
      </c>
      <c r="Y113">
        <v>7474</v>
      </c>
      <c r="AA113" t="s">
        <v>2438</v>
      </c>
      <c r="AC113">
        <v>6697</v>
      </c>
      <c r="AE113">
        <v>6837</v>
      </c>
      <c r="AG113" t="s">
        <v>2439</v>
      </c>
      <c r="AI113">
        <v>2998</v>
      </c>
      <c r="AK113">
        <v>7220</v>
      </c>
      <c r="AP113" t="s">
        <v>2440</v>
      </c>
      <c r="AR113">
        <v>9780</v>
      </c>
      <c r="AT113">
        <v>10997</v>
      </c>
      <c r="AV113" t="s">
        <v>2441</v>
      </c>
      <c r="AX113">
        <v>7528</v>
      </c>
      <c r="AZ113">
        <v>10415</v>
      </c>
      <c r="BB113" t="s">
        <v>2442</v>
      </c>
      <c r="BD113">
        <v>6789</v>
      </c>
      <c r="BF113">
        <v>6789</v>
      </c>
      <c r="BH113" t="s">
        <v>2443</v>
      </c>
      <c r="BJ113">
        <v>7388</v>
      </c>
      <c r="BL113">
        <v>7388</v>
      </c>
    </row>
    <row r="114" spans="1:64">
      <c r="A114">
        <f t="shared" si="13"/>
        <v>6.736</v>
      </c>
      <c r="B114">
        <f t="shared" si="14"/>
        <v>10.218</v>
      </c>
      <c r="C114">
        <f t="shared" si="15"/>
        <v>6.823</v>
      </c>
      <c r="D114">
        <f t="shared" si="16"/>
        <v>6.872</v>
      </c>
      <c r="E114">
        <f t="shared" si="17"/>
        <v>11.145</v>
      </c>
      <c r="F114">
        <f t="shared" si="18"/>
        <v>6.823</v>
      </c>
      <c r="G114">
        <f t="shared" si="19"/>
        <v>3.007</v>
      </c>
      <c r="H114">
        <f t="shared" si="20"/>
        <v>7.609</v>
      </c>
      <c r="I114">
        <f t="shared" si="21"/>
        <v>7.499</v>
      </c>
      <c r="J114">
        <f t="shared" si="22"/>
        <v>7.331</v>
      </c>
      <c r="K114">
        <f t="shared" si="23"/>
        <v>10.716</v>
      </c>
      <c r="L114">
        <f t="shared" si="24"/>
        <v>7.499</v>
      </c>
      <c r="N114">
        <v>6736</v>
      </c>
      <c r="O114">
        <v>10218</v>
      </c>
      <c r="P114">
        <v>6823</v>
      </c>
      <c r="Q114">
        <v>6872</v>
      </c>
      <c r="R114">
        <v>11145</v>
      </c>
      <c r="S114">
        <v>6823</v>
      </c>
      <c r="T114">
        <v>3007</v>
      </c>
      <c r="U114">
        <v>7609</v>
      </c>
      <c r="V114">
        <v>7499</v>
      </c>
      <c r="W114">
        <v>7331</v>
      </c>
      <c r="X114">
        <v>10716</v>
      </c>
      <c r="Y114">
        <v>7499</v>
      </c>
      <c r="AA114" t="s">
        <v>2444</v>
      </c>
      <c r="AC114">
        <v>6700</v>
      </c>
      <c r="AE114">
        <v>6844</v>
      </c>
      <c r="AG114" t="s">
        <v>2445</v>
      </c>
      <c r="AI114">
        <v>2998</v>
      </c>
      <c r="AK114">
        <v>7245</v>
      </c>
      <c r="AP114" t="s">
        <v>2446</v>
      </c>
      <c r="AR114">
        <v>9844</v>
      </c>
      <c r="AT114">
        <v>11015</v>
      </c>
      <c r="AV114" t="s">
        <v>2447</v>
      </c>
      <c r="AX114">
        <v>7535</v>
      </c>
      <c r="AZ114">
        <v>10431</v>
      </c>
      <c r="BB114" t="s">
        <v>2448</v>
      </c>
      <c r="BD114">
        <v>6791</v>
      </c>
      <c r="BF114">
        <v>6791</v>
      </c>
      <c r="BH114" t="s">
        <v>2449</v>
      </c>
      <c r="BJ114">
        <v>7389</v>
      </c>
      <c r="BL114">
        <v>7389</v>
      </c>
    </row>
    <row r="115" spans="1:64">
      <c r="A115">
        <f t="shared" si="13"/>
        <v>6.747</v>
      </c>
      <c r="B115">
        <f t="shared" si="14"/>
        <v>10.241</v>
      </c>
      <c r="C115">
        <f t="shared" si="15"/>
        <v>6.825</v>
      </c>
      <c r="D115">
        <f t="shared" si="16"/>
        <v>6.878</v>
      </c>
      <c r="E115">
        <f t="shared" si="17"/>
        <v>11.153</v>
      </c>
      <c r="F115">
        <f t="shared" si="18"/>
        <v>6.825</v>
      </c>
      <c r="G115">
        <f t="shared" si="19"/>
        <v>3.01</v>
      </c>
      <c r="H115">
        <f t="shared" si="20"/>
        <v>7.613</v>
      </c>
      <c r="I115">
        <f t="shared" si="21"/>
        <v>7.502</v>
      </c>
      <c r="J115">
        <f t="shared" si="22"/>
        <v>7.361</v>
      </c>
      <c r="K115">
        <f t="shared" si="23"/>
        <v>10.751</v>
      </c>
      <c r="L115">
        <f t="shared" si="24"/>
        <v>7.502</v>
      </c>
      <c r="N115">
        <v>6747</v>
      </c>
      <c r="O115">
        <v>10241</v>
      </c>
      <c r="P115">
        <v>6825</v>
      </c>
      <c r="Q115">
        <v>6878</v>
      </c>
      <c r="R115">
        <v>11153</v>
      </c>
      <c r="S115">
        <v>6825</v>
      </c>
      <c r="T115">
        <v>3010</v>
      </c>
      <c r="U115">
        <v>7613</v>
      </c>
      <c r="V115">
        <v>7502</v>
      </c>
      <c r="W115">
        <v>7361</v>
      </c>
      <c r="X115">
        <v>10751</v>
      </c>
      <c r="Y115">
        <v>7502</v>
      </c>
      <c r="AA115" t="s">
        <v>2450</v>
      </c>
      <c r="AC115">
        <v>6702</v>
      </c>
      <c r="AE115">
        <v>6844</v>
      </c>
      <c r="AG115" t="s">
        <v>2451</v>
      </c>
      <c r="AI115">
        <v>2998</v>
      </c>
      <c r="AK115">
        <v>7270</v>
      </c>
      <c r="AP115" t="s">
        <v>2452</v>
      </c>
      <c r="AR115">
        <v>9866</v>
      </c>
      <c r="AT115">
        <v>11021</v>
      </c>
      <c r="AV115" t="s">
        <v>2453</v>
      </c>
      <c r="AX115">
        <v>7537</v>
      </c>
      <c r="AZ115">
        <v>10440</v>
      </c>
      <c r="BB115" t="s">
        <v>2454</v>
      </c>
      <c r="BD115">
        <v>6801</v>
      </c>
      <c r="BF115">
        <v>6801</v>
      </c>
      <c r="BH115" t="s">
        <v>2455</v>
      </c>
      <c r="BJ115">
        <v>7415</v>
      </c>
      <c r="BL115">
        <v>7415</v>
      </c>
    </row>
    <row r="116" spans="1:64">
      <c r="A116">
        <f t="shared" si="13"/>
        <v>6.759</v>
      </c>
      <c r="B116">
        <f t="shared" si="14"/>
        <v>10.243</v>
      </c>
      <c r="C116">
        <f t="shared" si="15"/>
        <v>6.837</v>
      </c>
      <c r="D116">
        <f t="shared" si="16"/>
        <v>6.896</v>
      </c>
      <c r="E116">
        <f t="shared" si="17"/>
        <v>11.19</v>
      </c>
      <c r="F116">
        <f t="shared" si="18"/>
        <v>6.837</v>
      </c>
      <c r="G116">
        <f t="shared" si="19"/>
        <v>3.01</v>
      </c>
      <c r="H116">
        <f t="shared" si="20"/>
        <v>7.62</v>
      </c>
      <c r="I116">
        <f t="shared" si="21"/>
        <v>7.509</v>
      </c>
      <c r="J116">
        <f t="shared" si="22"/>
        <v>7.371</v>
      </c>
      <c r="K116">
        <f t="shared" si="23"/>
        <v>10.791</v>
      </c>
      <c r="L116">
        <f t="shared" si="24"/>
        <v>7.511</v>
      </c>
      <c r="N116">
        <v>6759</v>
      </c>
      <c r="O116">
        <v>10243</v>
      </c>
      <c r="P116">
        <v>6837</v>
      </c>
      <c r="Q116">
        <v>6896</v>
      </c>
      <c r="R116">
        <v>11190</v>
      </c>
      <c r="S116">
        <v>6837</v>
      </c>
      <c r="T116">
        <v>3010</v>
      </c>
      <c r="U116">
        <v>7620</v>
      </c>
      <c r="V116">
        <v>7509</v>
      </c>
      <c r="W116">
        <v>7371</v>
      </c>
      <c r="X116">
        <v>10791</v>
      </c>
      <c r="Y116">
        <v>7511</v>
      </c>
      <c r="AA116" t="s">
        <v>2456</v>
      </c>
      <c r="AC116">
        <v>6704</v>
      </c>
      <c r="AE116">
        <v>6847</v>
      </c>
      <c r="AG116" t="s">
        <v>2457</v>
      </c>
      <c r="AI116">
        <v>3000</v>
      </c>
      <c r="AK116">
        <v>7302</v>
      </c>
      <c r="AP116" t="s">
        <v>2458</v>
      </c>
      <c r="AR116">
        <v>9908</v>
      </c>
      <c r="AT116">
        <v>11043</v>
      </c>
      <c r="AV116" t="s">
        <v>2459</v>
      </c>
      <c r="AX116">
        <v>7547</v>
      </c>
      <c r="AZ116">
        <v>10482</v>
      </c>
      <c r="BB116" t="s">
        <v>2460</v>
      </c>
      <c r="BD116">
        <v>6802</v>
      </c>
      <c r="BF116">
        <v>6802</v>
      </c>
      <c r="BH116" t="s">
        <v>2461</v>
      </c>
      <c r="BJ116">
        <v>7431</v>
      </c>
      <c r="BL116">
        <v>7431</v>
      </c>
    </row>
    <row r="117" spans="1:64">
      <c r="A117">
        <f t="shared" si="13"/>
        <v>6.771</v>
      </c>
      <c r="B117">
        <f t="shared" si="14"/>
        <v>10.314</v>
      </c>
      <c r="C117">
        <f t="shared" si="15"/>
        <v>6.842</v>
      </c>
      <c r="D117">
        <f t="shared" si="16"/>
        <v>6.898</v>
      </c>
      <c r="E117">
        <f t="shared" si="17"/>
        <v>11.253</v>
      </c>
      <c r="F117">
        <f t="shared" si="18"/>
        <v>6.842</v>
      </c>
      <c r="G117">
        <f t="shared" si="19"/>
        <v>3.01</v>
      </c>
      <c r="H117">
        <f t="shared" si="20"/>
        <v>7.63</v>
      </c>
      <c r="I117">
        <f t="shared" si="21"/>
        <v>7.509</v>
      </c>
      <c r="J117">
        <f t="shared" si="22"/>
        <v>7.389</v>
      </c>
      <c r="K117">
        <f t="shared" si="23"/>
        <v>10.793</v>
      </c>
      <c r="L117">
        <f t="shared" si="24"/>
        <v>7.518</v>
      </c>
      <c r="N117">
        <v>6771</v>
      </c>
      <c r="O117">
        <v>10314</v>
      </c>
      <c r="P117">
        <v>6842</v>
      </c>
      <c r="Q117">
        <v>6898</v>
      </c>
      <c r="R117">
        <v>11253</v>
      </c>
      <c r="S117">
        <v>6842</v>
      </c>
      <c r="T117">
        <v>3010</v>
      </c>
      <c r="U117">
        <v>7630</v>
      </c>
      <c r="V117">
        <v>7509</v>
      </c>
      <c r="W117">
        <v>7389</v>
      </c>
      <c r="X117">
        <v>10793</v>
      </c>
      <c r="Y117">
        <v>7518</v>
      </c>
      <c r="AA117" t="s">
        <v>2462</v>
      </c>
      <c r="AC117">
        <v>6716</v>
      </c>
      <c r="AE117">
        <v>6847</v>
      </c>
      <c r="AG117" t="s">
        <v>2463</v>
      </c>
      <c r="AI117">
        <v>3000</v>
      </c>
      <c r="AK117">
        <v>7303</v>
      </c>
      <c r="AP117" t="s">
        <v>2464</v>
      </c>
      <c r="AR117">
        <v>9988</v>
      </c>
      <c r="AT117">
        <v>11057</v>
      </c>
      <c r="AV117" t="s">
        <v>2465</v>
      </c>
      <c r="AX117">
        <v>7555</v>
      </c>
      <c r="AZ117">
        <v>10522</v>
      </c>
      <c r="BB117" t="s">
        <v>2466</v>
      </c>
      <c r="BD117">
        <v>6803</v>
      </c>
      <c r="BF117">
        <v>6803</v>
      </c>
      <c r="BH117" t="s">
        <v>2467</v>
      </c>
      <c r="BJ117">
        <v>7440</v>
      </c>
      <c r="BL117">
        <v>7440</v>
      </c>
    </row>
    <row r="118" spans="1:64">
      <c r="A118">
        <f t="shared" si="13"/>
        <v>6.774</v>
      </c>
      <c r="B118">
        <f t="shared" si="14"/>
        <v>10.383</v>
      </c>
      <c r="C118">
        <f t="shared" si="15"/>
        <v>6.846</v>
      </c>
      <c r="D118">
        <f t="shared" si="16"/>
        <v>6.903</v>
      </c>
      <c r="E118">
        <f t="shared" si="17"/>
        <v>11.27</v>
      </c>
      <c r="F118">
        <f t="shared" si="18"/>
        <v>6.846</v>
      </c>
      <c r="G118">
        <f t="shared" si="19"/>
        <v>3.011</v>
      </c>
      <c r="H118">
        <f t="shared" si="20"/>
        <v>7.638</v>
      </c>
      <c r="I118">
        <f t="shared" si="21"/>
        <v>7.511</v>
      </c>
      <c r="J118">
        <f t="shared" si="22"/>
        <v>7.416</v>
      </c>
      <c r="K118">
        <f t="shared" si="23"/>
        <v>10.821</v>
      </c>
      <c r="L118">
        <f t="shared" si="24"/>
        <v>7.526</v>
      </c>
      <c r="N118">
        <v>6774</v>
      </c>
      <c r="O118">
        <v>10383</v>
      </c>
      <c r="P118">
        <v>6846</v>
      </c>
      <c r="Q118">
        <v>6903</v>
      </c>
      <c r="R118">
        <v>11270</v>
      </c>
      <c r="S118">
        <v>6846</v>
      </c>
      <c r="T118">
        <v>3011</v>
      </c>
      <c r="U118">
        <v>7638</v>
      </c>
      <c r="V118">
        <v>7511</v>
      </c>
      <c r="W118">
        <v>7416</v>
      </c>
      <c r="X118">
        <v>10821</v>
      </c>
      <c r="Y118">
        <v>7526</v>
      </c>
      <c r="AA118" t="s">
        <v>2468</v>
      </c>
      <c r="AC118">
        <v>6718</v>
      </c>
      <c r="AE118">
        <v>6848</v>
      </c>
      <c r="AG118" t="s">
        <v>2469</v>
      </c>
      <c r="AI118">
        <v>3002</v>
      </c>
      <c r="AK118">
        <v>7305</v>
      </c>
      <c r="AP118" t="s">
        <v>2470</v>
      </c>
      <c r="AR118">
        <v>10010</v>
      </c>
      <c r="AT118">
        <v>11060</v>
      </c>
      <c r="AV118" t="s">
        <v>2471</v>
      </c>
      <c r="AX118">
        <v>7567</v>
      </c>
      <c r="AZ118">
        <v>10559</v>
      </c>
      <c r="BB118" t="s">
        <v>2472</v>
      </c>
      <c r="BD118">
        <v>6807</v>
      </c>
      <c r="BF118">
        <v>6807</v>
      </c>
      <c r="BH118" t="s">
        <v>2473</v>
      </c>
      <c r="BJ118">
        <v>7446</v>
      </c>
      <c r="BL118">
        <v>7446</v>
      </c>
    </row>
    <row r="119" spans="1:64">
      <c r="A119">
        <f t="shared" si="13"/>
        <v>6.776</v>
      </c>
      <c r="B119">
        <f t="shared" si="14"/>
        <v>10.442</v>
      </c>
      <c r="C119">
        <f t="shared" si="15"/>
        <v>6.847</v>
      </c>
      <c r="D119">
        <f t="shared" si="16"/>
        <v>6.916</v>
      </c>
      <c r="E119">
        <f t="shared" si="17"/>
        <v>11.304</v>
      </c>
      <c r="F119">
        <f t="shared" si="18"/>
        <v>6.847</v>
      </c>
      <c r="G119">
        <f t="shared" si="19"/>
        <v>3.014</v>
      </c>
      <c r="H119">
        <f t="shared" si="20"/>
        <v>7.641</v>
      </c>
      <c r="I119">
        <f t="shared" si="21"/>
        <v>7.518</v>
      </c>
      <c r="J119">
        <f t="shared" si="22"/>
        <v>7.42</v>
      </c>
      <c r="K119">
        <f t="shared" si="23"/>
        <v>10.827</v>
      </c>
      <c r="L119">
        <f t="shared" si="24"/>
        <v>7.527</v>
      </c>
      <c r="N119">
        <v>6776</v>
      </c>
      <c r="O119">
        <v>10442</v>
      </c>
      <c r="P119">
        <v>6847</v>
      </c>
      <c r="Q119">
        <v>6916</v>
      </c>
      <c r="R119">
        <v>11304</v>
      </c>
      <c r="S119">
        <v>6847</v>
      </c>
      <c r="T119">
        <v>3014</v>
      </c>
      <c r="U119">
        <v>7641</v>
      </c>
      <c r="V119">
        <v>7518</v>
      </c>
      <c r="W119">
        <v>7420</v>
      </c>
      <c r="X119">
        <v>10827</v>
      </c>
      <c r="Y119">
        <v>7527</v>
      </c>
      <c r="AA119" t="s">
        <v>2474</v>
      </c>
      <c r="AC119">
        <v>6735</v>
      </c>
      <c r="AE119">
        <v>6858</v>
      </c>
      <c r="AG119" t="s">
        <v>2475</v>
      </c>
      <c r="AI119">
        <v>3002</v>
      </c>
      <c r="AK119">
        <v>7319</v>
      </c>
      <c r="AP119" t="s">
        <v>2476</v>
      </c>
      <c r="AR119">
        <v>10051</v>
      </c>
      <c r="AT119">
        <v>11063</v>
      </c>
      <c r="AV119" t="s">
        <v>2477</v>
      </c>
      <c r="AX119">
        <v>7572</v>
      </c>
      <c r="AZ119">
        <v>10649</v>
      </c>
      <c r="BB119" t="s">
        <v>2478</v>
      </c>
      <c r="BD119">
        <v>6808</v>
      </c>
      <c r="BF119">
        <v>6808</v>
      </c>
      <c r="BH119" t="s">
        <v>2479</v>
      </c>
      <c r="BJ119">
        <v>7448</v>
      </c>
      <c r="BL119">
        <v>7448</v>
      </c>
    </row>
    <row r="120" spans="1:64">
      <c r="A120">
        <f t="shared" si="13"/>
        <v>6.779</v>
      </c>
      <c r="B120">
        <f t="shared" si="14"/>
        <v>10.482</v>
      </c>
      <c r="C120">
        <f t="shared" si="15"/>
        <v>6.848</v>
      </c>
      <c r="D120">
        <f t="shared" si="16"/>
        <v>6.926</v>
      </c>
      <c r="E120">
        <f t="shared" si="17"/>
        <v>11.414</v>
      </c>
      <c r="F120">
        <f t="shared" si="18"/>
        <v>6.848</v>
      </c>
      <c r="G120">
        <f t="shared" si="19"/>
        <v>3.015</v>
      </c>
      <c r="H120">
        <f t="shared" si="20"/>
        <v>7.648</v>
      </c>
      <c r="I120">
        <f t="shared" si="21"/>
        <v>7.526</v>
      </c>
      <c r="J120">
        <f t="shared" si="22"/>
        <v>7.428</v>
      </c>
      <c r="K120">
        <f t="shared" si="23"/>
        <v>10.852</v>
      </c>
      <c r="L120">
        <f t="shared" si="24"/>
        <v>7.534</v>
      </c>
      <c r="N120">
        <v>6779</v>
      </c>
      <c r="O120">
        <v>10482</v>
      </c>
      <c r="P120">
        <v>6848</v>
      </c>
      <c r="Q120">
        <v>6926</v>
      </c>
      <c r="R120">
        <v>11414</v>
      </c>
      <c r="S120">
        <v>6848</v>
      </c>
      <c r="T120">
        <v>3015</v>
      </c>
      <c r="U120">
        <v>7648</v>
      </c>
      <c r="V120">
        <v>7526</v>
      </c>
      <c r="W120">
        <v>7428</v>
      </c>
      <c r="X120">
        <v>10852</v>
      </c>
      <c r="Y120">
        <v>7534</v>
      </c>
      <c r="AA120" t="s">
        <v>2480</v>
      </c>
      <c r="AC120">
        <v>6735</v>
      </c>
      <c r="AE120">
        <v>6862</v>
      </c>
      <c r="AG120" t="s">
        <v>2481</v>
      </c>
      <c r="AI120">
        <v>3003</v>
      </c>
      <c r="AK120">
        <v>7320</v>
      </c>
      <c r="AP120" t="s">
        <v>2482</v>
      </c>
      <c r="AR120">
        <v>10099</v>
      </c>
      <c r="AT120">
        <v>11124</v>
      </c>
      <c r="AV120" t="s">
        <v>2483</v>
      </c>
      <c r="AX120">
        <v>7595</v>
      </c>
      <c r="AZ120">
        <v>10716</v>
      </c>
      <c r="BB120" t="s">
        <v>2484</v>
      </c>
      <c r="BD120">
        <v>6812</v>
      </c>
      <c r="BF120">
        <v>6812</v>
      </c>
      <c r="BH120" t="s">
        <v>2485</v>
      </c>
      <c r="BJ120">
        <v>7472</v>
      </c>
      <c r="BL120">
        <v>7472</v>
      </c>
    </row>
    <row r="121" spans="1:64">
      <c r="A121">
        <f t="shared" si="13"/>
        <v>6.787</v>
      </c>
      <c r="B121">
        <f t="shared" si="14"/>
        <v>10.695</v>
      </c>
      <c r="C121">
        <f t="shared" si="15"/>
        <v>6.854</v>
      </c>
      <c r="D121">
        <f t="shared" si="16"/>
        <v>6.928</v>
      </c>
      <c r="E121">
        <f t="shared" si="17"/>
        <v>11.419</v>
      </c>
      <c r="F121">
        <f t="shared" si="18"/>
        <v>6.854</v>
      </c>
      <c r="G121">
        <f t="shared" si="19"/>
        <v>3.018</v>
      </c>
      <c r="H121">
        <f t="shared" si="20"/>
        <v>7.65</v>
      </c>
      <c r="I121">
        <f t="shared" si="21"/>
        <v>7.527</v>
      </c>
      <c r="J121">
        <f t="shared" si="22"/>
        <v>7.438</v>
      </c>
      <c r="K121">
        <f t="shared" si="23"/>
        <v>10.852</v>
      </c>
      <c r="L121">
        <f t="shared" si="24"/>
        <v>7.551</v>
      </c>
      <c r="N121">
        <v>6787</v>
      </c>
      <c r="O121">
        <v>10695</v>
      </c>
      <c r="P121">
        <v>6854</v>
      </c>
      <c r="Q121">
        <v>6928</v>
      </c>
      <c r="R121">
        <v>11419</v>
      </c>
      <c r="S121">
        <v>6854</v>
      </c>
      <c r="T121">
        <v>3018</v>
      </c>
      <c r="U121">
        <v>7650</v>
      </c>
      <c r="V121">
        <v>7527</v>
      </c>
      <c r="W121">
        <v>7438</v>
      </c>
      <c r="X121">
        <v>10852</v>
      </c>
      <c r="Y121">
        <v>7551</v>
      </c>
      <c r="AA121" t="s">
        <v>2486</v>
      </c>
      <c r="AC121">
        <v>6736</v>
      </c>
      <c r="AE121">
        <v>6862</v>
      </c>
      <c r="AG121" t="s">
        <v>2487</v>
      </c>
      <c r="AI121">
        <v>3005</v>
      </c>
      <c r="AK121">
        <v>7321</v>
      </c>
      <c r="AP121" t="s">
        <v>2488</v>
      </c>
      <c r="AR121">
        <v>10218</v>
      </c>
      <c r="AT121">
        <v>11145</v>
      </c>
      <c r="AV121" t="s">
        <v>2489</v>
      </c>
      <c r="AX121">
        <v>7609</v>
      </c>
      <c r="AZ121">
        <v>10716</v>
      </c>
      <c r="BB121" t="s">
        <v>2490</v>
      </c>
      <c r="BD121">
        <v>6821</v>
      </c>
      <c r="BF121">
        <v>6821</v>
      </c>
      <c r="BH121" t="s">
        <v>2491</v>
      </c>
      <c r="BJ121">
        <v>7474</v>
      </c>
      <c r="BL121">
        <v>7474</v>
      </c>
    </row>
    <row r="122" spans="1:64">
      <c r="A122">
        <f t="shared" si="13"/>
        <v>6.791</v>
      </c>
      <c r="B122">
        <f t="shared" si="14"/>
        <v>10.758</v>
      </c>
      <c r="C122">
        <f t="shared" si="15"/>
        <v>6.858</v>
      </c>
      <c r="D122">
        <f t="shared" si="16"/>
        <v>6.935</v>
      </c>
      <c r="E122">
        <f t="shared" si="17"/>
        <v>11.424</v>
      </c>
      <c r="F122">
        <f t="shared" si="18"/>
        <v>6.858</v>
      </c>
      <c r="G122">
        <f t="shared" si="19"/>
        <v>3.018</v>
      </c>
      <c r="H122">
        <f t="shared" si="20"/>
        <v>7.681</v>
      </c>
      <c r="I122">
        <f t="shared" si="21"/>
        <v>7.534</v>
      </c>
      <c r="J122">
        <f t="shared" si="22"/>
        <v>7.448</v>
      </c>
      <c r="K122">
        <f t="shared" si="23"/>
        <v>10.859</v>
      </c>
      <c r="L122">
        <f t="shared" si="24"/>
        <v>7.631</v>
      </c>
      <c r="N122">
        <v>6791</v>
      </c>
      <c r="O122">
        <v>10758</v>
      </c>
      <c r="P122">
        <v>6858</v>
      </c>
      <c r="Q122">
        <v>6935</v>
      </c>
      <c r="R122">
        <v>11424</v>
      </c>
      <c r="S122">
        <v>6858</v>
      </c>
      <c r="T122">
        <v>3018</v>
      </c>
      <c r="U122">
        <v>7681</v>
      </c>
      <c r="V122">
        <v>7534</v>
      </c>
      <c r="W122">
        <v>7448</v>
      </c>
      <c r="X122">
        <v>10859</v>
      </c>
      <c r="Y122">
        <v>7631</v>
      </c>
      <c r="AA122" t="s">
        <v>2492</v>
      </c>
      <c r="AC122">
        <v>6736</v>
      </c>
      <c r="AE122">
        <v>6872</v>
      </c>
      <c r="AG122" t="s">
        <v>2493</v>
      </c>
      <c r="AI122">
        <v>3007</v>
      </c>
      <c r="AK122">
        <v>7331</v>
      </c>
      <c r="AP122" t="s">
        <v>2494</v>
      </c>
      <c r="AR122">
        <v>10241</v>
      </c>
      <c r="AT122">
        <v>11153</v>
      </c>
      <c r="AV122" t="s">
        <v>2495</v>
      </c>
      <c r="AX122">
        <v>7613</v>
      </c>
      <c r="AZ122">
        <v>10751</v>
      </c>
      <c r="BB122" t="s">
        <v>2496</v>
      </c>
      <c r="BD122">
        <v>6823</v>
      </c>
      <c r="BF122">
        <v>6823</v>
      </c>
      <c r="BH122" t="s">
        <v>2497</v>
      </c>
      <c r="BJ122">
        <v>7499</v>
      </c>
      <c r="BL122">
        <v>7499</v>
      </c>
    </row>
    <row r="123" spans="1:64">
      <c r="A123">
        <f t="shared" si="13"/>
        <v>6.795</v>
      </c>
      <c r="B123">
        <f t="shared" si="14"/>
        <v>10.76</v>
      </c>
      <c r="C123">
        <f t="shared" si="15"/>
        <v>6.858</v>
      </c>
      <c r="D123">
        <f t="shared" si="16"/>
        <v>6.936</v>
      </c>
      <c r="E123">
        <f t="shared" si="17"/>
        <v>11.442</v>
      </c>
      <c r="F123">
        <f t="shared" si="18"/>
        <v>6.858</v>
      </c>
      <c r="G123">
        <f t="shared" si="19"/>
        <v>3.02</v>
      </c>
      <c r="H123">
        <f t="shared" si="20"/>
        <v>7.711</v>
      </c>
      <c r="I123">
        <f t="shared" si="21"/>
        <v>7.551</v>
      </c>
      <c r="J123">
        <f t="shared" si="22"/>
        <v>7.478</v>
      </c>
      <c r="K123">
        <f t="shared" si="23"/>
        <v>10.859</v>
      </c>
      <c r="L123">
        <f t="shared" si="24"/>
        <v>7.654</v>
      </c>
      <c r="N123">
        <v>6795</v>
      </c>
      <c r="O123">
        <v>10760</v>
      </c>
      <c r="P123">
        <v>6858</v>
      </c>
      <c r="Q123">
        <v>6936</v>
      </c>
      <c r="R123">
        <v>11442</v>
      </c>
      <c r="S123">
        <v>6858</v>
      </c>
      <c r="T123">
        <v>3020</v>
      </c>
      <c r="U123">
        <v>7711</v>
      </c>
      <c r="V123">
        <v>7551</v>
      </c>
      <c r="W123">
        <v>7478</v>
      </c>
      <c r="X123">
        <v>10859</v>
      </c>
      <c r="Y123">
        <v>7654</v>
      </c>
      <c r="AA123" t="s">
        <v>2498</v>
      </c>
      <c r="AC123">
        <v>6747</v>
      </c>
      <c r="AE123">
        <v>6878</v>
      </c>
      <c r="AG123" t="s">
        <v>2499</v>
      </c>
      <c r="AI123">
        <v>3010</v>
      </c>
      <c r="AK123">
        <v>7361</v>
      </c>
      <c r="AP123" t="s">
        <v>2500</v>
      </c>
      <c r="AR123">
        <v>10243</v>
      </c>
      <c r="AT123">
        <v>11190</v>
      </c>
      <c r="AV123" t="s">
        <v>2501</v>
      </c>
      <c r="AX123">
        <v>7620</v>
      </c>
      <c r="AZ123">
        <v>10791</v>
      </c>
      <c r="BB123" t="s">
        <v>2502</v>
      </c>
      <c r="BD123">
        <v>6825</v>
      </c>
      <c r="BF123">
        <v>6825</v>
      </c>
      <c r="BH123" t="s">
        <v>2503</v>
      </c>
      <c r="BJ123">
        <v>7502</v>
      </c>
      <c r="BL123">
        <v>7502</v>
      </c>
    </row>
    <row r="124" spans="1:64">
      <c r="A124">
        <f t="shared" si="13"/>
        <v>6.797</v>
      </c>
      <c r="B124">
        <f t="shared" si="14"/>
        <v>10.808</v>
      </c>
      <c r="C124">
        <f t="shared" si="15"/>
        <v>6.866</v>
      </c>
      <c r="D124">
        <f t="shared" si="16"/>
        <v>6.941</v>
      </c>
      <c r="E124">
        <f t="shared" si="17"/>
        <v>11.446</v>
      </c>
      <c r="F124">
        <f t="shared" si="18"/>
        <v>6.866</v>
      </c>
      <c r="G124">
        <f t="shared" si="19"/>
        <v>3.021</v>
      </c>
      <c r="H124">
        <f t="shared" si="20"/>
        <v>7.714</v>
      </c>
      <c r="I124">
        <f t="shared" si="21"/>
        <v>7.613</v>
      </c>
      <c r="J124">
        <f t="shared" si="22"/>
        <v>7.508</v>
      </c>
      <c r="K124">
        <f t="shared" si="23"/>
        <v>10.87</v>
      </c>
      <c r="L124">
        <f t="shared" si="24"/>
        <v>7.655</v>
      </c>
      <c r="N124">
        <v>6797</v>
      </c>
      <c r="O124">
        <v>10808</v>
      </c>
      <c r="P124">
        <v>6866</v>
      </c>
      <c r="Q124">
        <v>6941</v>
      </c>
      <c r="R124">
        <v>11446</v>
      </c>
      <c r="S124">
        <v>6866</v>
      </c>
      <c r="T124">
        <v>3021</v>
      </c>
      <c r="U124">
        <v>7714</v>
      </c>
      <c r="V124">
        <v>7613</v>
      </c>
      <c r="W124">
        <v>7508</v>
      </c>
      <c r="X124">
        <v>10870</v>
      </c>
      <c r="Y124">
        <v>7655</v>
      </c>
      <c r="AA124" t="s">
        <v>2504</v>
      </c>
      <c r="AC124">
        <v>6759</v>
      </c>
      <c r="AE124">
        <v>6896</v>
      </c>
      <c r="AG124" t="s">
        <v>2505</v>
      </c>
      <c r="AI124">
        <v>3010</v>
      </c>
      <c r="AK124">
        <v>7371</v>
      </c>
      <c r="AP124" t="s">
        <v>2506</v>
      </c>
      <c r="AR124">
        <v>10314</v>
      </c>
      <c r="AT124">
        <v>11253</v>
      </c>
      <c r="AV124" t="s">
        <v>2507</v>
      </c>
      <c r="AX124">
        <v>7630</v>
      </c>
      <c r="AZ124">
        <v>10793</v>
      </c>
      <c r="BB124" t="s">
        <v>2508</v>
      </c>
      <c r="BD124">
        <v>6837</v>
      </c>
      <c r="BF124">
        <v>6837</v>
      </c>
      <c r="BH124" t="s">
        <v>2509</v>
      </c>
      <c r="BJ124">
        <v>7509</v>
      </c>
      <c r="BL124">
        <v>7511</v>
      </c>
    </row>
    <row r="125" spans="1:64">
      <c r="A125">
        <f t="shared" si="13"/>
        <v>6.801</v>
      </c>
      <c r="B125">
        <f t="shared" si="14"/>
        <v>10.813</v>
      </c>
      <c r="C125">
        <f t="shared" si="15"/>
        <v>6.867</v>
      </c>
      <c r="D125">
        <f t="shared" si="16"/>
        <v>6.944</v>
      </c>
      <c r="E125">
        <f t="shared" si="17"/>
        <v>11.501</v>
      </c>
      <c r="F125">
        <f t="shared" si="18"/>
        <v>6.867</v>
      </c>
      <c r="G125">
        <f t="shared" si="19"/>
        <v>3.023</v>
      </c>
      <c r="H125">
        <f t="shared" si="20"/>
        <v>7.724</v>
      </c>
      <c r="I125">
        <f t="shared" si="21"/>
        <v>7.631</v>
      </c>
      <c r="J125">
        <f t="shared" si="22"/>
        <v>7.52</v>
      </c>
      <c r="K125">
        <f t="shared" si="23"/>
        <v>10.882</v>
      </c>
      <c r="L125">
        <f t="shared" si="24"/>
        <v>7.67</v>
      </c>
      <c r="N125">
        <v>6801</v>
      </c>
      <c r="O125">
        <v>10813</v>
      </c>
      <c r="P125">
        <v>6867</v>
      </c>
      <c r="Q125">
        <v>6944</v>
      </c>
      <c r="R125">
        <v>11501</v>
      </c>
      <c r="S125">
        <v>6867</v>
      </c>
      <c r="T125">
        <v>3023</v>
      </c>
      <c r="U125">
        <v>7724</v>
      </c>
      <c r="V125">
        <v>7631</v>
      </c>
      <c r="W125">
        <v>7520</v>
      </c>
      <c r="X125">
        <v>10882</v>
      </c>
      <c r="Y125">
        <v>7670</v>
      </c>
      <c r="AA125" t="s">
        <v>2510</v>
      </c>
      <c r="AC125">
        <v>6771</v>
      </c>
      <c r="AE125">
        <v>6898</v>
      </c>
      <c r="AG125" t="s">
        <v>2511</v>
      </c>
      <c r="AI125">
        <v>3010</v>
      </c>
      <c r="AK125">
        <v>7389</v>
      </c>
      <c r="AP125" t="s">
        <v>2512</v>
      </c>
      <c r="AR125">
        <v>10383</v>
      </c>
      <c r="AT125">
        <v>11270</v>
      </c>
      <c r="AV125" t="s">
        <v>2513</v>
      </c>
      <c r="AX125">
        <v>7638</v>
      </c>
      <c r="AZ125">
        <v>10821</v>
      </c>
      <c r="BB125" t="s">
        <v>2514</v>
      </c>
      <c r="BD125">
        <v>6842</v>
      </c>
      <c r="BF125">
        <v>6842</v>
      </c>
      <c r="BH125" t="s">
        <v>2515</v>
      </c>
      <c r="BJ125">
        <v>7509</v>
      </c>
      <c r="BL125">
        <v>7518</v>
      </c>
    </row>
    <row r="126" spans="1:64">
      <c r="A126">
        <f t="shared" si="13"/>
        <v>6.801</v>
      </c>
      <c r="B126">
        <f t="shared" si="14"/>
        <v>10.818</v>
      </c>
      <c r="C126">
        <f t="shared" si="15"/>
        <v>6.868</v>
      </c>
      <c r="D126">
        <f t="shared" si="16"/>
        <v>6.945</v>
      </c>
      <c r="E126">
        <f t="shared" si="17"/>
        <v>11.579</v>
      </c>
      <c r="F126">
        <f t="shared" si="18"/>
        <v>6.868</v>
      </c>
      <c r="G126">
        <f t="shared" si="19"/>
        <v>3.024</v>
      </c>
      <c r="H126">
        <f t="shared" si="20"/>
        <v>7.748</v>
      </c>
      <c r="I126">
        <f t="shared" si="21"/>
        <v>7.642</v>
      </c>
      <c r="J126">
        <f t="shared" si="22"/>
        <v>7.541</v>
      </c>
      <c r="K126">
        <f t="shared" si="23"/>
        <v>10.904</v>
      </c>
      <c r="L126">
        <f t="shared" si="24"/>
        <v>7.674</v>
      </c>
      <c r="N126">
        <v>6801</v>
      </c>
      <c r="O126">
        <v>10818</v>
      </c>
      <c r="P126">
        <v>6868</v>
      </c>
      <c r="Q126">
        <v>6945</v>
      </c>
      <c r="R126">
        <v>11579</v>
      </c>
      <c r="S126">
        <v>6868</v>
      </c>
      <c r="T126">
        <v>3024</v>
      </c>
      <c r="U126">
        <v>7748</v>
      </c>
      <c r="V126">
        <v>7642</v>
      </c>
      <c r="W126">
        <v>7541</v>
      </c>
      <c r="X126">
        <v>10904</v>
      </c>
      <c r="Y126">
        <v>7674</v>
      </c>
      <c r="AA126" t="s">
        <v>2516</v>
      </c>
      <c r="AC126">
        <v>6774</v>
      </c>
      <c r="AE126">
        <v>6903</v>
      </c>
      <c r="AG126" t="s">
        <v>2517</v>
      </c>
      <c r="AI126">
        <v>3011</v>
      </c>
      <c r="AK126">
        <v>7416</v>
      </c>
      <c r="AP126" t="s">
        <v>2518</v>
      </c>
      <c r="AR126">
        <v>10442</v>
      </c>
      <c r="AT126">
        <v>11304</v>
      </c>
      <c r="AV126" t="s">
        <v>2519</v>
      </c>
      <c r="AX126">
        <v>7641</v>
      </c>
      <c r="AZ126">
        <v>10827</v>
      </c>
      <c r="BB126" t="s">
        <v>2520</v>
      </c>
      <c r="BD126">
        <v>6846</v>
      </c>
      <c r="BF126">
        <v>6846</v>
      </c>
      <c r="BH126" t="s">
        <v>2521</v>
      </c>
      <c r="BJ126">
        <v>7511</v>
      </c>
      <c r="BL126">
        <v>7526</v>
      </c>
    </row>
    <row r="127" spans="1:64">
      <c r="A127">
        <f t="shared" si="13"/>
        <v>6.802</v>
      </c>
      <c r="B127">
        <f t="shared" si="14"/>
        <v>10.82</v>
      </c>
      <c r="C127">
        <f t="shared" si="15"/>
        <v>6.869</v>
      </c>
      <c r="D127">
        <f t="shared" si="16"/>
        <v>6.946</v>
      </c>
      <c r="E127">
        <f t="shared" si="17"/>
        <v>11.583</v>
      </c>
      <c r="F127">
        <f t="shared" si="18"/>
        <v>6.869</v>
      </c>
      <c r="G127">
        <f t="shared" si="19"/>
        <v>3.027</v>
      </c>
      <c r="H127">
        <f t="shared" si="20"/>
        <v>7.764</v>
      </c>
      <c r="I127">
        <f t="shared" si="21"/>
        <v>7.654</v>
      </c>
      <c r="J127">
        <f t="shared" si="22"/>
        <v>7.581</v>
      </c>
      <c r="K127">
        <f t="shared" si="23"/>
        <v>10.922</v>
      </c>
      <c r="L127">
        <f t="shared" si="24"/>
        <v>7.681</v>
      </c>
      <c r="N127">
        <v>6802</v>
      </c>
      <c r="O127">
        <v>10820</v>
      </c>
      <c r="P127">
        <v>6869</v>
      </c>
      <c r="Q127">
        <v>6946</v>
      </c>
      <c r="R127">
        <v>11583</v>
      </c>
      <c r="S127">
        <v>6869</v>
      </c>
      <c r="T127">
        <v>3027</v>
      </c>
      <c r="U127">
        <v>7764</v>
      </c>
      <c r="V127">
        <v>7654</v>
      </c>
      <c r="W127">
        <v>7581</v>
      </c>
      <c r="X127">
        <v>10922</v>
      </c>
      <c r="Y127">
        <v>7681</v>
      </c>
      <c r="AA127" t="s">
        <v>2522</v>
      </c>
      <c r="AC127">
        <v>6776</v>
      </c>
      <c r="AE127">
        <v>6916</v>
      </c>
      <c r="AG127" t="s">
        <v>2523</v>
      </c>
      <c r="AI127">
        <v>3014</v>
      </c>
      <c r="AK127">
        <v>7420</v>
      </c>
      <c r="AP127" t="s">
        <v>2524</v>
      </c>
      <c r="AR127">
        <v>10482</v>
      </c>
      <c r="AT127">
        <v>11414</v>
      </c>
      <c r="AV127" t="s">
        <v>2525</v>
      </c>
      <c r="AX127">
        <v>7648</v>
      </c>
      <c r="AZ127">
        <v>10852</v>
      </c>
      <c r="BB127" t="s">
        <v>2526</v>
      </c>
      <c r="BD127">
        <v>6847</v>
      </c>
      <c r="BF127">
        <v>6847</v>
      </c>
      <c r="BH127" t="s">
        <v>2527</v>
      </c>
      <c r="BJ127">
        <v>7518</v>
      </c>
      <c r="BL127">
        <v>7527</v>
      </c>
    </row>
    <row r="128" spans="1:64">
      <c r="A128">
        <f t="shared" si="13"/>
        <v>6.804</v>
      </c>
      <c r="B128">
        <f t="shared" si="14"/>
        <v>10.852</v>
      </c>
      <c r="C128">
        <f t="shared" si="15"/>
        <v>6.869</v>
      </c>
      <c r="D128">
        <f t="shared" si="16"/>
        <v>6.948</v>
      </c>
      <c r="E128">
        <f t="shared" si="17"/>
        <v>11.592</v>
      </c>
      <c r="F128">
        <f t="shared" si="18"/>
        <v>6.869</v>
      </c>
      <c r="G128">
        <f t="shared" si="19"/>
        <v>3.027</v>
      </c>
      <c r="H128">
        <f t="shared" si="20"/>
        <v>7.787</v>
      </c>
      <c r="I128">
        <f t="shared" si="21"/>
        <v>7.655</v>
      </c>
      <c r="J128">
        <f t="shared" si="22"/>
        <v>7.595</v>
      </c>
      <c r="K128">
        <f t="shared" si="23"/>
        <v>10.922</v>
      </c>
      <c r="L128">
        <f t="shared" si="24"/>
        <v>7.685</v>
      </c>
      <c r="N128">
        <v>6804</v>
      </c>
      <c r="O128">
        <v>10852</v>
      </c>
      <c r="P128">
        <v>6869</v>
      </c>
      <c r="Q128">
        <v>6948</v>
      </c>
      <c r="R128">
        <v>11592</v>
      </c>
      <c r="S128">
        <v>6869</v>
      </c>
      <c r="T128">
        <v>3027</v>
      </c>
      <c r="U128">
        <v>7787</v>
      </c>
      <c r="V128">
        <v>7655</v>
      </c>
      <c r="W128">
        <v>7595</v>
      </c>
      <c r="X128">
        <v>10922</v>
      </c>
      <c r="Y128">
        <v>7685</v>
      </c>
      <c r="AA128" t="s">
        <v>2528</v>
      </c>
      <c r="AC128">
        <v>6779</v>
      </c>
      <c r="AE128">
        <v>6926</v>
      </c>
      <c r="AG128" t="s">
        <v>2529</v>
      </c>
      <c r="AI128">
        <v>3015</v>
      </c>
      <c r="AK128">
        <v>7428</v>
      </c>
      <c r="AP128" t="s">
        <v>2530</v>
      </c>
      <c r="AR128">
        <v>10695</v>
      </c>
      <c r="AT128">
        <v>11419</v>
      </c>
      <c r="AV128" t="s">
        <v>2531</v>
      </c>
      <c r="AX128">
        <v>7650</v>
      </c>
      <c r="AZ128">
        <v>10852</v>
      </c>
      <c r="BB128" t="s">
        <v>2532</v>
      </c>
      <c r="BD128">
        <v>6848</v>
      </c>
      <c r="BF128">
        <v>6848</v>
      </c>
      <c r="BH128" t="s">
        <v>2533</v>
      </c>
      <c r="BJ128">
        <v>7526</v>
      </c>
      <c r="BL128">
        <v>7534</v>
      </c>
    </row>
    <row r="129" spans="1:64">
      <c r="A129">
        <f t="shared" si="13"/>
        <v>6.804</v>
      </c>
      <c r="B129">
        <f t="shared" si="14"/>
        <v>10.91</v>
      </c>
      <c r="C129">
        <f t="shared" si="15"/>
        <v>6.872</v>
      </c>
      <c r="D129">
        <f t="shared" si="16"/>
        <v>6.95</v>
      </c>
      <c r="E129">
        <f t="shared" si="17"/>
        <v>11.629</v>
      </c>
      <c r="F129">
        <f t="shared" si="18"/>
        <v>6.872</v>
      </c>
      <c r="G129">
        <f t="shared" si="19"/>
        <v>3.028</v>
      </c>
      <c r="H129">
        <f t="shared" si="20"/>
        <v>7.802</v>
      </c>
      <c r="I129">
        <f t="shared" si="21"/>
        <v>7.658</v>
      </c>
      <c r="J129">
        <f t="shared" si="22"/>
        <v>7.6</v>
      </c>
      <c r="K129">
        <f t="shared" si="23"/>
        <v>10.925</v>
      </c>
      <c r="L129">
        <f t="shared" si="24"/>
        <v>7.701</v>
      </c>
      <c r="N129">
        <v>6804</v>
      </c>
      <c r="O129">
        <v>10910</v>
      </c>
      <c r="P129">
        <v>6872</v>
      </c>
      <c r="Q129">
        <v>6950</v>
      </c>
      <c r="R129">
        <v>11629</v>
      </c>
      <c r="S129">
        <v>6872</v>
      </c>
      <c r="T129">
        <v>3028</v>
      </c>
      <c r="U129">
        <v>7802</v>
      </c>
      <c r="V129">
        <v>7658</v>
      </c>
      <c r="W129">
        <v>7600</v>
      </c>
      <c r="X129">
        <v>10925</v>
      </c>
      <c r="Y129">
        <v>7701</v>
      </c>
      <c r="AA129" t="s">
        <v>2534</v>
      </c>
      <c r="AC129">
        <v>6787</v>
      </c>
      <c r="AE129">
        <v>6928</v>
      </c>
      <c r="AG129" t="s">
        <v>2535</v>
      </c>
      <c r="AI129">
        <v>3018</v>
      </c>
      <c r="AK129">
        <v>7438</v>
      </c>
      <c r="AP129" t="s">
        <v>2536</v>
      </c>
      <c r="AR129">
        <v>10758</v>
      </c>
      <c r="AT129">
        <v>11424</v>
      </c>
      <c r="AV129" t="s">
        <v>2537</v>
      </c>
      <c r="AX129">
        <v>7681</v>
      </c>
      <c r="AZ129">
        <v>10859</v>
      </c>
      <c r="BB129" t="s">
        <v>2538</v>
      </c>
      <c r="BD129">
        <v>6854</v>
      </c>
      <c r="BF129">
        <v>6854</v>
      </c>
      <c r="BH129" t="s">
        <v>2539</v>
      </c>
      <c r="BJ129">
        <v>7527</v>
      </c>
      <c r="BL129">
        <v>7551</v>
      </c>
    </row>
    <row r="130" spans="1:64">
      <c r="A130">
        <f t="shared" si="13"/>
        <v>6.805</v>
      </c>
      <c r="B130">
        <f t="shared" si="14"/>
        <v>10.973</v>
      </c>
      <c r="C130">
        <f t="shared" si="15"/>
        <v>6.892</v>
      </c>
      <c r="D130">
        <f t="shared" si="16"/>
        <v>6.951</v>
      </c>
      <c r="E130">
        <f t="shared" si="17"/>
        <v>11.636</v>
      </c>
      <c r="F130">
        <f t="shared" si="18"/>
        <v>6.892</v>
      </c>
      <c r="G130">
        <f t="shared" si="19"/>
        <v>3.028</v>
      </c>
      <c r="H130">
        <f t="shared" si="20"/>
        <v>7.811</v>
      </c>
      <c r="I130">
        <f t="shared" si="21"/>
        <v>7.67</v>
      </c>
      <c r="J130">
        <f t="shared" si="22"/>
        <v>7.6</v>
      </c>
      <c r="K130">
        <f t="shared" si="23"/>
        <v>10.941</v>
      </c>
      <c r="L130">
        <f t="shared" si="24"/>
        <v>7.711</v>
      </c>
      <c r="N130">
        <v>6805</v>
      </c>
      <c r="O130">
        <v>10973</v>
      </c>
      <c r="P130">
        <v>6892</v>
      </c>
      <c r="Q130">
        <v>6951</v>
      </c>
      <c r="R130">
        <v>11636</v>
      </c>
      <c r="S130">
        <v>6892</v>
      </c>
      <c r="T130">
        <v>3028</v>
      </c>
      <c r="U130">
        <v>7811</v>
      </c>
      <c r="V130">
        <v>7670</v>
      </c>
      <c r="W130">
        <v>7600</v>
      </c>
      <c r="X130">
        <v>10941</v>
      </c>
      <c r="Y130">
        <v>7711</v>
      </c>
      <c r="AA130" t="s">
        <v>2540</v>
      </c>
      <c r="AC130">
        <v>6791</v>
      </c>
      <c r="AE130">
        <v>6935</v>
      </c>
      <c r="AG130" t="s">
        <v>2541</v>
      </c>
      <c r="AI130">
        <v>3018</v>
      </c>
      <c r="AK130">
        <v>7448</v>
      </c>
      <c r="AP130" t="s">
        <v>2542</v>
      </c>
      <c r="AR130">
        <v>10760</v>
      </c>
      <c r="AT130">
        <v>11442</v>
      </c>
      <c r="AV130" t="s">
        <v>2543</v>
      </c>
      <c r="AX130">
        <v>7711</v>
      </c>
      <c r="AZ130">
        <v>10859</v>
      </c>
      <c r="BB130" t="s">
        <v>2544</v>
      </c>
      <c r="BD130">
        <v>6858</v>
      </c>
      <c r="BF130">
        <v>6858</v>
      </c>
      <c r="BH130" t="s">
        <v>2545</v>
      </c>
      <c r="BJ130">
        <v>7534</v>
      </c>
      <c r="BL130">
        <v>7631</v>
      </c>
    </row>
    <row r="131" spans="1:64">
      <c r="A131">
        <f t="shared" si="13"/>
        <v>6.816</v>
      </c>
      <c r="B131">
        <f t="shared" si="14"/>
        <v>10.992</v>
      </c>
      <c r="C131">
        <f t="shared" si="15"/>
        <v>6.903</v>
      </c>
      <c r="D131">
        <f t="shared" si="16"/>
        <v>6.953</v>
      </c>
      <c r="E131">
        <f t="shared" si="17"/>
        <v>11.66</v>
      </c>
      <c r="F131">
        <f t="shared" si="18"/>
        <v>6.903</v>
      </c>
      <c r="G131">
        <f t="shared" si="19"/>
        <v>3.034</v>
      </c>
      <c r="H131">
        <f t="shared" si="20"/>
        <v>7.815</v>
      </c>
      <c r="I131">
        <f t="shared" si="21"/>
        <v>7.67</v>
      </c>
      <c r="J131">
        <f t="shared" si="22"/>
        <v>7.61</v>
      </c>
      <c r="K131">
        <f t="shared" si="23"/>
        <v>10.95</v>
      </c>
      <c r="L131">
        <f t="shared" si="24"/>
        <v>7.711</v>
      </c>
      <c r="N131">
        <v>6816</v>
      </c>
      <c r="O131">
        <v>10992</v>
      </c>
      <c r="P131">
        <v>6903</v>
      </c>
      <c r="Q131">
        <v>6953</v>
      </c>
      <c r="R131">
        <v>11660</v>
      </c>
      <c r="S131">
        <v>6903</v>
      </c>
      <c r="T131">
        <v>3034</v>
      </c>
      <c r="U131">
        <v>7815</v>
      </c>
      <c r="V131">
        <v>7670</v>
      </c>
      <c r="W131">
        <v>7610</v>
      </c>
      <c r="X131">
        <v>10950</v>
      </c>
      <c r="Y131">
        <v>7711</v>
      </c>
      <c r="AA131" t="s">
        <v>2546</v>
      </c>
      <c r="AC131">
        <v>6795</v>
      </c>
      <c r="AE131">
        <v>6936</v>
      </c>
      <c r="AG131" t="s">
        <v>2547</v>
      </c>
      <c r="AI131">
        <v>3020</v>
      </c>
      <c r="AK131">
        <v>7478</v>
      </c>
      <c r="AP131" t="s">
        <v>2548</v>
      </c>
      <c r="AR131">
        <v>10808</v>
      </c>
      <c r="AT131">
        <v>11446</v>
      </c>
      <c r="AV131" t="s">
        <v>2549</v>
      </c>
      <c r="AX131">
        <v>7714</v>
      </c>
      <c r="AZ131">
        <v>10870</v>
      </c>
      <c r="BB131" t="s">
        <v>2550</v>
      </c>
      <c r="BD131">
        <v>6858</v>
      </c>
      <c r="BF131">
        <v>6858</v>
      </c>
      <c r="BH131" t="s">
        <v>2551</v>
      </c>
      <c r="BJ131">
        <v>7551</v>
      </c>
      <c r="BL131">
        <v>7654</v>
      </c>
    </row>
    <row r="132" spans="1:64">
      <c r="A132">
        <f t="shared" ref="A132:A195" si="25">N132/1000</f>
        <v>6.816</v>
      </c>
      <c r="B132">
        <f t="shared" ref="B132:B195" si="26">O132/1000</f>
        <v>10.997</v>
      </c>
      <c r="C132">
        <f t="shared" ref="C132:C195" si="27">P132/1000</f>
        <v>6.907</v>
      </c>
      <c r="D132">
        <f t="shared" ref="D132:D195" si="28">Q132/1000</f>
        <v>6.956</v>
      </c>
      <c r="E132">
        <f t="shared" ref="E132:E195" si="29">R132/1000</f>
        <v>11.678</v>
      </c>
      <c r="F132">
        <f t="shared" ref="F132:F195" si="30">S132/1000</f>
        <v>6.907</v>
      </c>
      <c r="G132">
        <f t="shared" ref="G132:G195" si="31">T132/1000</f>
        <v>3.035</v>
      </c>
      <c r="H132">
        <f t="shared" ref="H132:H195" si="32">U132/1000</f>
        <v>7.816</v>
      </c>
      <c r="I132">
        <f t="shared" ref="I132:I195" si="33">V132/1000</f>
        <v>7.674</v>
      </c>
      <c r="J132">
        <f t="shared" ref="J132:J195" si="34">W132/1000</f>
        <v>7.624</v>
      </c>
      <c r="K132">
        <f t="shared" ref="K132:K195" si="35">X132/1000</f>
        <v>10.954</v>
      </c>
      <c r="L132">
        <f t="shared" ref="L132:L195" si="36">Y132/1000</f>
        <v>7.712</v>
      </c>
      <c r="N132">
        <v>6816</v>
      </c>
      <c r="O132">
        <v>10997</v>
      </c>
      <c r="P132">
        <v>6907</v>
      </c>
      <c r="Q132">
        <v>6956</v>
      </c>
      <c r="R132">
        <v>11678</v>
      </c>
      <c r="S132">
        <v>6907</v>
      </c>
      <c r="T132">
        <v>3035</v>
      </c>
      <c r="U132">
        <v>7816</v>
      </c>
      <c r="V132">
        <v>7674</v>
      </c>
      <c r="W132">
        <v>7624</v>
      </c>
      <c r="X132">
        <v>10954</v>
      </c>
      <c r="Y132">
        <v>7712</v>
      </c>
      <c r="AA132" t="s">
        <v>2552</v>
      </c>
      <c r="AC132">
        <v>6797</v>
      </c>
      <c r="AE132">
        <v>6941</v>
      </c>
      <c r="AG132" t="s">
        <v>2553</v>
      </c>
      <c r="AI132">
        <v>3021</v>
      </c>
      <c r="AK132">
        <v>7508</v>
      </c>
      <c r="AP132" t="s">
        <v>2554</v>
      </c>
      <c r="AR132">
        <v>10813</v>
      </c>
      <c r="AT132">
        <v>11501</v>
      </c>
      <c r="AV132" t="s">
        <v>2555</v>
      </c>
      <c r="AX132">
        <v>7724</v>
      </c>
      <c r="AZ132">
        <v>10882</v>
      </c>
      <c r="BB132" t="s">
        <v>2556</v>
      </c>
      <c r="BD132">
        <v>6866</v>
      </c>
      <c r="BF132">
        <v>6866</v>
      </c>
      <c r="BH132" t="s">
        <v>2557</v>
      </c>
      <c r="BJ132">
        <v>7613</v>
      </c>
      <c r="BL132">
        <v>7655</v>
      </c>
    </row>
    <row r="133" spans="1:64">
      <c r="A133">
        <f t="shared" si="25"/>
        <v>6.816</v>
      </c>
      <c r="B133">
        <f t="shared" si="26"/>
        <v>11.015</v>
      </c>
      <c r="C133">
        <f t="shared" si="27"/>
        <v>6.908</v>
      </c>
      <c r="D133">
        <f t="shared" si="28"/>
        <v>6.956</v>
      </c>
      <c r="E133">
        <f t="shared" si="29"/>
        <v>11.695</v>
      </c>
      <c r="F133">
        <f t="shared" si="30"/>
        <v>6.908</v>
      </c>
      <c r="G133">
        <f t="shared" si="31"/>
        <v>3.037</v>
      </c>
      <c r="H133">
        <f t="shared" si="32"/>
        <v>7.817</v>
      </c>
      <c r="I133">
        <f t="shared" si="33"/>
        <v>7.681</v>
      </c>
      <c r="J133">
        <f t="shared" si="34"/>
        <v>7.674</v>
      </c>
      <c r="K133">
        <f t="shared" si="35"/>
        <v>10.957</v>
      </c>
      <c r="L133">
        <f t="shared" si="36"/>
        <v>7.719</v>
      </c>
      <c r="N133">
        <v>6816</v>
      </c>
      <c r="O133">
        <v>11015</v>
      </c>
      <c r="P133">
        <v>6908</v>
      </c>
      <c r="Q133">
        <v>6956</v>
      </c>
      <c r="R133">
        <v>11695</v>
      </c>
      <c r="S133">
        <v>6908</v>
      </c>
      <c r="T133">
        <v>3037</v>
      </c>
      <c r="U133">
        <v>7817</v>
      </c>
      <c r="V133">
        <v>7681</v>
      </c>
      <c r="W133">
        <v>7674</v>
      </c>
      <c r="X133">
        <v>10957</v>
      </c>
      <c r="Y133">
        <v>7719</v>
      </c>
      <c r="AA133" t="s">
        <v>2558</v>
      </c>
      <c r="AC133">
        <v>6801</v>
      </c>
      <c r="AE133">
        <v>6944</v>
      </c>
      <c r="AG133" t="s">
        <v>2559</v>
      </c>
      <c r="AI133">
        <v>3023</v>
      </c>
      <c r="AK133">
        <v>7520</v>
      </c>
      <c r="AP133" t="s">
        <v>2560</v>
      </c>
      <c r="AR133">
        <v>10818</v>
      </c>
      <c r="AT133">
        <v>11579</v>
      </c>
      <c r="AV133" t="s">
        <v>2561</v>
      </c>
      <c r="AX133">
        <v>7748</v>
      </c>
      <c r="AZ133">
        <v>10904</v>
      </c>
      <c r="BB133" t="s">
        <v>2562</v>
      </c>
      <c r="BD133">
        <v>6867</v>
      </c>
      <c r="BF133">
        <v>6867</v>
      </c>
      <c r="BH133" t="s">
        <v>2563</v>
      </c>
      <c r="BJ133">
        <v>7631</v>
      </c>
      <c r="BL133">
        <v>7670</v>
      </c>
    </row>
    <row r="134" spans="1:64">
      <c r="A134">
        <f t="shared" si="25"/>
        <v>6.824</v>
      </c>
      <c r="B134">
        <f t="shared" si="26"/>
        <v>11.021</v>
      </c>
      <c r="C134">
        <f t="shared" si="27"/>
        <v>6.909</v>
      </c>
      <c r="D134">
        <f t="shared" si="28"/>
        <v>6.957</v>
      </c>
      <c r="E134">
        <f t="shared" si="29"/>
        <v>11.709</v>
      </c>
      <c r="F134">
        <f t="shared" si="30"/>
        <v>6.909</v>
      </c>
      <c r="G134">
        <f t="shared" si="31"/>
        <v>3.038</v>
      </c>
      <c r="H134">
        <f t="shared" si="32"/>
        <v>7.829</v>
      </c>
      <c r="I134">
        <f t="shared" si="33"/>
        <v>7.685</v>
      </c>
      <c r="J134">
        <f t="shared" si="34"/>
        <v>7.706</v>
      </c>
      <c r="K134">
        <f t="shared" si="35"/>
        <v>10.964</v>
      </c>
      <c r="L134">
        <f t="shared" si="36"/>
        <v>7.735</v>
      </c>
      <c r="N134">
        <v>6824</v>
      </c>
      <c r="O134">
        <v>11021</v>
      </c>
      <c r="P134">
        <v>6909</v>
      </c>
      <c r="Q134">
        <v>6957</v>
      </c>
      <c r="R134">
        <v>11709</v>
      </c>
      <c r="S134">
        <v>6909</v>
      </c>
      <c r="T134">
        <v>3038</v>
      </c>
      <c r="U134">
        <v>7829</v>
      </c>
      <c r="V134">
        <v>7685</v>
      </c>
      <c r="W134">
        <v>7706</v>
      </c>
      <c r="X134">
        <v>10964</v>
      </c>
      <c r="Y134">
        <v>7735</v>
      </c>
      <c r="AA134" t="s">
        <v>2564</v>
      </c>
      <c r="AC134">
        <v>6801</v>
      </c>
      <c r="AE134">
        <v>6945</v>
      </c>
      <c r="AG134" t="s">
        <v>2565</v>
      </c>
      <c r="AI134">
        <v>3024</v>
      </c>
      <c r="AK134">
        <v>7541</v>
      </c>
      <c r="AP134" t="s">
        <v>2566</v>
      </c>
      <c r="AR134">
        <v>10820</v>
      </c>
      <c r="AT134">
        <v>11583</v>
      </c>
      <c r="AV134" t="s">
        <v>2567</v>
      </c>
      <c r="AX134">
        <v>7764</v>
      </c>
      <c r="AZ134">
        <v>10922</v>
      </c>
      <c r="BB134" t="s">
        <v>2568</v>
      </c>
      <c r="BD134">
        <v>6868</v>
      </c>
      <c r="BF134">
        <v>6868</v>
      </c>
      <c r="BH134" t="s">
        <v>2569</v>
      </c>
      <c r="BJ134">
        <v>7642</v>
      </c>
      <c r="BL134">
        <v>7674</v>
      </c>
    </row>
    <row r="135" spans="1:64">
      <c r="A135">
        <f t="shared" si="25"/>
        <v>6.837</v>
      </c>
      <c r="B135">
        <f t="shared" si="26"/>
        <v>11.043</v>
      </c>
      <c r="C135">
        <f t="shared" si="27"/>
        <v>6.922</v>
      </c>
      <c r="D135">
        <f t="shared" si="28"/>
        <v>6.959</v>
      </c>
      <c r="E135">
        <f t="shared" si="29"/>
        <v>11.709</v>
      </c>
      <c r="F135">
        <f t="shared" si="30"/>
        <v>6.922</v>
      </c>
      <c r="G135">
        <f t="shared" si="31"/>
        <v>3.038</v>
      </c>
      <c r="H135">
        <f t="shared" si="32"/>
        <v>7.848</v>
      </c>
      <c r="I135">
        <f t="shared" si="33"/>
        <v>7.699</v>
      </c>
      <c r="J135">
        <f t="shared" si="34"/>
        <v>7.732</v>
      </c>
      <c r="K135">
        <f t="shared" si="35"/>
        <v>10.983</v>
      </c>
      <c r="L135">
        <f t="shared" si="36"/>
        <v>7.754</v>
      </c>
      <c r="N135">
        <v>6837</v>
      </c>
      <c r="O135">
        <v>11043</v>
      </c>
      <c r="P135">
        <v>6922</v>
      </c>
      <c r="Q135">
        <v>6959</v>
      </c>
      <c r="R135">
        <v>11709</v>
      </c>
      <c r="S135">
        <v>6922</v>
      </c>
      <c r="T135">
        <v>3038</v>
      </c>
      <c r="U135">
        <v>7848</v>
      </c>
      <c r="V135">
        <v>7699</v>
      </c>
      <c r="W135">
        <v>7732</v>
      </c>
      <c r="X135">
        <v>10983</v>
      </c>
      <c r="Y135">
        <v>7754</v>
      </c>
      <c r="AA135" t="s">
        <v>2570</v>
      </c>
      <c r="AC135">
        <v>6802</v>
      </c>
      <c r="AE135">
        <v>6946</v>
      </c>
      <c r="AG135" t="s">
        <v>2571</v>
      </c>
      <c r="AI135">
        <v>3027</v>
      </c>
      <c r="AK135">
        <v>7581</v>
      </c>
      <c r="AP135" t="s">
        <v>2572</v>
      </c>
      <c r="AR135">
        <v>10852</v>
      </c>
      <c r="AT135">
        <v>11592</v>
      </c>
      <c r="AV135" t="s">
        <v>2573</v>
      </c>
      <c r="AX135">
        <v>7787</v>
      </c>
      <c r="AZ135">
        <v>10922</v>
      </c>
      <c r="BB135" t="s">
        <v>2574</v>
      </c>
      <c r="BD135">
        <v>6869</v>
      </c>
      <c r="BF135">
        <v>6869</v>
      </c>
      <c r="BH135" t="s">
        <v>2575</v>
      </c>
      <c r="BJ135">
        <v>7654</v>
      </c>
      <c r="BL135">
        <v>7681</v>
      </c>
    </row>
    <row r="136" spans="1:64">
      <c r="A136">
        <f t="shared" si="25"/>
        <v>6.844</v>
      </c>
      <c r="B136">
        <f t="shared" si="26"/>
        <v>11.057</v>
      </c>
      <c r="C136">
        <f t="shared" si="27"/>
        <v>6.927</v>
      </c>
      <c r="D136">
        <f t="shared" si="28"/>
        <v>6.963</v>
      </c>
      <c r="E136">
        <f t="shared" si="29"/>
        <v>11.723</v>
      </c>
      <c r="F136">
        <f t="shared" si="30"/>
        <v>6.927</v>
      </c>
      <c r="G136">
        <f t="shared" si="31"/>
        <v>3.04</v>
      </c>
      <c r="H136">
        <f t="shared" si="32"/>
        <v>7.849</v>
      </c>
      <c r="I136">
        <f t="shared" si="33"/>
        <v>7.7</v>
      </c>
      <c r="J136">
        <f t="shared" si="34"/>
        <v>7.739</v>
      </c>
      <c r="K136">
        <f t="shared" si="35"/>
        <v>10.99</v>
      </c>
      <c r="L136">
        <f t="shared" si="36"/>
        <v>7.761</v>
      </c>
      <c r="N136">
        <v>6844</v>
      </c>
      <c r="O136">
        <v>11057</v>
      </c>
      <c r="P136">
        <v>6927</v>
      </c>
      <c r="Q136">
        <v>6963</v>
      </c>
      <c r="R136">
        <v>11723</v>
      </c>
      <c r="S136">
        <v>6927</v>
      </c>
      <c r="T136">
        <v>3040</v>
      </c>
      <c r="U136">
        <v>7849</v>
      </c>
      <c r="V136">
        <v>7700</v>
      </c>
      <c r="W136">
        <v>7739</v>
      </c>
      <c r="X136">
        <v>10990</v>
      </c>
      <c r="Y136">
        <v>7761</v>
      </c>
      <c r="AA136" t="s">
        <v>2576</v>
      </c>
      <c r="AC136">
        <v>6804</v>
      </c>
      <c r="AE136">
        <v>6948</v>
      </c>
      <c r="AG136" t="s">
        <v>2577</v>
      </c>
      <c r="AI136">
        <v>3027</v>
      </c>
      <c r="AK136">
        <v>7595</v>
      </c>
      <c r="AP136" t="s">
        <v>2578</v>
      </c>
      <c r="AR136">
        <v>10910</v>
      </c>
      <c r="AT136">
        <v>11629</v>
      </c>
      <c r="AV136" t="s">
        <v>2579</v>
      </c>
      <c r="AX136">
        <v>7802</v>
      </c>
      <c r="AZ136">
        <v>10925</v>
      </c>
      <c r="BB136" t="s">
        <v>2580</v>
      </c>
      <c r="BD136">
        <v>6869</v>
      </c>
      <c r="BF136">
        <v>6869</v>
      </c>
      <c r="BH136" t="s">
        <v>2581</v>
      </c>
      <c r="BJ136">
        <v>7655</v>
      </c>
      <c r="BL136">
        <v>7685</v>
      </c>
    </row>
    <row r="137" spans="1:64">
      <c r="A137">
        <f t="shared" si="25"/>
        <v>6.844</v>
      </c>
      <c r="B137">
        <f t="shared" si="26"/>
        <v>11.06</v>
      </c>
      <c r="C137">
        <f t="shared" si="27"/>
        <v>6.934</v>
      </c>
      <c r="D137">
        <f t="shared" si="28"/>
        <v>6.966</v>
      </c>
      <c r="E137">
        <f t="shared" si="29"/>
        <v>11.748</v>
      </c>
      <c r="F137">
        <f t="shared" si="30"/>
        <v>6.934</v>
      </c>
      <c r="G137">
        <f t="shared" si="31"/>
        <v>3.042</v>
      </c>
      <c r="H137">
        <f t="shared" si="32"/>
        <v>7.859</v>
      </c>
      <c r="I137">
        <f t="shared" si="33"/>
        <v>7.701</v>
      </c>
      <c r="J137">
        <f t="shared" si="34"/>
        <v>7.786</v>
      </c>
      <c r="K137">
        <f t="shared" si="35"/>
        <v>11.034</v>
      </c>
      <c r="L137">
        <f t="shared" si="36"/>
        <v>7.763</v>
      </c>
      <c r="N137">
        <v>6844</v>
      </c>
      <c r="O137">
        <v>11060</v>
      </c>
      <c r="P137">
        <v>6934</v>
      </c>
      <c r="Q137">
        <v>6966</v>
      </c>
      <c r="R137">
        <v>11748</v>
      </c>
      <c r="S137">
        <v>6934</v>
      </c>
      <c r="T137">
        <v>3042</v>
      </c>
      <c r="U137">
        <v>7859</v>
      </c>
      <c r="V137">
        <v>7701</v>
      </c>
      <c r="W137">
        <v>7786</v>
      </c>
      <c r="X137">
        <v>11034</v>
      </c>
      <c r="Y137">
        <v>7763</v>
      </c>
      <c r="AA137" t="s">
        <v>2582</v>
      </c>
      <c r="AC137">
        <v>6804</v>
      </c>
      <c r="AE137">
        <v>6950</v>
      </c>
      <c r="AG137" t="s">
        <v>2583</v>
      </c>
      <c r="AI137">
        <v>3028</v>
      </c>
      <c r="AK137">
        <v>7600</v>
      </c>
      <c r="AP137" t="s">
        <v>2584</v>
      </c>
      <c r="AR137">
        <v>10973</v>
      </c>
      <c r="AT137">
        <v>11636</v>
      </c>
      <c r="AV137" t="s">
        <v>2585</v>
      </c>
      <c r="AX137">
        <v>7811</v>
      </c>
      <c r="AZ137">
        <v>10941</v>
      </c>
      <c r="BB137" t="s">
        <v>2586</v>
      </c>
      <c r="BD137">
        <v>6872</v>
      </c>
      <c r="BF137">
        <v>6872</v>
      </c>
      <c r="BH137" t="s">
        <v>2587</v>
      </c>
      <c r="BJ137">
        <v>7658</v>
      </c>
      <c r="BL137">
        <v>7701</v>
      </c>
    </row>
    <row r="138" spans="1:64">
      <c r="A138">
        <f t="shared" si="25"/>
        <v>6.847</v>
      </c>
      <c r="B138">
        <f t="shared" si="26"/>
        <v>11.063</v>
      </c>
      <c r="C138">
        <f t="shared" si="27"/>
        <v>6.946</v>
      </c>
      <c r="D138">
        <f t="shared" si="28"/>
        <v>6.975</v>
      </c>
      <c r="E138">
        <f t="shared" si="29"/>
        <v>11.764</v>
      </c>
      <c r="F138">
        <f t="shared" si="30"/>
        <v>6.946</v>
      </c>
      <c r="G138">
        <f t="shared" si="31"/>
        <v>3.042</v>
      </c>
      <c r="H138">
        <f t="shared" si="32"/>
        <v>7.867</v>
      </c>
      <c r="I138">
        <f t="shared" si="33"/>
        <v>7.711</v>
      </c>
      <c r="J138">
        <f t="shared" si="34"/>
        <v>7.787</v>
      </c>
      <c r="K138">
        <f t="shared" si="35"/>
        <v>11.038</v>
      </c>
      <c r="L138">
        <f t="shared" si="36"/>
        <v>7.818</v>
      </c>
      <c r="N138">
        <v>6847</v>
      </c>
      <c r="O138">
        <v>11063</v>
      </c>
      <c r="P138">
        <v>6946</v>
      </c>
      <c r="Q138">
        <v>6975</v>
      </c>
      <c r="R138">
        <v>11764</v>
      </c>
      <c r="S138">
        <v>6946</v>
      </c>
      <c r="T138">
        <v>3042</v>
      </c>
      <c r="U138">
        <v>7867</v>
      </c>
      <c r="V138">
        <v>7711</v>
      </c>
      <c r="W138">
        <v>7787</v>
      </c>
      <c r="X138">
        <v>11038</v>
      </c>
      <c r="Y138">
        <v>7818</v>
      </c>
      <c r="AA138" t="s">
        <v>2588</v>
      </c>
      <c r="AC138">
        <v>6805</v>
      </c>
      <c r="AE138">
        <v>6951</v>
      </c>
      <c r="AG138" t="s">
        <v>2589</v>
      </c>
      <c r="AI138">
        <v>3028</v>
      </c>
      <c r="AK138">
        <v>7600</v>
      </c>
      <c r="AP138" t="s">
        <v>2590</v>
      </c>
      <c r="AR138">
        <v>10992</v>
      </c>
      <c r="AT138">
        <v>11660</v>
      </c>
      <c r="AV138" t="s">
        <v>2591</v>
      </c>
      <c r="AX138">
        <v>7815</v>
      </c>
      <c r="AZ138">
        <v>10950</v>
      </c>
      <c r="BB138" t="s">
        <v>2592</v>
      </c>
      <c r="BD138">
        <v>6892</v>
      </c>
      <c r="BF138">
        <v>6892</v>
      </c>
      <c r="BH138" t="s">
        <v>2593</v>
      </c>
      <c r="BJ138">
        <v>7670</v>
      </c>
      <c r="BL138">
        <v>7711</v>
      </c>
    </row>
    <row r="139" spans="1:64">
      <c r="A139">
        <f t="shared" si="25"/>
        <v>6.847</v>
      </c>
      <c r="B139">
        <f t="shared" si="26"/>
        <v>11.124</v>
      </c>
      <c r="C139">
        <f t="shared" si="27"/>
        <v>6.948</v>
      </c>
      <c r="D139">
        <f t="shared" si="28"/>
        <v>6.977</v>
      </c>
      <c r="E139">
        <f t="shared" si="29"/>
        <v>11.855</v>
      </c>
      <c r="F139">
        <f t="shared" si="30"/>
        <v>6.948</v>
      </c>
      <c r="G139">
        <f t="shared" si="31"/>
        <v>3.042</v>
      </c>
      <c r="H139">
        <f t="shared" si="32"/>
        <v>7.869</v>
      </c>
      <c r="I139">
        <f t="shared" si="33"/>
        <v>7.711</v>
      </c>
      <c r="J139">
        <f t="shared" si="34"/>
        <v>7.812</v>
      </c>
      <c r="K139">
        <f t="shared" si="35"/>
        <v>11.073</v>
      </c>
      <c r="L139">
        <f t="shared" si="36"/>
        <v>7.825</v>
      </c>
      <c r="N139">
        <v>6847</v>
      </c>
      <c r="O139">
        <v>11124</v>
      </c>
      <c r="P139">
        <v>6948</v>
      </c>
      <c r="Q139">
        <v>6977</v>
      </c>
      <c r="R139">
        <v>11855</v>
      </c>
      <c r="S139">
        <v>6948</v>
      </c>
      <c r="T139">
        <v>3042</v>
      </c>
      <c r="U139">
        <v>7869</v>
      </c>
      <c r="V139">
        <v>7711</v>
      </c>
      <c r="W139">
        <v>7812</v>
      </c>
      <c r="X139">
        <v>11073</v>
      </c>
      <c r="Y139">
        <v>7825</v>
      </c>
      <c r="AA139" t="s">
        <v>2594</v>
      </c>
      <c r="AC139">
        <v>6816</v>
      </c>
      <c r="AE139">
        <v>6953</v>
      </c>
      <c r="AG139" t="s">
        <v>2595</v>
      </c>
      <c r="AI139">
        <v>3034</v>
      </c>
      <c r="AK139">
        <v>7610</v>
      </c>
      <c r="AP139" t="s">
        <v>2596</v>
      </c>
      <c r="AR139">
        <v>10997</v>
      </c>
      <c r="AT139">
        <v>11678</v>
      </c>
      <c r="AV139" t="s">
        <v>2597</v>
      </c>
      <c r="AX139">
        <v>7816</v>
      </c>
      <c r="AZ139">
        <v>10954</v>
      </c>
      <c r="BB139" t="s">
        <v>2598</v>
      </c>
      <c r="BD139">
        <v>6903</v>
      </c>
      <c r="BF139">
        <v>6903</v>
      </c>
      <c r="BH139" t="s">
        <v>2599</v>
      </c>
      <c r="BJ139">
        <v>7670</v>
      </c>
      <c r="BL139">
        <v>7711</v>
      </c>
    </row>
    <row r="140" spans="1:64">
      <c r="A140">
        <f t="shared" si="25"/>
        <v>6.848</v>
      </c>
      <c r="B140">
        <f t="shared" si="26"/>
        <v>11.145</v>
      </c>
      <c r="C140">
        <f t="shared" si="27"/>
        <v>6.951</v>
      </c>
      <c r="D140">
        <f t="shared" si="28"/>
        <v>6.977</v>
      </c>
      <c r="E140">
        <f t="shared" si="29"/>
        <v>11.856</v>
      </c>
      <c r="F140">
        <f t="shared" si="30"/>
        <v>6.951</v>
      </c>
      <c r="G140">
        <f t="shared" si="31"/>
        <v>3.052</v>
      </c>
      <c r="H140">
        <f t="shared" si="32"/>
        <v>7.887</v>
      </c>
      <c r="I140">
        <f t="shared" si="33"/>
        <v>7.712</v>
      </c>
      <c r="J140">
        <f t="shared" si="34"/>
        <v>7.814</v>
      </c>
      <c r="K140">
        <f t="shared" si="35"/>
        <v>11.084</v>
      </c>
      <c r="L140">
        <f t="shared" si="36"/>
        <v>7.825</v>
      </c>
      <c r="N140">
        <v>6848</v>
      </c>
      <c r="O140">
        <v>11145</v>
      </c>
      <c r="P140">
        <v>6951</v>
      </c>
      <c r="Q140">
        <v>6977</v>
      </c>
      <c r="R140">
        <v>11856</v>
      </c>
      <c r="S140">
        <v>6951</v>
      </c>
      <c r="T140">
        <v>3052</v>
      </c>
      <c r="U140">
        <v>7887</v>
      </c>
      <c r="V140">
        <v>7712</v>
      </c>
      <c r="W140">
        <v>7814</v>
      </c>
      <c r="X140">
        <v>11084</v>
      </c>
      <c r="Y140">
        <v>7825</v>
      </c>
      <c r="AA140" t="s">
        <v>2600</v>
      </c>
      <c r="AC140">
        <v>6816</v>
      </c>
      <c r="AE140">
        <v>6956</v>
      </c>
      <c r="AG140" t="s">
        <v>2601</v>
      </c>
      <c r="AI140">
        <v>3035</v>
      </c>
      <c r="AK140">
        <v>7624</v>
      </c>
      <c r="AP140" t="s">
        <v>2602</v>
      </c>
      <c r="AR140">
        <v>11015</v>
      </c>
      <c r="AT140">
        <v>11695</v>
      </c>
      <c r="AV140" t="s">
        <v>2603</v>
      </c>
      <c r="AX140">
        <v>7817</v>
      </c>
      <c r="AZ140">
        <v>10957</v>
      </c>
      <c r="BB140" t="s">
        <v>2604</v>
      </c>
      <c r="BD140">
        <v>6907</v>
      </c>
      <c r="BF140">
        <v>6907</v>
      </c>
      <c r="BH140" t="s">
        <v>2605</v>
      </c>
      <c r="BJ140">
        <v>7674</v>
      </c>
      <c r="BL140">
        <v>7712</v>
      </c>
    </row>
    <row r="141" spans="1:64">
      <c r="A141">
        <f t="shared" si="25"/>
        <v>6.858</v>
      </c>
      <c r="B141">
        <f t="shared" si="26"/>
        <v>11.153</v>
      </c>
      <c r="C141">
        <f t="shared" si="27"/>
        <v>6.964</v>
      </c>
      <c r="D141">
        <f t="shared" si="28"/>
        <v>6.986</v>
      </c>
      <c r="E141">
        <f t="shared" si="29"/>
        <v>11.856</v>
      </c>
      <c r="F141">
        <f t="shared" si="30"/>
        <v>6.964</v>
      </c>
      <c r="G141">
        <f t="shared" si="31"/>
        <v>3.053</v>
      </c>
      <c r="H141">
        <f t="shared" si="32"/>
        <v>7.916</v>
      </c>
      <c r="I141">
        <f t="shared" si="33"/>
        <v>7.719</v>
      </c>
      <c r="J141">
        <f t="shared" si="34"/>
        <v>7.85</v>
      </c>
      <c r="K141">
        <f t="shared" si="35"/>
        <v>11.093</v>
      </c>
      <c r="L141">
        <f t="shared" si="36"/>
        <v>7.845</v>
      </c>
      <c r="N141">
        <v>6858</v>
      </c>
      <c r="O141">
        <v>11153</v>
      </c>
      <c r="P141">
        <v>6964</v>
      </c>
      <c r="Q141">
        <v>6986</v>
      </c>
      <c r="R141">
        <v>11856</v>
      </c>
      <c r="S141">
        <v>6964</v>
      </c>
      <c r="T141">
        <v>3053</v>
      </c>
      <c r="U141">
        <v>7916</v>
      </c>
      <c r="V141">
        <v>7719</v>
      </c>
      <c r="W141">
        <v>7850</v>
      </c>
      <c r="X141">
        <v>11093</v>
      </c>
      <c r="Y141">
        <v>7845</v>
      </c>
      <c r="AA141" t="s">
        <v>2606</v>
      </c>
      <c r="AC141">
        <v>6816</v>
      </c>
      <c r="AE141">
        <v>6956</v>
      </c>
      <c r="AG141" t="s">
        <v>2607</v>
      </c>
      <c r="AI141">
        <v>3037</v>
      </c>
      <c r="AK141">
        <v>7674</v>
      </c>
      <c r="AP141" t="s">
        <v>2608</v>
      </c>
      <c r="AR141">
        <v>11021</v>
      </c>
      <c r="AT141">
        <v>11709</v>
      </c>
      <c r="AV141" t="s">
        <v>2609</v>
      </c>
      <c r="AX141">
        <v>7829</v>
      </c>
      <c r="AZ141">
        <v>10964</v>
      </c>
      <c r="BB141" t="s">
        <v>2610</v>
      </c>
      <c r="BD141">
        <v>6908</v>
      </c>
      <c r="BF141">
        <v>6908</v>
      </c>
      <c r="BH141" t="s">
        <v>2611</v>
      </c>
      <c r="BJ141">
        <v>7681</v>
      </c>
      <c r="BL141">
        <v>7719</v>
      </c>
    </row>
    <row r="142" spans="1:64">
      <c r="A142">
        <f t="shared" si="25"/>
        <v>6.862</v>
      </c>
      <c r="B142">
        <f t="shared" si="26"/>
        <v>11.19</v>
      </c>
      <c r="C142">
        <f t="shared" si="27"/>
        <v>6.969</v>
      </c>
      <c r="D142">
        <f t="shared" si="28"/>
        <v>6.994</v>
      </c>
      <c r="E142">
        <f t="shared" si="29"/>
        <v>11.857</v>
      </c>
      <c r="F142">
        <f t="shared" si="30"/>
        <v>6.969</v>
      </c>
      <c r="G142">
        <f t="shared" si="31"/>
        <v>3.055</v>
      </c>
      <c r="H142">
        <f t="shared" si="32"/>
        <v>7.921</v>
      </c>
      <c r="I142">
        <f t="shared" si="33"/>
        <v>7.735</v>
      </c>
      <c r="J142">
        <f t="shared" si="34"/>
        <v>7.854</v>
      </c>
      <c r="K142">
        <f t="shared" si="35"/>
        <v>11.108</v>
      </c>
      <c r="L142">
        <f t="shared" si="36"/>
        <v>7.865</v>
      </c>
      <c r="N142">
        <v>6862</v>
      </c>
      <c r="O142">
        <v>11190</v>
      </c>
      <c r="P142">
        <v>6969</v>
      </c>
      <c r="Q142">
        <v>6994</v>
      </c>
      <c r="R142">
        <v>11857</v>
      </c>
      <c r="S142">
        <v>6969</v>
      </c>
      <c r="T142">
        <v>3055</v>
      </c>
      <c r="U142">
        <v>7921</v>
      </c>
      <c r="V142">
        <v>7735</v>
      </c>
      <c r="W142">
        <v>7854</v>
      </c>
      <c r="X142">
        <v>11108</v>
      </c>
      <c r="Y142">
        <v>7865</v>
      </c>
      <c r="AA142" t="s">
        <v>2612</v>
      </c>
      <c r="AC142">
        <v>6824</v>
      </c>
      <c r="AE142">
        <v>6957</v>
      </c>
      <c r="AG142" t="s">
        <v>2613</v>
      </c>
      <c r="AI142">
        <v>3038</v>
      </c>
      <c r="AK142">
        <v>7706</v>
      </c>
      <c r="AP142" t="s">
        <v>2614</v>
      </c>
      <c r="AR142">
        <v>11043</v>
      </c>
      <c r="AT142">
        <v>11709</v>
      </c>
      <c r="AV142" t="s">
        <v>2615</v>
      </c>
      <c r="AX142">
        <v>7848</v>
      </c>
      <c r="AZ142">
        <v>10983</v>
      </c>
      <c r="BB142" t="s">
        <v>2616</v>
      </c>
      <c r="BD142">
        <v>6909</v>
      </c>
      <c r="BF142">
        <v>6909</v>
      </c>
      <c r="BH142" t="s">
        <v>2617</v>
      </c>
      <c r="BJ142">
        <v>7685</v>
      </c>
      <c r="BL142">
        <v>7735</v>
      </c>
    </row>
    <row r="143" spans="1:64">
      <c r="A143">
        <f t="shared" si="25"/>
        <v>6.862</v>
      </c>
      <c r="B143">
        <f t="shared" si="26"/>
        <v>11.253</v>
      </c>
      <c r="C143">
        <f t="shared" si="27"/>
        <v>6.976</v>
      </c>
      <c r="D143">
        <f t="shared" si="28"/>
        <v>6.994</v>
      </c>
      <c r="E143">
        <f t="shared" si="29"/>
        <v>11.869</v>
      </c>
      <c r="F143">
        <f t="shared" si="30"/>
        <v>6.976</v>
      </c>
      <c r="G143">
        <f t="shared" si="31"/>
        <v>3.056</v>
      </c>
      <c r="H143">
        <f t="shared" si="32"/>
        <v>7.939</v>
      </c>
      <c r="I143">
        <f t="shared" si="33"/>
        <v>7.742</v>
      </c>
      <c r="J143">
        <f t="shared" si="34"/>
        <v>7.88</v>
      </c>
      <c r="K143">
        <f t="shared" si="35"/>
        <v>11.112</v>
      </c>
      <c r="L143">
        <f t="shared" si="36"/>
        <v>7.871</v>
      </c>
      <c r="N143">
        <v>6862</v>
      </c>
      <c r="O143">
        <v>11253</v>
      </c>
      <c r="P143">
        <v>6976</v>
      </c>
      <c r="Q143">
        <v>6994</v>
      </c>
      <c r="R143">
        <v>11869</v>
      </c>
      <c r="S143">
        <v>6976</v>
      </c>
      <c r="T143">
        <v>3056</v>
      </c>
      <c r="U143">
        <v>7939</v>
      </c>
      <c r="V143">
        <v>7742</v>
      </c>
      <c r="W143">
        <v>7880</v>
      </c>
      <c r="X143">
        <v>11112</v>
      </c>
      <c r="Y143">
        <v>7871</v>
      </c>
      <c r="AA143" t="s">
        <v>2618</v>
      </c>
      <c r="AC143">
        <v>6837</v>
      </c>
      <c r="AE143">
        <v>6959</v>
      </c>
      <c r="AG143" t="s">
        <v>2619</v>
      </c>
      <c r="AI143">
        <v>3038</v>
      </c>
      <c r="AK143">
        <v>7732</v>
      </c>
      <c r="AP143" t="s">
        <v>2620</v>
      </c>
      <c r="AR143">
        <v>11057</v>
      </c>
      <c r="AT143">
        <v>11723</v>
      </c>
      <c r="AV143" t="s">
        <v>2621</v>
      </c>
      <c r="AX143">
        <v>7849</v>
      </c>
      <c r="AZ143">
        <v>10990</v>
      </c>
      <c r="BB143" t="s">
        <v>2622</v>
      </c>
      <c r="BD143">
        <v>6922</v>
      </c>
      <c r="BF143">
        <v>6922</v>
      </c>
      <c r="BH143" t="s">
        <v>2623</v>
      </c>
      <c r="BJ143">
        <v>7699</v>
      </c>
      <c r="BL143">
        <v>7754</v>
      </c>
    </row>
    <row r="144" spans="1:64">
      <c r="A144">
        <f t="shared" si="25"/>
        <v>6.872</v>
      </c>
      <c r="B144">
        <f t="shared" si="26"/>
        <v>11.27</v>
      </c>
      <c r="C144">
        <f t="shared" si="27"/>
        <v>6.977</v>
      </c>
      <c r="D144">
        <f t="shared" si="28"/>
        <v>7.003</v>
      </c>
      <c r="E144">
        <f t="shared" si="29"/>
        <v>11.878</v>
      </c>
      <c r="F144">
        <f t="shared" si="30"/>
        <v>6.977</v>
      </c>
      <c r="G144">
        <f t="shared" si="31"/>
        <v>3.056</v>
      </c>
      <c r="H144">
        <f t="shared" si="32"/>
        <v>7.94</v>
      </c>
      <c r="I144">
        <f t="shared" si="33"/>
        <v>7.754</v>
      </c>
      <c r="J144">
        <f t="shared" si="34"/>
        <v>7.895</v>
      </c>
      <c r="K144">
        <f t="shared" si="35"/>
        <v>11.116</v>
      </c>
      <c r="L144">
        <f t="shared" si="36"/>
        <v>7.873</v>
      </c>
      <c r="N144">
        <v>6872</v>
      </c>
      <c r="O144">
        <v>11270</v>
      </c>
      <c r="P144">
        <v>6977</v>
      </c>
      <c r="Q144">
        <v>7003</v>
      </c>
      <c r="R144">
        <v>11878</v>
      </c>
      <c r="S144">
        <v>6977</v>
      </c>
      <c r="T144">
        <v>3056</v>
      </c>
      <c r="U144">
        <v>7940</v>
      </c>
      <c r="V144">
        <v>7754</v>
      </c>
      <c r="W144">
        <v>7895</v>
      </c>
      <c r="X144">
        <v>11116</v>
      </c>
      <c r="Y144">
        <v>7873</v>
      </c>
      <c r="AA144" t="s">
        <v>2624</v>
      </c>
      <c r="AC144">
        <v>6844</v>
      </c>
      <c r="AE144">
        <v>6963</v>
      </c>
      <c r="AG144" t="s">
        <v>2625</v>
      </c>
      <c r="AI144">
        <v>3040</v>
      </c>
      <c r="AK144">
        <v>7739</v>
      </c>
      <c r="AP144" t="s">
        <v>2626</v>
      </c>
      <c r="AR144">
        <v>11060</v>
      </c>
      <c r="AT144">
        <v>11748</v>
      </c>
      <c r="AV144" t="s">
        <v>2627</v>
      </c>
      <c r="AX144">
        <v>7859</v>
      </c>
      <c r="AZ144">
        <v>11034</v>
      </c>
      <c r="BB144" t="s">
        <v>2628</v>
      </c>
      <c r="BD144">
        <v>6927</v>
      </c>
      <c r="BF144">
        <v>6927</v>
      </c>
      <c r="BH144" t="s">
        <v>2629</v>
      </c>
      <c r="BJ144">
        <v>7700</v>
      </c>
      <c r="BL144">
        <v>7761</v>
      </c>
    </row>
    <row r="145" spans="1:64">
      <c r="A145">
        <f t="shared" si="25"/>
        <v>6.878</v>
      </c>
      <c r="B145">
        <f t="shared" si="26"/>
        <v>11.304</v>
      </c>
      <c r="C145">
        <f t="shared" si="27"/>
        <v>6.99</v>
      </c>
      <c r="D145">
        <f t="shared" si="28"/>
        <v>7.005</v>
      </c>
      <c r="E145">
        <f t="shared" si="29"/>
        <v>11.895</v>
      </c>
      <c r="F145">
        <f t="shared" si="30"/>
        <v>6.99</v>
      </c>
      <c r="G145">
        <f t="shared" si="31"/>
        <v>3.057</v>
      </c>
      <c r="H145">
        <f t="shared" si="32"/>
        <v>7.946</v>
      </c>
      <c r="I145">
        <f t="shared" si="33"/>
        <v>7.761</v>
      </c>
      <c r="J145">
        <f t="shared" si="34"/>
        <v>7.91</v>
      </c>
      <c r="K145">
        <f t="shared" si="35"/>
        <v>11.132</v>
      </c>
      <c r="L145">
        <f t="shared" si="36"/>
        <v>7.91</v>
      </c>
      <c r="N145">
        <v>6878</v>
      </c>
      <c r="O145">
        <v>11304</v>
      </c>
      <c r="P145">
        <v>6990</v>
      </c>
      <c r="Q145">
        <v>7005</v>
      </c>
      <c r="R145">
        <v>11895</v>
      </c>
      <c r="S145">
        <v>6990</v>
      </c>
      <c r="T145">
        <v>3057</v>
      </c>
      <c r="U145">
        <v>7946</v>
      </c>
      <c r="V145">
        <v>7761</v>
      </c>
      <c r="W145">
        <v>7910</v>
      </c>
      <c r="X145">
        <v>11132</v>
      </c>
      <c r="Y145">
        <v>7910</v>
      </c>
      <c r="AA145" t="s">
        <v>2630</v>
      </c>
      <c r="AC145">
        <v>6844</v>
      </c>
      <c r="AE145">
        <v>6966</v>
      </c>
      <c r="AG145" t="s">
        <v>2631</v>
      </c>
      <c r="AI145">
        <v>3042</v>
      </c>
      <c r="AK145">
        <v>7786</v>
      </c>
      <c r="AP145" t="s">
        <v>2632</v>
      </c>
      <c r="AR145">
        <v>11063</v>
      </c>
      <c r="AT145">
        <v>11764</v>
      </c>
      <c r="AV145" t="s">
        <v>2633</v>
      </c>
      <c r="AX145">
        <v>7867</v>
      </c>
      <c r="AZ145">
        <v>11038</v>
      </c>
      <c r="BB145" t="s">
        <v>2634</v>
      </c>
      <c r="BD145">
        <v>6934</v>
      </c>
      <c r="BF145">
        <v>6934</v>
      </c>
      <c r="BH145" t="s">
        <v>2635</v>
      </c>
      <c r="BJ145">
        <v>7701</v>
      </c>
      <c r="BL145">
        <v>7763</v>
      </c>
    </row>
    <row r="146" spans="1:64">
      <c r="A146">
        <f t="shared" si="25"/>
        <v>6.896</v>
      </c>
      <c r="B146">
        <f t="shared" si="26"/>
        <v>11.414</v>
      </c>
      <c r="C146">
        <f t="shared" si="27"/>
        <v>6.99</v>
      </c>
      <c r="D146">
        <f t="shared" si="28"/>
        <v>7.013</v>
      </c>
      <c r="E146">
        <f t="shared" si="29"/>
        <v>11.896</v>
      </c>
      <c r="F146">
        <f t="shared" si="30"/>
        <v>6.99</v>
      </c>
      <c r="G146">
        <f t="shared" si="31"/>
        <v>3.059</v>
      </c>
      <c r="H146">
        <f t="shared" si="32"/>
        <v>7.961</v>
      </c>
      <c r="I146">
        <f t="shared" si="33"/>
        <v>7.763</v>
      </c>
      <c r="J146">
        <f t="shared" si="34"/>
        <v>7.932</v>
      </c>
      <c r="K146">
        <f t="shared" si="35"/>
        <v>11.14</v>
      </c>
      <c r="L146">
        <f t="shared" si="36"/>
        <v>7.912</v>
      </c>
      <c r="N146">
        <v>6896</v>
      </c>
      <c r="O146">
        <v>11414</v>
      </c>
      <c r="P146">
        <v>6990</v>
      </c>
      <c r="Q146">
        <v>7013</v>
      </c>
      <c r="R146">
        <v>11896</v>
      </c>
      <c r="S146">
        <v>6990</v>
      </c>
      <c r="T146">
        <v>3059</v>
      </c>
      <c r="U146">
        <v>7961</v>
      </c>
      <c r="V146">
        <v>7763</v>
      </c>
      <c r="W146">
        <v>7932</v>
      </c>
      <c r="X146">
        <v>11140</v>
      </c>
      <c r="Y146">
        <v>7912</v>
      </c>
      <c r="AA146" t="s">
        <v>2636</v>
      </c>
      <c r="AC146">
        <v>6847</v>
      </c>
      <c r="AE146">
        <v>6975</v>
      </c>
      <c r="AG146" t="s">
        <v>2637</v>
      </c>
      <c r="AI146">
        <v>3042</v>
      </c>
      <c r="AK146">
        <v>7787</v>
      </c>
      <c r="AP146" t="s">
        <v>2638</v>
      </c>
      <c r="AR146">
        <v>11124</v>
      </c>
      <c r="AT146">
        <v>11855</v>
      </c>
      <c r="AV146" t="s">
        <v>2639</v>
      </c>
      <c r="AX146">
        <v>7869</v>
      </c>
      <c r="AZ146">
        <v>11073</v>
      </c>
      <c r="BB146" t="s">
        <v>2640</v>
      </c>
      <c r="BD146">
        <v>6946</v>
      </c>
      <c r="BF146">
        <v>6946</v>
      </c>
      <c r="BH146" t="s">
        <v>2641</v>
      </c>
      <c r="BJ146">
        <v>7711</v>
      </c>
      <c r="BL146">
        <v>7818</v>
      </c>
    </row>
    <row r="147" spans="1:64">
      <c r="A147">
        <f t="shared" si="25"/>
        <v>6.898</v>
      </c>
      <c r="B147">
        <f t="shared" si="26"/>
        <v>11.419</v>
      </c>
      <c r="C147">
        <f t="shared" si="27"/>
        <v>6.993</v>
      </c>
      <c r="D147">
        <f t="shared" si="28"/>
        <v>7.014</v>
      </c>
      <c r="E147">
        <f t="shared" si="29"/>
        <v>11.902</v>
      </c>
      <c r="F147">
        <f t="shared" si="30"/>
        <v>6.993</v>
      </c>
      <c r="G147">
        <f t="shared" si="31"/>
        <v>3.059</v>
      </c>
      <c r="H147">
        <f t="shared" si="32"/>
        <v>7.985</v>
      </c>
      <c r="I147">
        <f t="shared" si="33"/>
        <v>7.818</v>
      </c>
      <c r="J147">
        <f t="shared" si="34"/>
        <v>8.019</v>
      </c>
      <c r="K147">
        <f t="shared" si="35"/>
        <v>11.172</v>
      </c>
      <c r="L147">
        <f t="shared" si="36"/>
        <v>7.917</v>
      </c>
      <c r="N147">
        <v>6898</v>
      </c>
      <c r="O147">
        <v>11419</v>
      </c>
      <c r="P147">
        <v>6993</v>
      </c>
      <c r="Q147">
        <v>7014</v>
      </c>
      <c r="R147">
        <v>11902</v>
      </c>
      <c r="S147">
        <v>6993</v>
      </c>
      <c r="T147">
        <v>3059</v>
      </c>
      <c r="U147">
        <v>7985</v>
      </c>
      <c r="V147">
        <v>7818</v>
      </c>
      <c r="W147">
        <v>8019</v>
      </c>
      <c r="X147">
        <v>11172</v>
      </c>
      <c r="Y147">
        <v>7917</v>
      </c>
      <c r="AA147" t="s">
        <v>2642</v>
      </c>
      <c r="AC147">
        <v>6847</v>
      </c>
      <c r="AE147">
        <v>6977</v>
      </c>
      <c r="AG147" t="s">
        <v>2643</v>
      </c>
      <c r="AI147">
        <v>3042</v>
      </c>
      <c r="AK147">
        <v>7812</v>
      </c>
      <c r="AP147" t="s">
        <v>2644</v>
      </c>
      <c r="AR147">
        <v>11145</v>
      </c>
      <c r="AT147">
        <v>11856</v>
      </c>
      <c r="AV147" t="s">
        <v>2645</v>
      </c>
      <c r="AX147">
        <v>7887</v>
      </c>
      <c r="AZ147">
        <v>11084</v>
      </c>
      <c r="BB147" t="s">
        <v>2646</v>
      </c>
      <c r="BD147">
        <v>6948</v>
      </c>
      <c r="BF147">
        <v>6948</v>
      </c>
      <c r="BH147" t="s">
        <v>2647</v>
      </c>
      <c r="BJ147">
        <v>7711</v>
      </c>
      <c r="BL147">
        <v>7825</v>
      </c>
    </row>
    <row r="148" spans="1:64">
      <c r="A148">
        <f t="shared" si="25"/>
        <v>6.903</v>
      </c>
      <c r="B148">
        <f t="shared" si="26"/>
        <v>11.424</v>
      </c>
      <c r="C148">
        <f t="shared" si="27"/>
        <v>6.997</v>
      </c>
      <c r="D148">
        <f t="shared" si="28"/>
        <v>7.02</v>
      </c>
      <c r="E148">
        <f t="shared" si="29"/>
        <v>11.908</v>
      </c>
      <c r="F148">
        <f t="shared" si="30"/>
        <v>6.997</v>
      </c>
      <c r="G148">
        <f t="shared" si="31"/>
        <v>3.059</v>
      </c>
      <c r="H148">
        <f t="shared" si="32"/>
        <v>7.986</v>
      </c>
      <c r="I148">
        <f t="shared" si="33"/>
        <v>7.825</v>
      </c>
      <c r="J148">
        <f t="shared" si="34"/>
        <v>8.032</v>
      </c>
      <c r="K148">
        <f t="shared" si="35"/>
        <v>11.18</v>
      </c>
      <c r="L148">
        <f t="shared" si="36"/>
        <v>7.936</v>
      </c>
      <c r="N148">
        <v>6903</v>
      </c>
      <c r="O148">
        <v>11424</v>
      </c>
      <c r="P148">
        <v>6997</v>
      </c>
      <c r="Q148">
        <v>7020</v>
      </c>
      <c r="R148">
        <v>11908</v>
      </c>
      <c r="S148">
        <v>6997</v>
      </c>
      <c r="T148">
        <v>3059</v>
      </c>
      <c r="U148">
        <v>7986</v>
      </c>
      <c r="V148">
        <v>7825</v>
      </c>
      <c r="W148">
        <v>8032</v>
      </c>
      <c r="X148">
        <v>11180</v>
      </c>
      <c r="Y148">
        <v>7936</v>
      </c>
      <c r="AA148" t="s">
        <v>2648</v>
      </c>
      <c r="AC148">
        <v>6848</v>
      </c>
      <c r="AE148">
        <v>6977</v>
      </c>
      <c r="AG148" t="s">
        <v>2649</v>
      </c>
      <c r="AI148">
        <v>3052</v>
      </c>
      <c r="AK148">
        <v>7814</v>
      </c>
      <c r="AP148" t="s">
        <v>2650</v>
      </c>
      <c r="AR148">
        <v>11153</v>
      </c>
      <c r="AT148">
        <v>11856</v>
      </c>
      <c r="AV148" t="s">
        <v>2651</v>
      </c>
      <c r="AX148">
        <v>7916</v>
      </c>
      <c r="AZ148">
        <v>11093</v>
      </c>
      <c r="BB148" t="s">
        <v>2652</v>
      </c>
      <c r="BD148">
        <v>6951</v>
      </c>
      <c r="BF148">
        <v>6951</v>
      </c>
      <c r="BH148" t="s">
        <v>2653</v>
      </c>
      <c r="BJ148">
        <v>7712</v>
      </c>
      <c r="BL148">
        <v>7825</v>
      </c>
    </row>
    <row r="149" spans="1:64">
      <c r="A149">
        <f t="shared" si="25"/>
        <v>6.916</v>
      </c>
      <c r="B149">
        <f t="shared" si="26"/>
        <v>11.442</v>
      </c>
      <c r="C149">
        <f t="shared" si="27"/>
        <v>6.998</v>
      </c>
      <c r="D149">
        <f t="shared" si="28"/>
        <v>7.021</v>
      </c>
      <c r="E149">
        <f t="shared" si="29"/>
        <v>11.957</v>
      </c>
      <c r="F149">
        <f t="shared" si="30"/>
        <v>6.998</v>
      </c>
      <c r="G149">
        <f t="shared" si="31"/>
        <v>3.061</v>
      </c>
      <c r="H149">
        <f t="shared" si="32"/>
        <v>7.99</v>
      </c>
      <c r="I149">
        <f t="shared" si="33"/>
        <v>7.825</v>
      </c>
      <c r="J149">
        <f t="shared" si="34"/>
        <v>8.048</v>
      </c>
      <c r="K149">
        <f t="shared" si="35"/>
        <v>11.18</v>
      </c>
      <c r="L149">
        <f t="shared" si="36"/>
        <v>7.987</v>
      </c>
      <c r="N149">
        <v>6916</v>
      </c>
      <c r="O149">
        <v>11442</v>
      </c>
      <c r="P149">
        <v>6998</v>
      </c>
      <c r="Q149">
        <v>7021</v>
      </c>
      <c r="R149">
        <v>11957</v>
      </c>
      <c r="S149">
        <v>6998</v>
      </c>
      <c r="T149">
        <v>3061</v>
      </c>
      <c r="U149">
        <v>7990</v>
      </c>
      <c r="V149">
        <v>7825</v>
      </c>
      <c r="W149">
        <v>8048</v>
      </c>
      <c r="X149">
        <v>11180</v>
      </c>
      <c r="Y149">
        <v>7987</v>
      </c>
      <c r="AA149" t="s">
        <v>2654</v>
      </c>
      <c r="AC149">
        <v>6858</v>
      </c>
      <c r="AE149">
        <v>6986</v>
      </c>
      <c r="AG149" t="s">
        <v>2655</v>
      </c>
      <c r="AI149">
        <v>3053</v>
      </c>
      <c r="AK149">
        <v>7850</v>
      </c>
      <c r="AP149" t="s">
        <v>2656</v>
      </c>
      <c r="AR149">
        <v>11190</v>
      </c>
      <c r="AT149">
        <v>11857</v>
      </c>
      <c r="AV149" t="s">
        <v>2657</v>
      </c>
      <c r="AX149">
        <v>7921</v>
      </c>
      <c r="AZ149">
        <v>11108</v>
      </c>
      <c r="BB149" t="s">
        <v>2658</v>
      </c>
      <c r="BD149">
        <v>6964</v>
      </c>
      <c r="BF149">
        <v>6964</v>
      </c>
      <c r="BH149" t="s">
        <v>2659</v>
      </c>
      <c r="BJ149">
        <v>7719</v>
      </c>
      <c r="BL149">
        <v>7845</v>
      </c>
    </row>
    <row r="150" spans="1:64">
      <c r="A150">
        <f t="shared" si="25"/>
        <v>6.926</v>
      </c>
      <c r="B150">
        <f t="shared" si="26"/>
        <v>11.446</v>
      </c>
      <c r="C150">
        <f t="shared" si="27"/>
        <v>7.008</v>
      </c>
      <c r="D150">
        <f t="shared" si="28"/>
        <v>7.021</v>
      </c>
      <c r="E150">
        <f t="shared" si="29"/>
        <v>11.99</v>
      </c>
      <c r="F150">
        <f t="shared" si="30"/>
        <v>7.008</v>
      </c>
      <c r="G150">
        <f t="shared" si="31"/>
        <v>3.061</v>
      </c>
      <c r="H150">
        <f t="shared" si="32"/>
        <v>8.016</v>
      </c>
      <c r="I150">
        <f t="shared" si="33"/>
        <v>7.845</v>
      </c>
      <c r="J150">
        <f t="shared" si="34"/>
        <v>8.049</v>
      </c>
      <c r="K150">
        <f t="shared" si="35"/>
        <v>11.238</v>
      </c>
      <c r="L150">
        <f t="shared" si="36"/>
        <v>7.997</v>
      </c>
      <c r="N150">
        <v>6926</v>
      </c>
      <c r="O150">
        <v>11446</v>
      </c>
      <c r="P150">
        <v>7008</v>
      </c>
      <c r="Q150">
        <v>7021</v>
      </c>
      <c r="R150">
        <v>11990</v>
      </c>
      <c r="S150">
        <v>7008</v>
      </c>
      <c r="T150">
        <v>3061</v>
      </c>
      <c r="U150">
        <v>8016</v>
      </c>
      <c r="V150">
        <v>7845</v>
      </c>
      <c r="W150">
        <v>8049</v>
      </c>
      <c r="X150">
        <v>11238</v>
      </c>
      <c r="Y150">
        <v>7997</v>
      </c>
      <c r="AA150" t="s">
        <v>2660</v>
      </c>
      <c r="AC150">
        <v>6862</v>
      </c>
      <c r="AE150">
        <v>6994</v>
      </c>
      <c r="AG150" t="s">
        <v>2661</v>
      </c>
      <c r="AI150">
        <v>3055</v>
      </c>
      <c r="AK150">
        <v>7854</v>
      </c>
      <c r="AP150" t="s">
        <v>2662</v>
      </c>
      <c r="AR150">
        <v>11253</v>
      </c>
      <c r="AT150">
        <v>11869</v>
      </c>
      <c r="AV150" t="s">
        <v>2663</v>
      </c>
      <c r="AX150">
        <v>7939</v>
      </c>
      <c r="AZ150">
        <v>11112</v>
      </c>
      <c r="BB150" t="s">
        <v>2664</v>
      </c>
      <c r="BD150">
        <v>6969</v>
      </c>
      <c r="BF150">
        <v>6969</v>
      </c>
      <c r="BH150" t="s">
        <v>2665</v>
      </c>
      <c r="BJ150">
        <v>7735</v>
      </c>
      <c r="BL150">
        <v>7865</v>
      </c>
    </row>
    <row r="151" spans="1:64">
      <c r="A151">
        <f t="shared" si="25"/>
        <v>6.928</v>
      </c>
      <c r="B151">
        <f t="shared" si="26"/>
        <v>11.501</v>
      </c>
      <c r="C151">
        <f t="shared" si="27"/>
        <v>7.027</v>
      </c>
      <c r="D151">
        <f t="shared" si="28"/>
        <v>7.023</v>
      </c>
      <c r="E151">
        <f t="shared" si="29"/>
        <v>12.001</v>
      </c>
      <c r="F151">
        <f t="shared" si="30"/>
        <v>7.027</v>
      </c>
      <c r="G151">
        <f t="shared" si="31"/>
        <v>3.065</v>
      </c>
      <c r="H151">
        <f t="shared" si="32"/>
        <v>8.017</v>
      </c>
      <c r="I151">
        <f t="shared" si="33"/>
        <v>7.854</v>
      </c>
      <c r="J151">
        <f t="shared" si="34"/>
        <v>8.066</v>
      </c>
      <c r="K151">
        <f t="shared" si="35"/>
        <v>11.349</v>
      </c>
      <c r="L151">
        <f t="shared" si="36"/>
        <v>8.002</v>
      </c>
      <c r="N151">
        <v>6928</v>
      </c>
      <c r="O151">
        <v>11501</v>
      </c>
      <c r="P151">
        <v>7027</v>
      </c>
      <c r="Q151">
        <v>7023</v>
      </c>
      <c r="R151">
        <v>12001</v>
      </c>
      <c r="S151">
        <v>7027</v>
      </c>
      <c r="T151">
        <v>3065</v>
      </c>
      <c r="U151">
        <v>8017</v>
      </c>
      <c r="V151">
        <v>7854</v>
      </c>
      <c r="W151">
        <v>8066</v>
      </c>
      <c r="X151">
        <v>11349</v>
      </c>
      <c r="Y151">
        <v>8002</v>
      </c>
      <c r="AA151" t="s">
        <v>2666</v>
      </c>
      <c r="AC151">
        <v>6862</v>
      </c>
      <c r="AE151">
        <v>6994</v>
      </c>
      <c r="AG151" t="s">
        <v>2667</v>
      </c>
      <c r="AI151">
        <v>3056</v>
      </c>
      <c r="AK151">
        <v>7880</v>
      </c>
      <c r="AP151" t="s">
        <v>2668</v>
      </c>
      <c r="AR151">
        <v>11270</v>
      </c>
      <c r="AT151">
        <v>11878</v>
      </c>
      <c r="AV151" t="s">
        <v>2669</v>
      </c>
      <c r="AX151">
        <v>7940</v>
      </c>
      <c r="AZ151">
        <v>11116</v>
      </c>
      <c r="BB151" t="s">
        <v>2670</v>
      </c>
      <c r="BD151">
        <v>6976</v>
      </c>
      <c r="BF151">
        <v>6976</v>
      </c>
      <c r="BH151" t="s">
        <v>2671</v>
      </c>
      <c r="BJ151">
        <v>7742</v>
      </c>
      <c r="BL151">
        <v>7871</v>
      </c>
    </row>
    <row r="152" spans="1:64">
      <c r="A152">
        <f t="shared" si="25"/>
        <v>6.935</v>
      </c>
      <c r="B152">
        <f t="shared" si="26"/>
        <v>11.579</v>
      </c>
      <c r="C152">
        <f t="shared" si="27"/>
        <v>7.028</v>
      </c>
      <c r="D152">
        <f t="shared" si="28"/>
        <v>7.024</v>
      </c>
      <c r="E152">
        <f t="shared" si="29"/>
        <v>12.027</v>
      </c>
      <c r="F152">
        <f t="shared" si="30"/>
        <v>7.028</v>
      </c>
      <c r="G152">
        <f t="shared" si="31"/>
        <v>3.066</v>
      </c>
      <c r="H152">
        <f t="shared" si="32"/>
        <v>8.021</v>
      </c>
      <c r="I152">
        <f t="shared" si="33"/>
        <v>7.865</v>
      </c>
      <c r="J152">
        <f t="shared" si="34"/>
        <v>8.077</v>
      </c>
      <c r="K152">
        <f t="shared" si="35"/>
        <v>11.351</v>
      </c>
      <c r="L152">
        <f t="shared" si="36"/>
        <v>8.016</v>
      </c>
      <c r="N152">
        <v>6935</v>
      </c>
      <c r="O152">
        <v>11579</v>
      </c>
      <c r="P152">
        <v>7028</v>
      </c>
      <c r="Q152">
        <v>7024</v>
      </c>
      <c r="R152">
        <v>12027</v>
      </c>
      <c r="S152">
        <v>7028</v>
      </c>
      <c r="T152">
        <v>3066</v>
      </c>
      <c r="U152">
        <v>8021</v>
      </c>
      <c r="V152">
        <v>7865</v>
      </c>
      <c r="W152">
        <v>8077</v>
      </c>
      <c r="X152">
        <v>11351</v>
      </c>
      <c r="Y152">
        <v>8016</v>
      </c>
      <c r="AA152" t="s">
        <v>2672</v>
      </c>
      <c r="AC152">
        <v>6872</v>
      </c>
      <c r="AE152">
        <v>7003</v>
      </c>
      <c r="AG152" t="s">
        <v>2673</v>
      </c>
      <c r="AI152">
        <v>3056</v>
      </c>
      <c r="AK152">
        <v>7895</v>
      </c>
      <c r="AP152" t="s">
        <v>2674</v>
      </c>
      <c r="AR152">
        <v>11304</v>
      </c>
      <c r="AT152">
        <v>11895</v>
      </c>
      <c r="AV152" t="s">
        <v>2675</v>
      </c>
      <c r="AX152">
        <v>7946</v>
      </c>
      <c r="AZ152">
        <v>11132</v>
      </c>
      <c r="BB152" t="s">
        <v>2676</v>
      </c>
      <c r="BD152">
        <v>6977</v>
      </c>
      <c r="BF152">
        <v>6977</v>
      </c>
      <c r="BH152" t="s">
        <v>2677</v>
      </c>
      <c r="BJ152">
        <v>7754</v>
      </c>
      <c r="BL152">
        <v>7873</v>
      </c>
    </row>
    <row r="153" spans="1:64">
      <c r="A153">
        <f t="shared" si="25"/>
        <v>6.936</v>
      </c>
      <c r="B153">
        <f t="shared" si="26"/>
        <v>11.583</v>
      </c>
      <c r="C153">
        <f t="shared" si="27"/>
        <v>7.035</v>
      </c>
      <c r="D153">
        <f t="shared" si="28"/>
        <v>7.025</v>
      </c>
      <c r="E153">
        <f t="shared" si="29"/>
        <v>12.045</v>
      </c>
      <c r="F153">
        <f t="shared" si="30"/>
        <v>7.035</v>
      </c>
      <c r="G153">
        <f t="shared" si="31"/>
        <v>3.067</v>
      </c>
      <c r="H153">
        <f t="shared" si="32"/>
        <v>8.027</v>
      </c>
      <c r="I153">
        <f t="shared" si="33"/>
        <v>7.871</v>
      </c>
      <c r="J153">
        <f t="shared" si="34"/>
        <v>8.188</v>
      </c>
      <c r="K153">
        <f t="shared" si="35"/>
        <v>11.433</v>
      </c>
      <c r="L153">
        <f t="shared" si="36"/>
        <v>8.017</v>
      </c>
      <c r="N153">
        <v>6936</v>
      </c>
      <c r="O153">
        <v>11583</v>
      </c>
      <c r="P153">
        <v>7035</v>
      </c>
      <c r="Q153">
        <v>7025</v>
      </c>
      <c r="R153">
        <v>12045</v>
      </c>
      <c r="S153">
        <v>7035</v>
      </c>
      <c r="T153">
        <v>3067</v>
      </c>
      <c r="U153">
        <v>8027</v>
      </c>
      <c r="V153">
        <v>7871</v>
      </c>
      <c r="W153">
        <v>8188</v>
      </c>
      <c r="X153">
        <v>11433</v>
      </c>
      <c r="Y153">
        <v>8017</v>
      </c>
      <c r="AA153" t="s">
        <v>2678</v>
      </c>
      <c r="AC153">
        <v>6878</v>
      </c>
      <c r="AE153">
        <v>7005</v>
      </c>
      <c r="AG153" t="s">
        <v>2679</v>
      </c>
      <c r="AI153">
        <v>3057</v>
      </c>
      <c r="AK153">
        <v>7910</v>
      </c>
      <c r="AP153" t="s">
        <v>2680</v>
      </c>
      <c r="AR153">
        <v>11414</v>
      </c>
      <c r="AT153">
        <v>11896</v>
      </c>
      <c r="AV153" t="s">
        <v>2681</v>
      </c>
      <c r="AX153">
        <v>7961</v>
      </c>
      <c r="AZ153">
        <v>11140</v>
      </c>
      <c r="BB153" t="s">
        <v>2682</v>
      </c>
      <c r="BD153">
        <v>6990</v>
      </c>
      <c r="BF153">
        <v>6990</v>
      </c>
      <c r="BH153" t="s">
        <v>2683</v>
      </c>
      <c r="BJ153">
        <v>7761</v>
      </c>
      <c r="BL153">
        <v>7910</v>
      </c>
    </row>
    <row r="154" spans="1:64">
      <c r="A154">
        <f t="shared" si="25"/>
        <v>6.941</v>
      </c>
      <c r="B154">
        <f t="shared" si="26"/>
        <v>11.592</v>
      </c>
      <c r="C154">
        <f t="shared" si="27"/>
        <v>7.042</v>
      </c>
      <c r="D154">
        <f t="shared" si="28"/>
        <v>7.027</v>
      </c>
      <c r="E154">
        <f t="shared" si="29"/>
        <v>12.05</v>
      </c>
      <c r="F154">
        <f t="shared" si="30"/>
        <v>7.042</v>
      </c>
      <c r="G154">
        <f t="shared" si="31"/>
        <v>3.071</v>
      </c>
      <c r="H154">
        <f t="shared" si="32"/>
        <v>8.029</v>
      </c>
      <c r="I154">
        <f t="shared" si="33"/>
        <v>7.873</v>
      </c>
      <c r="J154">
        <f t="shared" si="34"/>
        <v>8.189</v>
      </c>
      <c r="K154">
        <f t="shared" si="35"/>
        <v>11.454</v>
      </c>
      <c r="L154">
        <f t="shared" si="36"/>
        <v>8.032</v>
      </c>
      <c r="N154">
        <v>6941</v>
      </c>
      <c r="O154">
        <v>11592</v>
      </c>
      <c r="P154">
        <v>7042</v>
      </c>
      <c r="Q154">
        <v>7027</v>
      </c>
      <c r="R154">
        <v>12050</v>
      </c>
      <c r="S154">
        <v>7042</v>
      </c>
      <c r="T154">
        <v>3071</v>
      </c>
      <c r="U154">
        <v>8029</v>
      </c>
      <c r="V154">
        <v>7873</v>
      </c>
      <c r="W154">
        <v>8189</v>
      </c>
      <c r="X154">
        <v>11454</v>
      </c>
      <c r="Y154">
        <v>8032</v>
      </c>
      <c r="AA154" t="s">
        <v>2684</v>
      </c>
      <c r="AC154">
        <v>6896</v>
      </c>
      <c r="AE154">
        <v>7013</v>
      </c>
      <c r="AG154" t="s">
        <v>2685</v>
      </c>
      <c r="AI154">
        <v>3059</v>
      </c>
      <c r="AK154">
        <v>7932</v>
      </c>
      <c r="AP154" t="s">
        <v>2686</v>
      </c>
      <c r="AR154">
        <v>11419</v>
      </c>
      <c r="AT154">
        <v>11902</v>
      </c>
      <c r="AV154" t="s">
        <v>2687</v>
      </c>
      <c r="AX154">
        <v>7985</v>
      </c>
      <c r="AZ154">
        <v>11172</v>
      </c>
      <c r="BB154" t="s">
        <v>2688</v>
      </c>
      <c r="BD154">
        <v>6990</v>
      </c>
      <c r="BF154">
        <v>6990</v>
      </c>
      <c r="BH154" t="s">
        <v>2689</v>
      </c>
      <c r="BJ154">
        <v>7763</v>
      </c>
      <c r="BL154">
        <v>7912</v>
      </c>
    </row>
    <row r="155" spans="1:64">
      <c r="A155">
        <f t="shared" si="25"/>
        <v>6.944</v>
      </c>
      <c r="B155">
        <f t="shared" si="26"/>
        <v>11.629</v>
      </c>
      <c r="C155">
        <f t="shared" si="27"/>
        <v>7.056</v>
      </c>
      <c r="D155">
        <f t="shared" si="28"/>
        <v>7.028</v>
      </c>
      <c r="E155">
        <f t="shared" si="29"/>
        <v>12.063</v>
      </c>
      <c r="F155">
        <f t="shared" si="30"/>
        <v>7.056</v>
      </c>
      <c r="G155">
        <f t="shared" si="31"/>
        <v>3.074</v>
      </c>
      <c r="H155">
        <f t="shared" si="32"/>
        <v>8.041</v>
      </c>
      <c r="I155">
        <f t="shared" si="33"/>
        <v>7.896</v>
      </c>
      <c r="J155">
        <f t="shared" si="34"/>
        <v>8.19</v>
      </c>
      <c r="K155">
        <f t="shared" si="35"/>
        <v>11.456</v>
      </c>
      <c r="L155">
        <f t="shared" si="36"/>
        <v>8.043</v>
      </c>
      <c r="N155">
        <v>6944</v>
      </c>
      <c r="O155">
        <v>11629</v>
      </c>
      <c r="P155">
        <v>7056</v>
      </c>
      <c r="Q155">
        <v>7028</v>
      </c>
      <c r="R155">
        <v>12063</v>
      </c>
      <c r="S155">
        <v>7056</v>
      </c>
      <c r="T155">
        <v>3074</v>
      </c>
      <c r="U155">
        <v>8041</v>
      </c>
      <c r="V155">
        <v>7896</v>
      </c>
      <c r="W155">
        <v>8190</v>
      </c>
      <c r="X155">
        <v>11456</v>
      </c>
      <c r="Y155">
        <v>8043</v>
      </c>
      <c r="AA155" t="s">
        <v>2690</v>
      </c>
      <c r="AC155">
        <v>6898</v>
      </c>
      <c r="AE155">
        <v>7014</v>
      </c>
      <c r="AG155" t="s">
        <v>2691</v>
      </c>
      <c r="AI155">
        <v>3059</v>
      </c>
      <c r="AK155">
        <v>8019</v>
      </c>
      <c r="AP155" t="s">
        <v>2692</v>
      </c>
      <c r="AR155">
        <v>11424</v>
      </c>
      <c r="AT155">
        <v>11908</v>
      </c>
      <c r="AV155" t="s">
        <v>2693</v>
      </c>
      <c r="AX155">
        <v>7986</v>
      </c>
      <c r="AZ155">
        <v>11180</v>
      </c>
      <c r="BB155" t="s">
        <v>2694</v>
      </c>
      <c r="BD155">
        <v>6993</v>
      </c>
      <c r="BF155">
        <v>6993</v>
      </c>
      <c r="BH155" t="s">
        <v>2695</v>
      </c>
      <c r="BJ155">
        <v>7818</v>
      </c>
      <c r="BL155">
        <v>7917</v>
      </c>
    </row>
    <row r="156" spans="1:64">
      <c r="A156">
        <f t="shared" si="25"/>
        <v>6.945</v>
      </c>
      <c r="B156">
        <f t="shared" si="26"/>
        <v>11.636</v>
      </c>
      <c r="C156">
        <f t="shared" si="27"/>
        <v>7.083</v>
      </c>
      <c r="D156">
        <f t="shared" si="28"/>
        <v>7.053</v>
      </c>
      <c r="E156">
        <f t="shared" si="29"/>
        <v>12.12</v>
      </c>
      <c r="F156">
        <f t="shared" si="30"/>
        <v>7.083</v>
      </c>
      <c r="G156">
        <f t="shared" si="31"/>
        <v>3.074</v>
      </c>
      <c r="H156">
        <f t="shared" si="32"/>
        <v>8.06</v>
      </c>
      <c r="I156">
        <f t="shared" si="33"/>
        <v>7.91</v>
      </c>
      <c r="J156">
        <f t="shared" si="34"/>
        <v>8.219</v>
      </c>
      <c r="K156">
        <f t="shared" si="35"/>
        <v>11.465</v>
      </c>
      <c r="L156">
        <f t="shared" si="36"/>
        <v>8.044</v>
      </c>
      <c r="N156">
        <v>6945</v>
      </c>
      <c r="O156">
        <v>11636</v>
      </c>
      <c r="P156">
        <v>7083</v>
      </c>
      <c r="Q156">
        <v>7053</v>
      </c>
      <c r="R156">
        <v>12120</v>
      </c>
      <c r="S156">
        <v>7083</v>
      </c>
      <c r="T156">
        <v>3074</v>
      </c>
      <c r="U156">
        <v>8060</v>
      </c>
      <c r="V156">
        <v>7910</v>
      </c>
      <c r="W156">
        <v>8219</v>
      </c>
      <c r="X156">
        <v>11465</v>
      </c>
      <c r="Y156">
        <v>8044</v>
      </c>
      <c r="AA156" t="s">
        <v>2696</v>
      </c>
      <c r="AC156">
        <v>6903</v>
      </c>
      <c r="AE156">
        <v>7020</v>
      </c>
      <c r="AG156" t="s">
        <v>2697</v>
      </c>
      <c r="AI156">
        <v>3059</v>
      </c>
      <c r="AK156">
        <v>8032</v>
      </c>
      <c r="AP156" t="s">
        <v>2698</v>
      </c>
      <c r="AR156">
        <v>11442</v>
      </c>
      <c r="AT156">
        <v>11957</v>
      </c>
      <c r="AV156" t="s">
        <v>2699</v>
      </c>
      <c r="AX156">
        <v>7990</v>
      </c>
      <c r="AZ156">
        <v>11180</v>
      </c>
      <c r="BB156" t="s">
        <v>2700</v>
      </c>
      <c r="BD156">
        <v>6997</v>
      </c>
      <c r="BF156">
        <v>6997</v>
      </c>
      <c r="BH156" t="s">
        <v>2701</v>
      </c>
      <c r="BJ156">
        <v>7825</v>
      </c>
      <c r="BL156">
        <v>7936</v>
      </c>
    </row>
    <row r="157" spans="1:64">
      <c r="A157">
        <f t="shared" si="25"/>
        <v>6.946</v>
      </c>
      <c r="B157">
        <f t="shared" si="26"/>
        <v>11.66</v>
      </c>
      <c r="C157">
        <f t="shared" si="27"/>
        <v>7.086</v>
      </c>
      <c r="D157">
        <f t="shared" si="28"/>
        <v>7.058</v>
      </c>
      <c r="E157">
        <f t="shared" si="29"/>
        <v>12.122</v>
      </c>
      <c r="F157">
        <f t="shared" si="30"/>
        <v>7.086</v>
      </c>
      <c r="G157">
        <f t="shared" si="31"/>
        <v>3.074</v>
      </c>
      <c r="H157">
        <f t="shared" si="32"/>
        <v>8.083</v>
      </c>
      <c r="I157">
        <f t="shared" si="33"/>
        <v>7.912</v>
      </c>
      <c r="J157">
        <f t="shared" si="34"/>
        <v>8.25</v>
      </c>
      <c r="K157">
        <f t="shared" si="35"/>
        <v>11.486</v>
      </c>
      <c r="L157">
        <f t="shared" si="36"/>
        <v>8.078</v>
      </c>
      <c r="N157">
        <v>6946</v>
      </c>
      <c r="O157">
        <v>11660</v>
      </c>
      <c r="P157">
        <v>7086</v>
      </c>
      <c r="Q157">
        <v>7058</v>
      </c>
      <c r="R157">
        <v>12122</v>
      </c>
      <c r="S157">
        <v>7086</v>
      </c>
      <c r="T157">
        <v>3074</v>
      </c>
      <c r="U157">
        <v>8083</v>
      </c>
      <c r="V157">
        <v>7912</v>
      </c>
      <c r="W157">
        <v>8250</v>
      </c>
      <c r="X157">
        <v>11486</v>
      </c>
      <c r="Y157">
        <v>8078</v>
      </c>
      <c r="AA157" t="s">
        <v>2702</v>
      </c>
      <c r="AC157">
        <v>6916</v>
      </c>
      <c r="AE157">
        <v>7021</v>
      </c>
      <c r="AG157" t="s">
        <v>2703</v>
      </c>
      <c r="AI157">
        <v>3061</v>
      </c>
      <c r="AK157">
        <v>8048</v>
      </c>
      <c r="AP157" t="s">
        <v>2704</v>
      </c>
      <c r="AR157">
        <v>11446</v>
      </c>
      <c r="AT157">
        <v>11990</v>
      </c>
      <c r="AV157" t="s">
        <v>2705</v>
      </c>
      <c r="AX157">
        <v>8016</v>
      </c>
      <c r="AZ157">
        <v>11238</v>
      </c>
      <c r="BB157" t="s">
        <v>2706</v>
      </c>
      <c r="BD157">
        <v>6998</v>
      </c>
      <c r="BF157">
        <v>6998</v>
      </c>
      <c r="BH157" t="s">
        <v>2707</v>
      </c>
      <c r="BJ157">
        <v>7825</v>
      </c>
      <c r="BL157">
        <v>7987</v>
      </c>
    </row>
    <row r="158" spans="1:64">
      <c r="A158">
        <f t="shared" si="25"/>
        <v>6.948</v>
      </c>
      <c r="B158">
        <f t="shared" si="26"/>
        <v>11.678</v>
      </c>
      <c r="C158">
        <f t="shared" si="27"/>
        <v>7.099</v>
      </c>
      <c r="D158">
        <f t="shared" si="28"/>
        <v>7.06</v>
      </c>
      <c r="E158">
        <f t="shared" si="29"/>
        <v>12.127</v>
      </c>
      <c r="F158">
        <f t="shared" si="30"/>
        <v>7.099</v>
      </c>
      <c r="G158">
        <f t="shared" si="31"/>
        <v>3.074</v>
      </c>
      <c r="H158">
        <f t="shared" si="32"/>
        <v>8.086</v>
      </c>
      <c r="I158">
        <f t="shared" si="33"/>
        <v>7.917</v>
      </c>
      <c r="J158">
        <f t="shared" si="34"/>
        <v>8.279</v>
      </c>
      <c r="K158">
        <f t="shared" si="35"/>
        <v>11.508</v>
      </c>
      <c r="L158">
        <f t="shared" si="36"/>
        <v>8.081</v>
      </c>
      <c r="N158">
        <v>6948</v>
      </c>
      <c r="O158">
        <v>11678</v>
      </c>
      <c r="P158">
        <v>7099</v>
      </c>
      <c r="Q158">
        <v>7060</v>
      </c>
      <c r="R158">
        <v>12127</v>
      </c>
      <c r="S158">
        <v>7099</v>
      </c>
      <c r="T158">
        <v>3074</v>
      </c>
      <c r="U158">
        <v>8086</v>
      </c>
      <c r="V158">
        <v>7917</v>
      </c>
      <c r="W158">
        <v>8279</v>
      </c>
      <c r="X158">
        <v>11508</v>
      </c>
      <c r="Y158">
        <v>8081</v>
      </c>
      <c r="AA158" t="s">
        <v>2708</v>
      </c>
      <c r="AC158">
        <v>6926</v>
      </c>
      <c r="AE158">
        <v>7021</v>
      </c>
      <c r="AG158" t="s">
        <v>2709</v>
      </c>
      <c r="AI158">
        <v>3061</v>
      </c>
      <c r="AK158">
        <v>8049</v>
      </c>
      <c r="AP158" t="s">
        <v>2710</v>
      </c>
      <c r="AR158">
        <v>11501</v>
      </c>
      <c r="AT158">
        <v>12001</v>
      </c>
      <c r="AV158" t="s">
        <v>2711</v>
      </c>
      <c r="AX158">
        <v>8017</v>
      </c>
      <c r="AZ158">
        <v>11349</v>
      </c>
      <c r="BB158" t="s">
        <v>2712</v>
      </c>
      <c r="BD158">
        <v>7008</v>
      </c>
      <c r="BF158">
        <v>7008</v>
      </c>
      <c r="BH158" t="s">
        <v>2713</v>
      </c>
      <c r="BJ158">
        <v>7845</v>
      </c>
      <c r="BL158">
        <v>7997</v>
      </c>
    </row>
    <row r="159" spans="1:64">
      <c r="A159">
        <f t="shared" si="25"/>
        <v>6.95</v>
      </c>
      <c r="B159">
        <f t="shared" si="26"/>
        <v>11.695</v>
      </c>
      <c r="C159">
        <f t="shared" si="27"/>
        <v>7.101</v>
      </c>
      <c r="D159">
        <f t="shared" si="28"/>
        <v>7.076</v>
      </c>
      <c r="E159">
        <f t="shared" si="29"/>
        <v>12.128</v>
      </c>
      <c r="F159">
        <f t="shared" si="30"/>
        <v>7.101</v>
      </c>
      <c r="G159">
        <f t="shared" si="31"/>
        <v>3.076</v>
      </c>
      <c r="H159">
        <f t="shared" si="32"/>
        <v>8.104</v>
      </c>
      <c r="I159">
        <f t="shared" si="33"/>
        <v>7.935</v>
      </c>
      <c r="J159">
        <f t="shared" si="34"/>
        <v>8.297</v>
      </c>
      <c r="K159">
        <f t="shared" si="35"/>
        <v>11.557</v>
      </c>
      <c r="L159">
        <f t="shared" si="36"/>
        <v>8.101</v>
      </c>
      <c r="N159">
        <v>6950</v>
      </c>
      <c r="O159">
        <v>11695</v>
      </c>
      <c r="P159">
        <v>7101</v>
      </c>
      <c r="Q159">
        <v>7076</v>
      </c>
      <c r="R159">
        <v>12128</v>
      </c>
      <c r="S159">
        <v>7101</v>
      </c>
      <c r="T159">
        <v>3076</v>
      </c>
      <c r="U159">
        <v>8104</v>
      </c>
      <c r="V159">
        <v>7935</v>
      </c>
      <c r="W159">
        <v>8297</v>
      </c>
      <c r="X159">
        <v>11557</v>
      </c>
      <c r="Y159">
        <v>8101</v>
      </c>
      <c r="AA159" t="s">
        <v>2714</v>
      </c>
      <c r="AC159">
        <v>6928</v>
      </c>
      <c r="AE159">
        <v>7023</v>
      </c>
      <c r="AG159" t="s">
        <v>2715</v>
      </c>
      <c r="AI159">
        <v>3065</v>
      </c>
      <c r="AK159">
        <v>8066</v>
      </c>
      <c r="AP159" t="s">
        <v>2716</v>
      </c>
      <c r="AR159">
        <v>11579</v>
      </c>
      <c r="AT159">
        <v>12027</v>
      </c>
      <c r="AV159" t="s">
        <v>2717</v>
      </c>
      <c r="AX159">
        <v>8021</v>
      </c>
      <c r="AZ159">
        <v>11351</v>
      </c>
      <c r="BB159" t="s">
        <v>2718</v>
      </c>
      <c r="BD159">
        <v>7027</v>
      </c>
      <c r="BF159">
        <v>7027</v>
      </c>
      <c r="BH159" t="s">
        <v>2719</v>
      </c>
      <c r="BJ159">
        <v>7854</v>
      </c>
      <c r="BL159">
        <v>8002</v>
      </c>
    </row>
    <row r="160" spans="1:64">
      <c r="A160">
        <f t="shared" si="25"/>
        <v>6.951</v>
      </c>
      <c r="B160">
        <f t="shared" si="26"/>
        <v>11.709</v>
      </c>
      <c r="C160">
        <f t="shared" si="27"/>
        <v>7.102</v>
      </c>
      <c r="D160">
        <f t="shared" si="28"/>
        <v>7.081</v>
      </c>
      <c r="E160">
        <f t="shared" si="29"/>
        <v>12.145</v>
      </c>
      <c r="F160">
        <f t="shared" si="30"/>
        <v>7.102</v>
      </c>
      <c r="G160">
        <f t="shared" si="31"/>
        <v>3.078</v>
      </c>
      <c r="H160">
        <f t="shared" si="32"/>
        <v>8.104</v>
      </c>
      <c r="I160">
        <f t="shared" si="33"/>
        <v>7.936</v>
      </c>
      <c r="J160">
        <f t="shared" si="34"/>
        <v>8.298</v>
      </c>
      <c r="K160">
        <f t="shared" si="35"/>
        <v>11.559</v>
      </c>
      <c r="L160">
        <f t="shared" si="36"/>
        <v>8.122</v>
      </c>
      <c r="N160">
        <v>6951</v>
      </c>
      <c r="O160">
        <v>11709</v>
      </c>
      <c r="P160">
        <v>7102</v>
      </c>
      <c r="Q160">
        <v>7081</v>
      </c>
      <c r="R160">
        <v>12145</v>
      </c>
      <c r="S160">
        <v>7102</v>
      </c>
      <c r="T160">
        <v>3078</v>
      </c>
      <c r="U160">
        <v>8104</v>
      </c>
      <c r="V160">
        <v>7936</v>
      </c>
      <c r="W160">
        <v>8298</v>
      </c>
      <c r="X160">
        <v>11559</v>
      </c>
      <c r="Y160">
        <v>8122</v>
      </c>
      <c r="AA160" t="s">
        <v>2720</v>
      </c>
      <c r="AC160">
        <v>6935</v>
      </c>
      <c r="AE160">
        <v>7024</v>
      </c>
      <c r="AG160" t="s">
        <v>2721</v>
      </c>
      <c r="AI160">
        <v>3066</v>
      </c>
      <c r="AK160">
        <v>8077</v>
      </c>
      <c r="AP160" t="s">
        <v>2722</v>
      </c>
      <c r="AR160">
        <v>11583</v>
      </c>
      <c r="AT160">
        <v>12045</v>
      </c>
      <c r="AV160" t="s">
        <v>2723</v>
      </c>
      <c r="AX160">
        <v>8027</v>
      </c>
      <c r="AZ160">
        <v>11433</v>
      </c>
      <c r="BB160" t="s">
        <v>2724</v>
      </c>
      <c r="BD160">
        <v>7028</v>
      </c>
      <c r="BF160">
        <v>7028</v>
      </c>
      <c r="BH160" t="s">
        <v>2725</v>
      </c>
      <c r="BJ160">
        <v>7865</v>
      </c>
      <c r="BL160">
        <v>8016</v>
      </c>
    </row>
    <row r="161" spans="1:64">
      <c r="A161">
        <f t="shared" si="25"/>
        <v>6.953</v>
      </c>
      <c r="B161">
        <f t="shared" si="26"/>
        <v>11.709</v>
      </c>
      <c r="C161">
        <f t="shared" si="27"/>
        <v>7.106</v>
      </c>
      <c r="D161">
        <f t="shared" si="28"/>
        <v>7.086</v>
      </c>
      <c r="E161">
        <f t="shared" si="29"/>
        <v>12.166</v>
      </c>
      <c r="F161">
        <f t="shared" si="30"/>
        <v>7.106</v>
      </c>
      <c r="G161">
        <f t="shared" si="31"/>
        <v>3.078</v>
      </c>
      <c r="H161">
        <f t="shared" si="32"/>
        <v>8.106</v>
      </c>
      <c r="I161">
        <f t="shared" si="33"/>
        <v>7.939</v>
      </c>
      <c r="J161">
        <f t="shared" si="34"/>
        <v>8.301</v>
      </c>
      <c r="K161">
        <f t="shared" si="35"/>
        <v>11.594</v>
      </c>
      <c r="L161">
        <f t="shared" si="36"/>
        <v>8.129</v>
      </c>
      <c r="N161">
        <v>6953</v>
      </c>
      <c r="O161">
        <v>11709</v>
      </c>
      <c r="P161">
        <v>7106</v>
      </c>
      <c r="Q161">
        <v>7086</v>
      </c>
      <c r="R161">
        <v>12166</v>
      </c>
      <c r="S161">
        <v>7106</v>
      </c>
      <c r="T161">
        <v>3078</v>
      </c>
      <c r="U161">
        <v>8106</v>
      </c>
      <c r="V161">
        <v>7939</v>
      </c>
      <c r="W161">
        <v>8301</v>
      </c>
      <c r="X161">
        <v>11594</v>
      </c>
      <c r="Y161">
        <v>8129</v>
      </c>
      <c r="AA161" t="s">
        <v>2726</v>
      </c>
      <c r="AC161">
        <v>6936</v>
      </c>
      <c r="AE161">
        <v>7025</v>
      </c>
      <c r="AG161" t="s">
        <v>2727</v>
      </c>
      <c r="AI161">
        <v>3067</v>
      </c>
      <c r="AK161">
        <v>8188</v>
      </c>
      <c r="AP161" t="s">
        <v>2728</v>
      </c>
      <c r="AR161">
        <v>11592</v>
      </c>
      <c r="AT161">
        <v>12050</v>
      </c>
      <c r="AV161" t="s">
        <v>2729</v>
      </c>
      <c r="AX161">
        <v>8029</v>
      </c>
      <c r="AZ161">
        <v>11454</v>
      </c>
      <c r="BB161" t="s">
        <v>2730</v>
      </c>
      <c r="BD161">
        <v>7035</v>
      </c>
      <c r="BF161">
        <v>7035</v>
      </c>
      <c r="BH161" t="s">
        <v>2731</v>
      </c>
      <c r="BJ161">
        <v>7871</v>
      </c>
      <c r="BL161">
        <v>8017</v>
      </c>
    </row>
    <row r="162" spans="1:64">
      <c r="A162">
        <f t="shared" si="25"/>
        <v>6.956</v>
      </c>
      <c r="B162">
        <f t="shared" si="26"/>
        <v>11.723</v>
      </c>
      <c r="C162">
        <f t="shared" si="27"/>
        <v>7.109</v>
      </c>
      <c r="D162">
        <f t="shared" si="28"/>
        <v>7.09</v>
      </c>
      <c r="E162">
        <f t="shared" si="29"/>
        <v>12.169</v>
      </c>
      <c r="F162">
        <f t="shared" si="30"/>
        <v>7.109</v>
      </c>
      <c r="G162">
        <f t="shared" si="31"/>
        <v>3.078</v>
      </c>
      <c r="H162">
        <f t="shared" si="32"/>
        <v>8.113</v>
      </c>
      <c r="I162">
        <f t="shared" si="33"/>
        <v>7.946</v>
      </c>
      <c r="J162">
        <f t="shared" si="34"/>
        <v>8.307</v>
      </c>
      <c r="K162">
        <f t="shared" si="35"/>
        <v>11.612</v>
      </c>
      <c r="L162">
        <f t="shared" si="36"/>
        <v>8.132</v>
      </c>
      <c r="N162">
        <v>6956</v>
      </c>
      <c r="O162">
        <v>11723</v>
      </c>
      <c r="P162">
        <v>7109</v>
      </c>
      <c r="Q162">
        <v>7090</v>
      </c>
      <c r="R162">
        <v>12169</v>
      </c>
      <c r="S162">
        <v>7109</v>
      </c>
      <c r="T162">
        <v>3078</v>
      </c>
      <c r="U162">
        <v>8113</v>
      </c>
      <c r="V162">
        <v>7946</v>
      </c>
      <c r="W162">
        <v>8307</v>
      </c>
      <c r="X162">
        <v>11612</v>
      </c>
      <c r="Y162">
        <v>8132</v>
      </c>
      <c r="AA162" t="s">
        <v>2732</v>
      </c>
      <c r="AC162">
        <v>6941</v>
      </c>
      <c r="AE162">
        <v>7027</v>
      </c>
      <c r="AG162" t="s">
        <v>2733</v>
      </c>
      <c r="AI162">
        <v>3071</v>
      </c>
      <c r="AK162">
        <v>8189</v>
      </c>
      <c r="AP162" t="s">
        <v>2734</v>
      </c>
      <c r="AR162">
        <v>11629</v>
      </c>
      <c r="AT162">
        <v>12063</v>
      </c>
      <c r="AV162" t="s">
        <v>2735</v>
      </c>
      <c r="AX162">
        <v>8041</v>
      </c>
      <c r="AZ162">
        <v>11456</v>
      </c>
      <c r="BB162" t="s">
        <v>2736</v>
      </c>
      <c r="BD162">
        <v>7042</v>
      </c>
      <c r="BF162">
        <v>7042</v>
      </c>
      <c r="BH162" t="s">
        <v>2737</v>
      </c>
      <c r="BJ162">
        <v>7873</v>
      </c>
      <c r="BL162">
        <v>8032</v>
      </c>
    </row>
    <row r="163" spans="1:64">
      <c r="A163">
        <f t="shared" si="25"/>
        <v>6.956</v>
      </c>
      <c r="B163">
        <f t="shared" si="26"/>
        <v>11.748</v>
      </c>
      <c r="C163">
        <f t="shared" si="27"/>
        <v>7.111</v>
      </c>
      <c r="D163">
        <f t="shared" si="28"/>
        <v>7.091</v>
      </c>
      <c r="E163">
        <f t="shared" si="29"/>
        <v>12.172</v>
      </c>
      <c r="F163">
        <f t="shared" si="30"/>
        <v>7.111</v>
      </c>
      <c r="G163">
        <f t="shared" si="31"/>
        <v>3.08</v>
      </c>
      <c r="H163">
        <f t="shared" si="32"/>
        <v>8.116</v>
      </c>
      <c r="I163">
        <f t="shared" si="33"/>
        <v>7.956</v>
      </c>
      <c r="J163">
        <f t="shared" si="34"/>
        <v>8.351</v>
      </c>
      <c r="K163">
        <f t="shared" si="35"/>
        <v>11.616</v>
      </c>
      <c r="L163">
        <f t="shared" si="36"/>
        <v>8.141</v>
      </c>
      <c r="N163">
        <v>6956</v>
      </c>
      <c r="O163">
        <v>11748</v>
      </c>
      <c r="P163">
        <v>7111</v>
      </c>
      <c r="Q163">
        <v>7091</v>
      </c>
      <c r="R163">
        <v>12172</v>
      </c>
      <c r="S163">
        <v>7111</v>
      </c>
      <c r="T163">
        <v>3080</v>
      </c>
      <c r="U163">
        <v>8116</v>
      </c>
      <c r="V163">
        <v>7956</v>
      </c>
      <c r="W163">
        <v>8351</v>
      </c>
      <c r="X163">
        <v>11616</v>
      </c>
      <c r="Y163">
        <v>8141</v>
      </c>
      <c r="AA163" t="s">
        <v>2738</v>
      </c>
      <c r="AC163">
        <v>6944</v>
      </c>
      <c r="AE163">
        <v>7028</v>
      </c>
      <c r="AG163" t="s">
        <v>2739</v>
      </c>
      <c r="AI163">
        <v>3074</v>
      </c>
      <c r="AK163">
        <v>8190</v>
      </c>
      <c r="AP163" t="s">
        <v>2740</v>
      </c>
      <c r="AR163">
        <v>11636</v>
      </c>
      <c r="AT163">
        <v>12120</v>
      </c>
      <c r="AV163" t="s">
        <v>2741</v>
      </c>
      <c r="AX163">
        <v>8060</v>
      </c>
      <c r="AZ163">
        <v>11465</v>
      </c>
      <c r="BB163" t="s">
        <v>2742</v>
      </c>
      <c r="BD163">
        <v>7056</v>
      </c>
      <c r="BF163">
        <v>7056</v>
      </c>
      <c r="BH163" t="s">
        <v>2743</v>
      </c>
      <c r="BJ163">
        <v>7896</v>
      </c>
      <c r="BL163">
        <v>8043</v>
      </c>
    </row>
    <row r="164" spans="1:64">
      <c r="A164">
        <f t="shared" si="25"/>
        <v>6.957</v>
      </c>
      <c r="B164">
        <f t="shared" si="26"/>
        <v>11.764</v>
      </c>
      <c r="C164">
        <f t="shared" si="27"/>
        <v>7.112</v>
      </c>
      <c r="D164">
        <f t="shared" si="28"/>
        <v>7.102</v>
      </c>
      <c r="E164">
        <f t="shared" si="29"/>
        <v>12.189</v>
      </c>
      <c r="F164">
        <f t="shared" si="30"/>
        <v>7.112</v>
      </c>
      <c r="G164">
        <f t="shared" si="31"/>
        <v>3.083</v>
      </c>
      <c r="H164">
        <f t="shared" si="32"/>
        <v>8.123</v>
      </c>
      <c r="I164">
        <f t="shared" si="33"/>
        <v>7.96</v>
      </c>
      <c r="J164">
        <f t="shared" si="34"/>
        <v>8.42</v>
      </c>
      <c r="K164">
        <f t="shared" si="35"/>
        <v>11.628</v>
      </c>
      <c r="L164">
        <f t="shared" si="36"/>
        <v>8.158</v>
      </c>
      <c r="N164">
        <v>6957</v>
      </c>
      <c r="O164">
        <v>11764</v>
      </c>
      <c r="P164">
        <v>7112</v>
      </c>
      <c r="Q164">
        <v>7102</v>
      </c>
      <c r="R164">
        <v>12189</v>
      </c>
      <c r="S164">
        <v>7112</v>
      </c>
      <c r="T164">
        <v>3083</v>
      </c>
      <c r="U164">
        <v>8123</v>
      </c>
      <c r="V164">
        <v>7960</v>
      </c>
      <c r="W164">
        <v>8420</v>
      </c>
      <c r="X164">
        <v>11628</v>
      </c>
      <c r="Y164">
        <v>8158</v>
      </c>
      <c r="AA164" t="s">
        <v>2744</v>
      </c>
      <c r="AC164">
        <v>6945</v>
      </c>
      <c r="AE164">
        <v>7053</v>
      </c>
      <c r="AG164" t="s">
        <v>2745</v>
      </c>
      <c r="AI164">
        <v>3074</v>
      </c>
      <c r="AK164">
        <v>8219</v>
      </c>
      <c r="AP164" t="s">
        <v>2746</v>
      </c>
      <c r="AR164">
        <v>11660</v>
      </c>
      <c r="AT164">
        <v>12122</v>
      </c>
      <c r="AV164" t="s">
        <v>2747</v>
      </c>
      <c r="AX164">
        <v>8083</v>
      </c>
      <c r="AZ164">
        <v>11486</v>
      </c>
      <c r="BB164" t="s">
        <v>2748</v>
      </c>
      <c r="BD164">
        <v>7083</v>
      </c>
      <c r="BF164">
        <v>7083</v>
      </c>
      <c r="BH164" t="s">
        <v>2749</v>
      </c>
      <c r="BJ164">
        <v>7910</v>
      </c>
      <c r="BL164">
        <v>8044</v>
      </c>
    </row>
    <row r="165" spans="1:64">
      <c r="A165">
        <f t="shared" si="25"/>
        <v>6.959</v>
      </c>
      <c r="B165">
        <f t="shared" si="26"/>
        <v>11.855</v>
      </c>
      <c r="C165">
        <f t="shared" si="27"/>
        <v>7.122</v>
      </c>
      <c r="D165">
        <f t="shared" si="28"/>
        <v>7.106</v>
      </c>
      <c r="E165">
        <f t="shared" si="29"/>
        <v>12.228</v>
      </c>
      <c r="F165">
        <f t="shared" si="30"/>
        <v>7.122</v>
      </c>
      <c r="G165">
        <f t="shared" si="31"/>
        <v>3.085</v>
      </c>
      <c r="H165">
        <f t="shared" si="32"/>
        <v>8.144</v>
      </c>
      <c r="I165">
        <f t="shared" si="33"/>
        <v>7.969</v>
      </c>
      <c r="J165">
        <f t="shared" si="34"/>
        <v>8.456</v>
      </c>
      <c r="K165">
        <f t="shared" si="35"/>
        <v>11.629</v>
      </c>
      <c r="L165">
        <f t="shared" si="36"/>
        <v>8.187</v>
      </c>
      <c r="N165">
        <v>6959</v>
      </c>
      <c r="O165">
        <v>11855</v>
      </c>
      <c r="P165">
        <v>7122</v>
      </c>
      <c r="Q165">
        <v>7106</v>
      </c>
      <c r="R165">
        <v>12228</v>
      </c>
      <c r="S165">
        <v>7122</v>
      </c>
      <c r="T165">
        <v>3085</v>
      </c>
      <c r="U165">
        <v>8144</v>
      </c>
      <c r="V165">
        <v>7969</v>
      </c>
      <c r="W165">
        <v>8456</v>
      </c>
      <c r="X165">
        <v>11629</v>
      </c>
      <c r="Y165">
        <v>8187</v>
      </c>
      <c r="AA165" t="s">
        <v>2750</v>
      </c>
      <c r="AC165">
        <v>6946</v>
      </c>
      <c r="AE165">
        <v>7058</v>
      </c>
      <c r="AG165" t="s">
        <v>2751</v>
      </c>
      <c r="AI165">
        <v>3074</v>
      </c>
      <c r="AK165">
        <v>8250</v>
      </c>
      <c r="AP165" t="s">
        <v>2752</v>
      </c>
      <c r="AR165">
        <v>11678</v>
      </c>
      <c r="AT165">
        <v>12127</v>
      </c>
      <c r="AV165" t="s">
        <v>2753</v>
      </c>
      <c r="AX165">
        <v>8086</v>
      </c>
      <c r="AZ165">
        <v>11508</v>
      </c>
      <c r="BB165" t="s">
        <v>2754</v>
      </c>
      <c r="BD165">
        <v>7086</v>
      </c>
      <c r="BF165">
        <v>7086</v>
      </c>
      <c r="BH165" t="s">
        <v>2755</v>
      </c>
      <c r="BJ165">
        <v>7912</v>
      </c>
      <c r="BL165">
        <v>8078</v>
      </c>
    </row>
    <row r="166" spans="1:64">
      <c r="A166">
        <f t="shared" si="25"/>
        <v>6.963</v>
      </c>
      <c r="B166">
        <f t="shared" si="26"/>
        <v>11.856</v>
      </c>
      <c r="C166">
        <f t="shared" si="27"/>
        <v>7.135</v>
      </c>
      <c r="D166">
        <f t="shared" si="28"/>
        <v>7.11</v>
      </c>
      <c r="E166">
        <f t="shared" si="29"/>
        <v>12.249</v>
      </c>
      <c r="F166">
        <f t="shared" si="30"/>
        <v>7.135</v>
      </c>
      <c r="G166">
        <f t="shared" si="31"/>
        <v>3.085</v>
      </c>
      <c r="H166">
        <f t="shared" si="32"/>
        <v>8.167</v>
      </c>
      <c r="I166">
        <f t="shared" si="33"/>
        <v>7.987</v>
      </c>
      <c r="J166">
        <f t="shared" si="34"/>
        <v>8.547</v>
      </c>
      <c r="K166">
        <f t="shared" si="35"/>
        <v>11.631</v>
      </c>
      <c r="L166">
        <f t="shared" si="36"/>
        <v>8.199</v>
      </c>
      <c r="N166">
        <v>6963</v>
      </c>
      <c r="O166">
        <v>11856</v>
      </c>
      <c r="P166">
        <v>7135</v>
      </c>
      <c r="Q166">
        <v>7110</v>
      </c>
      <c r="R166">
        <v>12249</v>
      </c>
      <c r="S166">
        <v>7135</v>
      </c>
      <c r="T166">
        <v>3085</v>
      </c>
      <c r="U166">
        <v>8167</v>
      </c>
      <c r="V166">
        <v>7987</v>
      </c>
      <c r="W166">
        <v>8547</v>
      </c>
      <c r="X166">
        <v>11631</v>
      </c>
      <c r="Y166">
        <v>8199</v>
      </c>
      <c r="AA166" t="s">
        <v>2756</v>
      </c>
      <c r="AC166">
        <v>6948</v>
      </c>
      <c r="AE166">
        <v>7060</v>
      </c>
      <c r="AG166" t="s">
        <v>2757</v>
      </c>
      <c r="AI166">
        <v>3074</v>
      </c>
      <c r="AK166">
        <v>8279</v>
      </c>
      <c r="AP166" t="s">
        <v>2758</v>
      </c>
      <c r="AR166">
        <v>11695</v>
      </c>
      <c r="AT166">
        <v>12128</v>
      </c>
      <c r="AV166" t="s">
        <v>2759</v>
      </c>
      <c r="AX166">
        <v>8104</v>
      </c>
      <c r="AZ166">
        <v>11557</v>
      </c>
      <c r="BB166" t="s">
        <v>2760</v>
      </c>
      <c r="BD166">
        <v>7099</v>
      </c>
      <c r="BF166">
        <v>7099</v>
      </c>
      <c r="BH166" t="s">
        <v>2761</v>
      </c>
      <c r="BJ166">
        <v>7917</v>
      </c>
      <c r="BL166">
        <v>8081</v>
      </c>
    </row>
    <row r="167" spans="1:64">
      <c r="A167">
        <f t="shared" si="25"/>
        <v>6.966</v>
      </c>
      <c r="B167">
        <f t="shared" si="26"/>
        <v>11.856</v>
      </c>
      <c r="C167">
        <f t="shared" si="27"/>
        <v>7.161</v>
      </c>
      <c r="D167">
        <f t="shared" si="28"/>
        <v>7.11</v>
      </c>
      <c r="E167">
        <f t="shared" si="29"/>
        <v>12.313</v>
      </c>
      <c r="F167">
        <f t="shared" si="30"/>
        <v>7.161</v>
      </c>
      <c r="G167">
        <f t="shared" si="31"/>
        <v>3.087</v>
      </c>
      <c r="H167">
        <f t="shared" si="32"/>
        <v>8.173</v>
      </c>
      <c r="I167">
        <f t="shared" si="33"/>
        <v>7.992</v>
      </c>
      <c r="J167">
        <f t="shared" si="34"/>
        <v>8.596</v>
      </c>
      <c r="K167">
        <f t="shared" si="35"/>
        <v>11.642</v>
      </c>
      <c r="L167">
        <f t="shared" si="36"/>
        <v>8.203</v>
      </c>
      <c r="N167">
        <v>6966</v>
      </c>
      <c r="O167">
        <v>11856</v>
      </c>
      <c r="P167">
        <v>7161</v>
      </c>
      <c r="Q167">
        <v>7110</v>
      </c>
      <c r="R167">
        <v>12313</v>
      </c>
      <c r="S167">
        <v>7161</v>
      </c>
      <c r="T167">
        <v>3087</v>
      </c>
      <c r="U167">
        <v>8173</v>
      </c>
      <c r="V167">
        <v>7992</v>
      </c>
      <c r="W167">
        <v>8596</v>
      </c>
      <c r="X167">
        <v>11642</v>
      </c>
      <c r="Y167">
        <v>8203</v>
      </c>
      <c r="AA167" t="s">
        <v>2762</v>
      </c>
      <c r="AC167">
        <v>6950</v>
      </c>
      <c r="AE167">
        <v>7076</v>
      </c>
      <c r="AG167" t="s">
        <v>2763</v>
      </c>
      <c r="AI167">
        <v>3076</v>
      </c>
      <c r="AK167">
        <v>8297</v>
      </c>
      <c r="AP167" t="s">
        <v>2764</v>
      </c>
      <c r="AR167">
        <v>11709</v>
      </c>
      <c r="AT167">
        <v>12145</v>
      </c>
      <c r="AV167" t="s">
        <v>2765</v>
      </c>
      <c r="AX167">
        <v>8104</v>
      </c>
      <c r="AZ167">
        <v>11559</v>
      </c>
      <c r="BB167" t="s">
        <v>2766</v>
      </c>
      <c r="BD167">
        <v>7101</v>
      </c>
      <c r="BF167">
        <v>7101</v>
      </c>
      <c r="BH167" t="s">
        <v>2767</v>
      </c>
      <c r="BJ167">
        <v>7935</v>
      </c>
      <c r="BL167">
        <v>8101</v>
      </c>
    </row>
    <row r="168" spans="1:64">
      <c r="A168">
        <f t="shared" si="25"/>
        <v>6.975</v>
      </c>
      <c r="B168">
        <f t="shared" si="26"/>
        <v>11.857</v>
      </c>
      <c r="C168">
        <f t="shared" si="27"/>
        <v>7.168</v>
      </c>
      <c r="D168">
        <f t="shared" si="28"/>
        <v>7.111</v>
      </c>
      <c r="E168">
        <f t="shared" si="29"/>
        <v>12.318</v>
      </c>
      <c r="F168">
        <f t="shared" si="30"/>
        <v>7.168</v>
      </c>
      <c r="G168">
        <f t="shared" si="31"/>
        <v>3.088</v>
      </c>
      <c r="H168">
        <f t="shared" si="32"/>
        <v>8.188</v>
      </c>
      <c r="I168">
        <f t="shared" si="33"/>
        <v>7.997</v>
      </c>
      <c r="J168">
        <f t="shared" si="34"/>
        <v>8.608</v>
      </c>
      <c r="K168">
        <f t="shared" si="35"/>
        <v>11.643</v>
      </c>
      <c r="L168">
        <f t="shared" si="36"/>
        <v>8.217</v>
      </c>
      <c r="N168">
        <v>6975</v>
      </c>
      <c r="O168">
        <v>11857</v>
      </c>
      <c r="P168">
        <v>7168</v>
      </c>
      <c r="Q168">
        <v>7111</v>
      </c>
      <c r="R168">
        <v>12318</v>
      </c>
      <c r="S168">
        <v>7168</v>
      </c>
      <c r="T168">
        <v>3088</v>
      </c>
      <c r="U168">
        <v>8188</v>
      </c>
      <c r="V168">
        <v>7997</v>
      </c>
      <c r="W168">
        <v>8608</v>
      </c>
      <c r="X168">
        <v>11643</v>
      </c>
      <c r="Y168">
        <v>8217</v>
      </c>
      <c r="AA168" t="s">
        <v>2768</v>
      </c>
      <c r="AC168">
        <v>6951</v>
      </c>
      <c r="AE168">
        <v>7081</v>
      </c>
      <c r="AG168" t="s">
        <v>2769</v>
      </c>
      <c r="AI168">
        <v>3078</v>
      </c>
      <c r="AK168">
        <v>8298</v>
      </c>
      <c r="AP168" t="s">
        <v>2770</v>
      </c>
      <c r="AR168">
        <v>11709</v>
      </c>
      <c r="AT168">
        <v>12166</v>
      </c>
      <c r="AV168" t="s">
        <v>2771</v>
      </c>
      <c r="AX168">
        <v>8106</v>
      </c>
      <c r="AZ168">
        <v>11594</v>
      </c>
      <c r="BB168" t="s">
        <v>2772</v>
      </c>
      <c r="BD168">
        <v>7102</v>
      </c>
      <c r="BF168">
        <v>7102</v>
      </c>
      <c r="BH168" t="s">
        <v>2773</v>
      </c>
      <c r="BJ168">
        <v>7936</v>
      </c>
      <c r="BL168">
        <v>8122</v>
      </c>
    </row>
    <row r="169" spans="1:64">
      <c r="A169">
        <f t="shared" si="25"/>
        <v>6.977</v>
      </c>
      <c r="B169">
        <f t="shared" si="26"/>
        <v>11.869</v>
      </c>
      <c r="C169">
        <f t="shared" si="27"/>
        <v>7.177</v>
      </c>
      <c r="D169">
        <f t="shared" si="28"/>
        <v>7.118</v>
      </c>
      <c r="E169">
        <f t="shared" si="29"/>
        <v>12.322</v>
      </c>
      <c r="F169">
        <f t="shared" si="30"/>
        <v>7.177</v>
      </c>
      <c r="G169">
        <f t="shared" si="31"/>
        <v>3.091</v>
      </c>
      <c r="H169">
        <f t="shared" si="32"/>
        <v>8.211</v>
      </c>
      <c r="I169">
        <f t="shared" si="33"/>
        <v>8.002</v>
      </c>
      <c r="J169">
        <f t="shared" si="34"/>
        <v>8.648</v>
      </c>
      <c r="K169">
        <f t="shared" si="35"/>
        <v>11.645</v>
      </c>
      <c r="L169">
        <f t="shared" si="36"/>
        <v>8.302</v>
      </c>
      <c r="N169">
        <v>6977</v>
      </c>
      <c r="O169">
        <v>11869</v>
      </c>
      <c r="P169">
        <v>7177</v>
      </c>
      <c r="Q169">
        <v>7118</v>
      </c>
      <c r="R169">
        <v>12322</v>
      </c>
      <c r="S169">
        <v>7177</v>
      </c>
      <c r="T169">
        <v>3091</v>
      </c>
      <c r="U169">
        <v>8211</v>
      </c>
      <c r="V169">
        <v>8002</v>
      </c>
      <c r="W169">
        <v>8648</v>
      </c>
      <c r="X169">
        <v>11645</v>
      </c>
      <c r="Y169">
        <v>8302</v>
      </c>
      <c r="AA169" t="s">
        <v>2774</v>
      </c>
      <c r="AC169">
        <v>6953</v>
      </c>
      <c r="AE169">
        <v>7086</v>
      </c>
      <c r="AG169" t="s">
        <v>2775</v>
      </c>
      <c r="AI169">
        <v>3078</v>
      </c>
      <c r="AK169">
        <v>8301</v>
      </c>
      <c r="AP169" t="s">
        <v>2776</v>
      </c>
      <c r="AR169">
        <v>11723</v>
      </c>
      <c r="AT169">
        <v>12169</v>
      </c>
      <c r="AV169" t="s">
        <v>2777</v>
      </c>
      <c r="AX169">
        <v>8113</v>
      </c>
      <c r="AZ169">
        <v>11612</v>
      </c>
      <c r="BB169" t="s">
        <v>2778</v>
      </c>
      <c r="BD169">
        <v>7106</v>
      </c>
      <c r="BF169">
        <v>7106</v>
      </c>
      <c r="BH169" t="s">
        <v>2779</v>
      </c>
      <c r="BJ169">
        <v>7939</v>
      </c>
      <c r="BL169">
        <v>8129</v>
      </c>
    </row>
    <row r="170" spans="1:64">
      <c r="A170">
        <f t="shared" si="25"/>
        <v>6.977</v>
      </c>
      <c r="B170">
        <f t="shared" si="26"/>
        <v>11.878</v>
      </c>
      <c r="C170">
        <f t="shared" si="27"/>
        <v>7.178</v>
      </c>
      <c r="D170">
        <f t="shared" si="28"/>
        <v>7.119</v>
      </c>
      <c r="E170">
        <f t="shared" si="29"/>
        <v>12.333</v>
      </c>
      <c r="F170">
        <f t="shared" si="30"/>
        <v>7.178</v>
      </c>
      <c r="G170">
        <f t="shared" si="31"/>
        <v>3.091</v>
      </c>
      <c r="H170">
        <f t="shared" si="32"/>
        <v>8.243</v>
      </c>
      <c r="I170">
        <f t="shared" si="33"/>
        <v>8.002</v>
      </c>
      <c r="J170">
        <f t="shared" si="34"/>
        <v>8.649</v>
      </c>
      <c r="K170">
        <f t="shared" si="35"/>
        <v>11.684</v>
      </c>
      <c r="L170">
        <f t="shared" si="36"/>
        <v>8.31</v>
      </c>
      <c r="N170">
        <v>6977</v>
      </c>
      <c r="O170">
        <v>11878</v>
      </c>
      <c r="P170">
        <v>7178</v>
      </c>
      <c r="Q170">
        <v>7119</v>
      </c>
      <c r="R170">
        <v>12333</v>
      </c>
      <c r="S170">
        <v>7178</v>
      </c>
      <c r="T170">
        <v>3091</v>
      </c>
      <c r="U170">
        <v>8243</v>
      </c>
      <c r="V170">
        <v>8002</v>
      </c>
      <c r="W170">
        <v>8649</v>
      </c>
      <c r="X170">
        <v>11684</v>
      </c>
      <c r="Y170">
        <v>8310</v>
      </c>
      <c r="AA170" t="s">
        <v>2780</v>
      </c>
      <c r="AC170">
        <v>6956</v>
      </c>
      <c r="AE170">
        <v>7090</v>
      </c>
      <c r="AG170" t="s">
        <v>2781</v>
      </c>
      <c r="AI170">
        <v>3078</v>
      </c>
      <c r="AK170">
        <v>8307</v>
      </c>
      <c r="AP170" t="s">
        <v>2782</v>
      </c>
      <c r="AR170">
        <v>11748</v>
      </c>
      <c r="AT170">
        <v>12172</v>
      </c>
      <c r="AV170" t="s">
        <v>2783</v>
      </c>
      <c r="AX170">
        <v>8116</v>
      </c>
      <c r="AZ170">
        <v>11616</v>
      </c>
      <c r="BB170" t="s">
        <v>2784</v>
      </c>
      <c r="BD170">
        <v>7109</v>
      </c>
      <c r="BF170">
        <v>7109</v>
      </c>
      <c r="BH170" t="s">
        <v>2785</v>
      </c>
      <c r="BJ170">
        <v>7946</v>
      </c>
      <c r="BL170">
        <v>8132</v>
      </c>
    </row>
    <row r="171" spans="1:64">
      <c r="A171">
        <f t="shared" si="25"/>
        <v>6.986</v>
      </c>
      <c r="B171">
        <f t="shared" si="26"/>
        <v>11.895</v>
      </c>
      <c r="C171">
        <f t="shared" si="27"/>
        <v>7.182</v>
      </c>
      <c r="D171">
        <f t="shared" si="28"/>
        <v>7.121</v>
      </c>
      <c r="E171">
        <f t="shared" si="29"/>
        <v>12.339</v>
      </c>
      <c r="F171">
        <f t="shared" si="30"/>
        <v>7.182</v>
      </c>
      <c r="G171">
        <f t="shared" si="31"/>
        <v>3.095</v>
      </c>
      <c r="H171">
        <f t="shared" si="32"/>
        <v>8.245</v>
      </c>
      <c r="I171">
        <f t="shared" si="33"/>
        <v>8.016</v>
      </c>
      <c r="J171">
        <f t="shared" si="34"/>
        <v>8.717</v>
      </c>
      <c r="K171">
        <f t="shared" si="35"/>
        <v>11.735</v>
      </c>
      <c r="L171">
        <f t="shared" si="36"/>
        <v>8.38</v>
      </c>
      <c r="N171">
        <v>6986</v>
      </c>
      <c r="O171">
        <v>11895</v>
      </c>
      <c r="P171">
        <v>7182</v>
      </c>
      <c r="Q171">
        <v>7121</v>
      </c>
      <c r="R171">
        <v>12339</v>
      </c>
      <c r="S171">
        <v>7182</v>
      </c>
      <c r="T171">
        <v>3095</v>
      </c>
      <c r="U171">
        <v>8245</v>
      </c>
      <c r="V171">
        <v>8016</v>
      </c>
      <c r="W171">
        <v>8717</v>
      </c>
      <c r="X171">
        <v>11735</v>
      </c>
      <c r="Y171">
        <v>8380</v>
      </c>
      <c r="AA171" t="s">
        <v>2786</v>
      </c>
      <c r="AC171">
        <v>6956</v>
      </c>
      <c r="AE171">
        <v>7091</v>
      </c>
      <c r="AG171" t="s">
        <v>2787</v>
      </c>
      <c r="AI171">
        <v>3080</v>
      </c>
      <c r="AK171">
        <v>8351</v>
      </c>
      <c r="AP171" t="s">
        <v>2788</v>
      </c>
      <c r="AR171">
        <v>11764</v>
      </c>
      <c r="AT171">
        <v>12189</v>
      </c>
      <c r="AV171" t="s">
        <v>2789</v>
      </c>
      <c r="AX171">
        <v>8123</v>
      </c>
      <c r="AZ171">
        <v>11628</v>
      </c>
      <c r="BB171" t="s">
        <v>2790</v>
      </c>
      <c r="BD171">
        <v>7111</v>
      </c>
      <c r="BF171">
        <v>7111</v>
      </c>
      <c r="BH171" t="s">
        <v>2791</v>
      </c>
      <c r="BJ171">
        <v>7956</v>
      </c>
      <c r="BL171">
        <v>8141</v>
      </c>
    </row>
    <row r="172" spans="1:64">
      <c r="A172">
        <f t="shared" si="25"/>
        <v>6.994</v>
      </c>
      <c r="B172">
        <f t="shared" si="26"/>
        <v>11.896</v>
      </c>
      <c r="C172">
        <f t="shared" si="27"/>
        <v>7.183</v>
      </c>
      <c r="D172">
        <f t="shared" si="28"/>
        <v>7.129</v>
      </c>
      <c r="E172">
        <f t="shared" si="29"/>
        <v>12.34</v>
      </c>
      <c r="F172">
        <f t="shared" si="30"/>
        <v>7.183</v>
      </c>
      <c r="G172">
        <f t="shared" si="31"/>
        <v>3.095</v>
      </c>
      <c r="H172">
        <f t="shared" si="32"/>
        <v>8.26</v>
      </c>
      <c r="I172">
        <f t="shared" si="33"/>
        <v>8.017</v>
      </c>
      <c r="J172">
        <f t="shared" si="34"/>
        <v>8.717</v>
      </c>
      <c r="K172">
        <f t="shared" si="35"/>
        <v>11.78</v>
      </c>
      <c r="L172">
        <f t="shared" si="36"/>
        <v>8.386</v>
      </c>
      <c r="N172">
        <v>6994</v>
      </c>
      <c r="O172">
        <v>11896</v>
      </c>
      <c r="P172">
        <v>7183</v>
      </c>
      <c r="Q172">
        <v>7129</v>
      </c>
      <c r="R172">
        <v>12340</v>
      </c>
      <c r="S172">
        <v>7183</v>
      </c>
      <c r="T172">
        <v>3095</v>
      </c>
      <c r="U172">
        <v>8260</v>
      </c>
      <c r="V172">
        <v>8017</v>
      </c>
      <c r="W172">
        <v>8717</v>
      </c>
      <c r="X172">
        <v>11780</v>
      </c>
      <c r="Y172">
        <v>8386</v>
      </c>
      <c r="AA172" t="s">
        <v>2792</v>
      </c>
      <c r="AC172">
        <v>6957</v>
      </c>
      <c r="AE172">
        <v>7102</v>
      </c>
      <c r="AG172" t="s">
        <v>2793</v>
      </c>
      <c r="AI172">
        <v>3083</v>
      </c>
      <c r="AK172">
        <v>8420</v>
      </c>
      <c r="AP172" t="s">
        <v>2794</v>
      </c>
      <c r="AR172">
        <v>11855</v>
      </c>
      <c r="AT172">
        <v>12228</v>
      </c>
      <c r="AV172" t="s">
        <v>2795</v>
      </c>
      <c r="AX172">
        <v>8144</v>
      </c>
      <c r="AZ172">
        <v>11629</v>
      </c>
      <c r="BB172" t="s">
        <v>2796</v>
      </c>
      <c r="BD172">
        <v>7112</v>
      </c>
      <c r="BF172">
        <v>7112</v>
      </c>
      <c r="BH172" t="s">
        <v>2797</v>
      </c>
      <c r="BJ172">
        <v>7960</v>
      </c>
      <c r="BL172">
        <v>8158</v>
      </c>
    </row>
    <row r="173" spans="1:64">
      <c r="A173">
        <f t="shared" si="25"/>
        <v>6.994</v>
      </c>
      <c r="B173">
        <f t="shared" si="26"/>
        <v>11.902</v>
      </c>
      <c r="C173">
        <f t="shared" si="27"/>
        <v>7.186</v>
      </c>
      <c r="D173">
        <f t="shared" si="28"/>
        <v>7.134</v>
      </c>
      <c r="E173">
        <f t="shared" si="29"/>
        <v>12.347</v>
      </c>
      <c r="F173">
        <f t="shared" si="30"/>
        <v>7.186</v>
      </c>
      <c r="G173">
        <f t="shared" si="31"/>
        <v>3.097</v>
      </c>
      <c r="H173">
        <f t="shared" si="32"/>
        <v>8.263</v>
      </c>
      <c r="I173">
        <f t="shared" si="33"/>
        <v>8.028</v>
      </c>
      <c r="J173">
        <f t="shared" si="34"/>
        <v>8.842</v>
      </c>
      <c r="K173">
        <f t="shared" si="35"/>
        <v>11.792</v>
      </c>
      <c r="L173">
        <f t="shared" si="36"/>
        <v>8.424</v>
      </c>
      <c r="N173">
        <v>6994</v>
      </c>
      <c r="O173">
        <v>11902</v>
      </c>
      <c r="P173">
        <v>7186</v>
      </c>
      <c r="Q173">
        <v>7134</v>
      </c>
      <c r="R173">
        <v>12347</v>
      </c>
      <c r="S173">
        <v>7186</v>
      </c>
      <c r="T173">
        <v>3097</v>
      </c>
      <c r="U173">
        <v>8263</v>
      </c>
      <c r="V173">
        <v>8028</v>
      </c>
      <c r="W173">
        <v>8842</v>
      </c>
      <c r="X173">
        <v>11792</v>
      </c>
      <c r="Y173">
        <v>8424</v>
      </c>
      <c r="AA173" t="s">
        <v>2798</v>
      </c>
      <c r="AC173">
        <v>6959</v>
      </c>
      <c r="AE173">
        <v>7106</v>
      </c>
      <c r="AG173" t="s">
        <v>2799</v>
      </c>
      <c r="AI173">
        <v>3085</v>
      </c>
      <c r="AK173">
        <v>8456</v>
      </c>
      <c r="AP173" t="s">
        <v>2800</v>
      </c>
      <c r="AR173">
        <v>11856</v>
      </c>
      <c r="AT173">
        <v>12249</v>
      </c>
      <c r="AV173" t="s">
        <v>2801</v>
      </c>
      <c r="AX173">
        <v>8167</v>
      </c>
      <c r="AZ173">
        <v>11631</v>
      </c>
      <c r="BB173" t="s">
        <v>2802</v>
      </c>
      <c r="BD173">
        <v>7122</v>
      </c>
      <c r="BF173">
        <v>7122</v>
      </c>
      <c r="BH173" t="s">
        <v>2803</v>
      </c>
      <c r="BJ173">
        <v>7969</v>
      </c>
      <c r="BL173">
        <v>8187</v>
      </c>
    </row>
    <row r="174" spans="1:64">
      <c r="A174">
        <f t="shared" si="25"/>
        <v>7.003</v>
      </c>
      <c r="B174">
        <f t="shared" si="26"/>
        <v>11.908</v>
      </c>
      <c r="C174">
        <f t="shared" si="27"/>
        <v>7.191</v>
      </c>
      <c r="D174">
        <f t="shared" si="28"/>
        <v>7.138</v>
      </c>
      <c r="E174">
        <f t="shared" si="29"/>
        <v>12.35</v>
      </c>
      <c r="F174">
        <f t="shared" si="30"/>
        <v>7.191</v>
      </c>
      <c r="G174">
        <f t="shared" si="31"/>
        <v>3.097</v>
      </c>
      <c r="H174">
        <f t="shared" si="32"/>
        <v>8.272</v>
      </c>
      <c r="I174">
        <f t="shared" si="33"/>
        <v>8.03</v>
      </c>
      <c r="J174">
        <f t="shared" si="34"/>
        <v>8.844</v>
      </c>
      <c r="K174">
        <f t="shared" si="35"/>
        <v>11.802</v>
      </c>
      <c r="L174">
        <f t="shared" si="36"/>
        <v>8.425</v>
      </c>
      <c r="N174">
        <v>7003</v>
      </c>
      <c r="O174">
        <v>11908</v>
      </c>
      <c r="P174">
        <v>7191</v>
      </c>
      <c r="Q174">
        <v>7138</v>
      </c>
      <c r="R174">
        <v>12350</v>
      </c>
      <c r="S174">
        <v>7191</v>
      </c>
      <c r="T174">
        <v>3097</v>
      </c>
      <c r="U174">
        <v>8272</v>
      </c>
      <c r="V174">
        <v>8030</v>
      </c>
      <c r="W174">
        <v>8844</v>
      </c>
      <c r="X174">
        <v>11802</v>
      </c>
      <c r="Y174">
        <v>8425</v>
      </c>
      <c r="AA174" t="s">
        <v>2804</v>
      </c>
      <c r="AC174">
        <v>6963</v>
      </c>
      <c r="AE174">
        <v>7110</v>
      </c>
      <c r="AG174" t="s">
        <v>2805</v>
      </c>
      <c r="AI174">
        <v>3085</v>
      </c>
      <c r="AK174">
        <v>8547</v>
      </c>
      <c r="AP174" t="s">
        <v>2806</v>
      </c>
      <c r="AR174">
        <v>11856</v>
      </c>
      <c r="AT174">
        <v>12313</v>
      </c>
      <c r="AV174" t="s">
        <v>2807</v>
      </c>
      <c r="AX174">
        <v>8173</v>
      </c>
      <c r="AZ174">
        <v>11642</v>
      </c>
      <c r="BB174" t="s">
        <v>2808</v>
      </c>
      <c r="BD174">
        <v>7135</v>
      </c>
      <c r="BF174">
        <v>7135</v>
      </c>
      <c r="BH174" t="s">
        <v>2809</v>
      </c>
      <c r="BJ174">
        <v>7987</v>
      </c>
      <c r="BL174">
        <v>8199</v>
      </c>
    </row>
    <row r="175" spans="1:64">
      <c r="A175">
        <f t="shared" si="25"/>
        <v>7.005</v>
      </c>
      <c r="B175">
        <f t="shared" si="26"/>
        <v>11.957</v>
      </c>
      <c r="C175">
        <f t="shared" si="27"/>
        <v>7.193</v>
      </c>
      <c r="D175">
        <f t="shared" si="28"/>
        <v>7.141</v>
      </c>
      <c r="E175">
        <f t="shared" si="29"/>
        <v>12.364</v>
      </c>
      <c r="F175">
        <f t="shared" si="30"/>
        <v>7.193</v>
      </c>
      <c r="G175">
        <f t="shared" si="31"/>
        <v>3.097</v>
      </c>
      <c r="H175">
        <f t="shared" si="32"/>
        <v>8.283</v>
      </c>
      <c r="I175">
        <f t="shared" si="33"/>
        <v>8.032</v>
      </c>
      <c r="J175">
        <f t="shared" si="34"/>
        <v>8.873</v>
      </c>
      <c r="K175">
        <f t="shared" si="35"/>
        <v>11.802</v>
      </c>
      <c r="L175">
        <f t="shared" si="36"/>
        <v>8.435</v>
      </c>
      <c r="N175">
        <v>7005</v>
      </c>
      <c r="O175">
        <v>11957</v>
      </c>
      <c r="P175">
        <v>7193</v>
      </c>
      <c r="Q175">
        <v>7141</v>
      </c>
      <c r="R175">
        <v>12364</v>
      </c>
      <c r="S175">
        <v>7193</v>
      </c>
      <c r="T175">
        <v>3097</v>
      </c>
      <c r="U175">
        <v>8283</v>
      </c>
      <c r="V175">
        <v>8032</v>
      </c>
      <c r="W175">
        <v>8873</v>
      </c>
      <c r="X175">
        <v>11802</v>
      </c>
      <c r="Y175">
        <v>8435</v>
      </c>
      <c r="AA175" t="s">
        <v>2810</v>
      </c>
      <c r="AC175">
        <v>6966</v>
      </c>
      <c r="AE175">
        <v>7110</v>
      </c>
      <c r="AG175" t="s">
        <v>2811</v>
      </c>
      <c r="AI175">
        <v>3087</v>
      </c>
      <c r="AK175">
        <v>8596</v>
      </c>
      <c r="AP175" t="s">
        <v>2812</v>
      </c>
      <c r="AR175">
        <v>11857</v>
      </c>
      <c r="AT175">
        <v>12318</v>
      </c>
      <c r="AV175" t="s">
        <v>2813</v>
      </c>
      <c r="AX175">
        <v>8188</v>
      </c>
      <c r="AZ175">
        <v>11643</v>
      </c>
      <c r="BB175" t="s">
        <v>2814</v>
      </c>
      <c r="BD175">
        <v>7161</v>
      </c>
      <c r="BF175">
        <v>7161</v>
      </c>
      <c r="BH175" t="s">
        <v>2815</v>
      </c>
      <c r="BJ175">
        <v>7992</v>
      </c>
      <c r="BL175">
        <v>8203</v>
      </c>
    </row>
    <row r="176" spans="1:64">
      <c r="A176">
        <f t="shared" si="25"/>
        <v>7.013</v>
      </c>
      <c r="B176">
        <f t="shared" si="26"/>
        <v>11.99</v>
      </c>
      <c r="C176">
        <f t="shared" si="27"/>
        <v>7.197</v>
      </c>
      <c r="D176">
        <f t="shared" si="28"/>
        <v>7.142</v>
      </c>
      <c r="E176">
        <f t="shared" si="29"/>
        <v>12.366</v>
      </c>
      <c r="F176">
        <f t="shared" si="30"/>
        <v>7.197</v>
      </c>
      <c r="G176">
        <f t="shared" si="31"/>
        <v>3.107</v>
      </c>
      <c r="H176">
        <f t="shared" si="32"/>
        <v>8.287</v>
      </c>
      <c r="I176">
        <f t="shared" si="33"/>
        <v>8.043</v>
      </c>
      <c r="J176">
        <f t="shared" si="34"/>
        <v>8.927</v>
      </c>
      <c r="K176">
        <f t="shared" si="35"/>
        <v>11.807</v>
      </c>
      <c r="L176">
        <f t="shared" si="36"/>
        <v>8.48</v>
      </c>
      <c r="N176">
        <v>7013</v>
      </c>
      <c r="O176">
        <v>11990</v>
      </c>
      <c r="P176">
        <v>7197</v>
      </c>
      <c r="Q176">
        <v>7142</v>
      </c>
      <c r="R176">
        <v>12366</v>
      </c>
      <c r="S176">
        <v>7197</v>
      </c>
      <c r="T176">
        <v>3107</v>
      </c>
      <c r="U176">
        <v>8287</v>
      </c>
      <c r="V176">
        <v>8043</v>
      </c>
      <c r="W176">
        <v>8927</v>
      </c>
      <c r="X176">
        <v>11807</v>
      </c>
      <c r="Y176">
        <v>8480</v>
      </c>
      <c r="AA176" t="s">
        <v>2816</v>
      </c>
      <c r="AC176">
        <v>6975</v>
      </c>
      <c r="AE176">
        <v>7111</v>
      </c>
      <c r="AG176" t="s">
        <v>2817</v>
      </c>
      <c r="AI176">
        <v>3088</v>
      </c>
      <c r="AK176">
        <v>8608</v>
      </c>
      <c r="AP176" t="s">
        <v>2818</v>
      </c>
      <c r="AR176">
        <v>11869</v>
      </c>
      <c r="AT176">
        <v>12322</v>
      </c>
      <c r="AV176" t="s">
        <v>2819</v>
      </c>
      <c r="AX176">
        <v>8211</v>
      </c>
      <c r="AZ176">
        <v>11645</v>
      </c>
      <c r="BB176" t="s">
        <v>2820</v>
      </c>
      <c r="BD176">
        <v>7168</v>
      </c>
      <c r="BF176">
        <v>7168</v>
      </c>
      <c r="BH176" t="s">
        <v>2821</v>
      </c>
      <c r="BJ176">
        <v>7997</v>
      </c>
      <c r="BL176">
        <v>8217</v>
      </c>
    </row>
    <row r="177" spans="1:64">
      <c r="A177">
        <f t="shared" si="25"/>
        <v>7.014</v>
      </c>
      <c r="B177">
        <f t="shared" si="26"/>
        <v>12.001</v>
      </c>
      <c r="C177">
        <f t="shared" si="27"/>
        <v>7.214</v>
      </c>
      <c r="D177">
        <f t="shared" si="28"/>
        <v>7.149</v>
      </c>
      <c r="E177">
        <f t="shared" si="29"/>
        <v>12.398</v>
      </c>
      <c r="F177">
        <f t="shared" si="30"/>
        <v>7.214</v>
      </c>
      <c r="G177">
        <f t="shared" si="31"/>
        <v>3.11</v>
      </c>
      <c r="H177">
        <f t="shared" si="32"/>
        <v>8.301</v>
      </c>
      <c r="I177">
        <f t="shared" si="33"/>
        <v>8.044</v>
      </c>
      <c r="J177">
        <f t="shared" si="34"/>
        <v>9.022</v>
      </c>
      <c r="K177">
        <f t="shared" si="35"/>
        <v>11.822</v>
      </c>
      <c r="L177">
        <f t="shared" si="36"/>
        <v>8.575</v>
      </c>
      <c r="N177">
        <v>7014</v>
      </c>
      <c r="O177">
        <v>12001</v>
      </c>
      <c r="P177">
        <v>7214</v>
      </c>
      <c r="Q177">
        <v>7149</v>
      </c>
      <c r="R177">
        <v>12398</v>
      </c>
      <c r="S177">
        <v>7214</v>
      </c>
      <c r="T177">
        <v>3110</v>
      </c>
      <c r="U177">
        <v>8301</v>
      </c>
      <c r="V177">
        <v>8044</v>
      </c>
      <c r="W177">
        <v>9022</v>
      </c>
      <c r="X177">
        <v>11822</v>
      </c>
      <c r="Y177">
        <v>8575</v>
      </c>
      <c r="AA177" t="s">
        <v>2822</v>
      </c>
      <c r="AC177">
        <v>6977</v>
      </c>
      <c r="AE177">
        <v>7118</v>
      </c>
      <c r="AG177" t="s">
        <v>2823</v>
      </c>
      <c r="AI177">
        <v>3091</v>
      </c>
      <c r="AK177">
        <v>8648</v>
      </c>
      <c r="AP177" t="s">
        <v>2824</v>
      </c>
      <c r="AR177">
        <v>11878</v>
      </c>
      <c r="AT177">
        <v>12333</v>
      </c>
      <c r="AV177" t="s">
        <v>2825</v>
      </c>
      <c r="AX177">
        <v>8243</v>
      </c>
      <c r="AZ177">
        <v>11684</v>
      </c>
      <c r="BB177" t="s">
        <v>2826</v>
      </c>
      <c r="BD177">
        <v>7177</v>
      </c>
      <c r="BF177">
        <v>7177</v>
      </c>
      <c r="BH177" t="s">
        <v>2827</v>
      </c>
      <c r="BJ177">
        <v>8002</v>
      </c>
      <c r="BL177">
        <v>8302</v>
      </c>
    </row>
    <row r="178" spans="1:64">
      <c r="A178">
        <f t="shared" si="25"/>
        <v>7.02</v>
      </c>
      <c r="B178">
        <f t="shared" si="26"/>
        <v>12.027</v>
      </c>
      <c r="C178">
        <f t="shared" si="27"/>
        <v>7.218</v>
      </c>
      <c r="D178">
        <f t="shared" si="28"/>
        <v>7.151</v>
      </c>
      <c r="E178">
        <f t="shared" si="29"/>
        <v>12.415</v>
      </c>
      <c r="F178">
        <f t="shared" si="30"/>
        <v>7.218</v>
      </c>
      <c r="G178">
        <f t="shared" si="31"/>
        <v>3.118</v>
      </c>
      <c r="H178">
        <f t="shared" si="32"/>
        <v>8.322</v>
      </c>
      <c r="I178">
        <f t="shared" si="33"/>
        <v>8.046</v>
      </c>
      <c r="J178">
        <f t="shared" si="34"/>
        <v>9.038</v>
      </c>
      <c r="K178">
        <f t="shared" si="35"/>
        <v>11.831</v>
      </c>
      <c r="L178">
        <f t="shared" si="36"/>
        <v>8.62</v>
      </c>
      <c r="N178">
        <v>7020</v>
      </c>
      <c r="O178">
        <v>12027</v>
      </c>
      <c r="P178">
        <v>7218</v>
      </c>
      <c r="Q178">
        <v>7151</v>
      </c>
      <c r="R178">
        <v>12415</v>
      </c>
      <c r="S178">
        <v>7218</v>
      </c>
      <c r="T178">
        <v>3118</v>
      </c>
      <c r="U178">
        <v>8322</v>
      </c>
      <c r="V178">
        <v>8046</v>
      </c>
      <c r="W178">
        <v>9038</v>
      </c>
      <c r="X178">
        <v>11831</v>
      </c>
      <c r="Y178">
        <v>8620</v>
      </c>
      <c r="AA178" t="s">
        <v>2828</v>
      </c>
      <c r="AC178">
        <v>6977</v>
      </c>
      <c r="AE178">
        <v>7119</v>
      </c>
      <c r="AG178" t="s">
        <v>2829</v>
      </c>
      <c r="AI178">
        <v>3091</v>
      </c>
      <c r="AK178">
        <v>8649</v>
      </c>
      <c r="AP178" t="s">
        <v>2830</v>
      </c>
      <c r="AR178">
        <v>11895</v>
      </c>
      <c r="AT178">
        <v>12339</v>
      </c>
      <c r="AV178" t="s">
        <v>2831</v>
      </c>
      <c r="AX178">
        <v>8245</v>
      </c>
      <c r="AZ178">
        <v>11735</v>
      </c>
      <c r="BB178" t="s">
        <v>2832</v>
      </c>
      <c r="BD178">
        <v>7178</v>
      </c>
      <c r="BF178">
        <v>7178</v>
      </c>
      <c r="BH178" t="s">
        <v>2833</v>
      </c>
      <c r="BJ178">
        <v>8002</v>
      </c>
      <c r="BL178">
        <v>8310</v>
      </c>
    </row>
    <row r="179" spans="1:64">
      <c r="A179">
        <f t="shared" si="25"/>
        <v>7.021</v>
      </c>
      <c r="B179">
        <f t="shared" si="26"/>
        <v>12.045</v>
      </c>
      <c r="C179">
        <f t="shared" si="27"/>
        <v>7.238</v>
      </c>
      <c r="D179">
        <f t="shared" si="28"/>
        <v>7.152</v>
      </c>
      <c r="E179">
        <f t="shared" si="29"/>
        <v>12.423</v>
      </c>
      <c r="F179">
        <f t="shared" si="30"/>
        <v>7.238</v>
      </c>
      <c r="G179">
        <f t="shared" si="31"/>
        <v>3.12</v>
      </c>
      <c r="H179">
        <f t="shared" si="32"/>
        <v>8.326</v>
      </c>
      <c r="I179">
        <f t="shared" si="33"/>
        <v>8.054</v>
      </c>
      <c r="J179">
        <f t="shared" si="34"/>
        <v>9.094</v>
      </c>
      <c r="K179">
        <f t="shared" si="35"/>
        <v>11.835</v>
      </c>
      <c r="L179">
        <f t="shared" si="36"/>
        <v>8.633</v>
      </c>
      <c r="N179">
        <v>7021</v>
      </c>
      <c r="O179">
        <v>12045</v>
      </c>
      <c r="P179">
        <v>7238</v>
      </c>
      <c r="Q179">
        <v>7152</v>
      </c>
      <c r="R179">
        <v>12423</v>
      </c>
      <c r="S179">
        <v>7238</v>
      </c>
      <c r="T179">
        <v>3120</v>
      </c>
      <c r="U179">
        <v>8326</v>
      </c>
      <c r="V179">
        <v>8054</v>
      </c>
      <c r="W179">
        <v>9094</v>
      </c>
      <c r="X179">
        <v>11835</v>
      </c>
      <c r="Y179">
        <v>8633</v>
      </c>
      <c r="AA179" t="s">
        <v>2834</v>
      </c>
      <c r="AC179">
        <v>6986</v>
      </c>
      <c r="AE179">
        <v>7121</v>
      </c>
      <c r="AG179" t="s">
        <v>2835</v>
      </c>
      <c r="AI179">
        <v>3095</v>
      </c>
      <c r="AK179">
        <v>8717</v>
      </c>
      <c r="AP179" t="s">
        <v>2836</v>
      </c>
      <c r="AR179">
        <v>11896</v>
      </c>
      <c r="AT179">
        <v>12340</v>
      </c>
      <c r="AV179" t="s">
        <v>2837</v>
      </c>
      <c r="AX179">
        <v>8260</v>
      </c>
      <c r="AZ179">
        <v>11780</v>
      </c>
      <c r="BB179" t="s">
        <v>2838</v>
      </c>
      <c r="BD179">
        <v>7182</v>
      </c>
      <c r="BF179">
        <v>7182</v>
      </c>
      <c r="BH179" t="s">
        <v>2839</v>
      </c>
      <c r="BJ179">
        <v>8016</v>
      </c>
      <c r="BL179">
        <v>8380</v>
      </c>
    </row>
    <row r="180" spans="1:64">
      <c r="A180">
        <f t="shared" si="25"/>
        <v>7.021</v>
      </c>
      <c r="B180">
        <f t="shared" si="26"/>
        <v>12.05</v>
      </c>
      <c r="C180">
        <f t="shared" si="27"/>
        <v>7.249</v>
      </c>
      <c r="D180">
        <f t="shared" si="28"/>
        <v>7.157</v>
      </c>
      <c r="E180">
        <f t="shared" si="29"/>
        <v>12.435</v>
      </c>
      <c r="F180">
        <f t="shared" si="30"/>
        <v>7.249</v>
      </c>
      <c r="G180">
        <f t="shared" si="31"/>
        <v>3.12</v>
      </c>
      <c r="H180">
        <f t="shared" si="32"/>
        <v>8.33</v>
      </c>
      <c r="I180">
        <f t="shared" si="33"/>
        <v>8.057</v>
      </c>
      <c r="J180">
        <f t="shared" si="34"/>
        <v>9.328</v>
      </c>
      <c r="K180">
        <f t="shared" si="35"/>
        <v>11.853</v>
      </c>
      <c r="L180">
        <f t="shared" si="36"/>
        <v>8.642</v>
      </c>
      <c r="N180">
        <v>7021</v>
      </c>
      <c r="O180">
        <v>12050</v>
      </c>
      <c r="P180">
        <v>7249</v>
      </c>
      <c r="Q180">
        <v>7157</v>
      </c>
      <c r="R180">
        <v>12435</v>
      </c>
      <c r="S180">
        <v>7249</v>
      </c>
      <c r="T180">
        <v>3120</v>
      </c>
      <c r="U180">
        <v>8330</v>
      </c>
      <c r="V180">
        <v>8057</v>
      </c>
      <c r="W180">
        <v>9328</v>
      </c>
      <c r="X180">
        <v>11853</v>
      </c>
      <c r="Y180">
        <v>8642</v>
      </c>
      <c r="AA180" t="s">
        <v>2840</v>
      </c>
      <c r="AC180">
        <v>6994</v>
      </c>
      <c r="AE180">
        <v>7129</v>
      </c>
      <c r="AG180" t="s">
        <v>2841</v>
      </c>
      <c r="AI180">
        <v>3095</v>
      </c>
      <c r="AK180">
        <v>8717</v>
      </c>
      <c r="AP180" t="s">
        <v>2842</v>
      </c>
      <c r="AR180">
        <v>11902</v>
      </c>
      <c r="AT180">
        <v>12347</v>
      </c>
      <c r="AV180" t="s">
        <v>2843</v>
      </c>
      <c r="AX180">
        <v>8263</v>
      </c>
      <c r="AZ180">
        <v>11792</v>
      </c>
      <c r="BB180" t="s">
        <v>2844</v>
      </c>
      <c r="BD180">
        <v>7183</v>
      </c>
      <c r="BF180">
        <v>7183</v>
      </c>
      <c r="BH180" t="s">
        <v>2845</v>
      </c>
      <c r="BJ180">
        <v>8017</v>
      </c>
      <c r="BL180">
        <v>8386</v>
      </c>
    </row>
    <row r="181" spans="1:64">
      <c r="A181">
        <f t="shared" si="25"/>
        <v>7.023</v>
      </c>
      <c r="B181">
        <f t="shared" si="26"/>
        <v>12.063</v>
      </c>
      <c r="C181">
        <f t="shared" si="27"/>
        <v>7.266</v>
      </c>
      <c r="D181">
        <f t="shared" si="28"/>
        <v>7.163</v>
      </c>
      <c r="E181">
        <f t="shared" si="29"/>
        <v>12.454</v>
      </c>
      <c r="F181">
        <f t="shared" si="30"/>
        <v>7.266</v>
      </c>
      <c r="G181">
        <f t="shared" si="31"/>
        <v>3.12</v>
      </c>
      <c r="H181">
        <f t="shared" si="32"/>
        <v>8.331</v>
      </c>
      <c r="I181">
        <f t="shared" si="33"/>
        <v>8.059</v>
      </c>
      <c r="J181">
        <f t="shared" si="34"/>
        <v>9.345</v>
      </c>
      <c r="K181">
        <f t="shared" si="35"/>
        <v>11.885</v>
      </c>
      <c r="L181">
        <f t="shared" si="36"/>
        <v>8.659</v>
      </c>
      <c r="N181">
        <v>7023</v>
      </c>
      <c r="O181">
        <v>12063</v>
      </c>
      <c r="P181">
        <v>7266</v>
      </c>
      <c r="Q181">
        <v>7163</v>
      </c>
      <c r="R181">
        <v>12454</v>
      </c>
      <c r="S181">
        <v>7266</v>
      </c>
      <c r="T181">
        <v>3120</v>
      </c>
      <c r="U181">
        <v>8331</v>
      </c>
      <c r="V181">
        <v>8059</v>
      </c>
      <c r="W181">
        <v>9345</v>
      </c>
      <c r="X181">
        <v>11885</v>
      </c>
      <c r="Y181">
        <v>8659</v>
      </c>
      <c r="AA181" t="s">
        <v>2846</v>
      </c>
      <c r="AC181">
        <v>6994</v>
      </c>
      <c r="AE181">
        <v>7134</v>
      </c>
      <c r="AG181" t="s">
        <v>2847</v>
      </c>
      <c r="AI181">
        <v>3097</v>
      </c>
      <c r="AK181">
        <v>8842</v>
      </c>
      <c r="AP181" t="s">
        <v>2848</v>
      </c>
      <c r="AR181">
        <v>11908</v>
      </c>
      <c r="AT181">
        <v>12350</v>
      </c>
      <c r="AV181" t="s">
        <v>2849</v>
      </c>
      <c r="AX181">
        <v>8272</v>
      </c>
      <c r="AZ181">
        <v>11802</v>
      </c>
      <c r="BB181" t="s">
        <v>2850</v>
      </c>
      <c r="BD181">
        <v>7186</v>
      </c>
      <c r="BF181">
        <v>7186</v>
      </c>
      <c r="BH181" t="s">
        <v>2851</v>
      </c>
      <c r="BJ181">
        <v>8028</v>
      </c>
      <c r="BL181">
        <v>8424</v>
      </c>
    </row>
    <row r="182" spans="1:64">
      <c r="A182">
        <f t="shared" si="25"/>
        <v>7.024</v>
      </c>
      <c r="B182">
        <f t="shared" si="26"/>
        <v>12.12</v>
      </c>
      <c r="C182">
        <f t="shared" si="27"/>
        <v>7.273</v>
      </c>
      <c r="D182">
        <f t="shared" si="28"/>
        <v>7.173</v>
      </c>
      <c r="E182">
        <f t="shared" si="29"/>
        <v>12.461</v>
      </c>
      <c r="F182">
        <f t="shared" si="30"/>
        <v>7.273</v>
      </c>
      <c r="G182">
        <f t="shared" si="31"/>
        <v>3.121</v>
      </c>
      <c r="H182">
        <f t="shared" si="32"/>
        <v>8.332</v>
      </c>
      <c r="I182">
        <f t="shared" si="33"/>
        <v>8.069</v>
      </c>
      <c r="J182">
        <f t="shared" si="34"/>
        <v>9.392</v>
      </c>
      <c r="K182">
        <f t="shared" si="35"/>
        <v>11.986</v>
      </c>
      <c r="L182">
        <f t="shared" si="36"/>
        <v>8.737</v>
      </c>
      <c r="N182">
        <v>7024</v>
      </c>
      <c r="O182">
        <v>12120</v>
      </c>
      <c r="P182">
        <v>7273</v>
      </c>
      <c r="Q182">
        <v>7173</v>
      </c>
      <c r="R182">
        <v>12461</v>
      </c>
      <c r="S182">
        <v>7273</v>
      </c>
      <c r="T182">
        <v>3121</v>
      </c>
      <c r="U182">
        <v>8332</v>
      </c>
      <c r="V182">
        <v>8069</v>
      </c>
      <c r="W182">
        <v>9392</v>
      </c>
      <c r="X182">
        <v>11986</v>
      </c>
      <c r="Y182">
        <v>8737</v>
      </c>
      <c r="AA182" t="s">
        <v>2852</v>
      </c>
      <c r="AC182">
        <v>7003</v>
      </c>
      <c r="AE182">
        <v>7138</v>
      </c>
      <c r="AG182" t="s">
        <v>2853</v>
      </c>
      <c r="AI182">
        <v>3097</v>
      </c>
      <c r="AK182">
        <v>8844</v>
      </c>
      <c r="AP182" t="s">
        <v>2854</v>
      </c>
      <c r="AR182">
        <v>11957</v>
      </c>
      <c r="AT182">
        <v>12364</v>
      </c>
      <c r="AV182" t="s">
        <v>2855</v>
      </c>
      <c r="AX182">
        <v>8283</v>
      </c>
      <c r="AZ182">
        <v>11802</v>
      </c>
      <c r="BB182" t="s">
        <v>2856</v>
      </c>
      <c r="BD182">
        <v>7191</v>
      </c>
      <c r="BF182">
        <v>7191</v>
      </c>
      <c r="BH182" t="s">
        <v>2857</v>
      </c>
      <c r="BJ182">
        <v>8030</v>
      </c>
      <c r="BL182">
        <v>8425</v>
      </c>
    </row>
    <row r="183" spans="1:64">
      <c r="A183">
        <f t="shared" si="25"/>
        <v>7.025</v>
      </c>
      <c r="B183">
        <f t="shared" si="26"/>
        <v>12.122</v>
      </c>
      <c r="C183">
        <f t="shared" si="27"/>
        <v>7.279</v>
      </c>
      <c r="D183">
        <f t="shared" si="28"/>
        <v>7.177</v>
      </c>
      <c r="E183">
        <f t="shared" si="29"/>
        <v>12.469</v>
      </c>
      <c r="F183">
        <f t="shared" si="30"/>
        <v>7.279</v>
      </c>
      <c r="G183">
        <f t="shared" si="31"/>
        <v>3.127</v>
      </c>
      <c r="H183">
        <f t="shared" si="32"/>
        <v>8.335</v>
      </c>
      <c r="I183">
        <f t="shared" si="33"/>
        <v>8.074</v>
      </c>
      <c r="J183">
        <f t="shared" si="34"/>
        <v>9.45</v>
      </c>
      <c r="K183">
        <f t="shared" si="35"/>
        <v>12.021</v>
      </c>
      <c r="L183">
        <f t="shared" si="36"/>
        <v>8.755</v>
      </c>
      <c r="N183">
        <v>7025</v>
      </c>
      <c r="O183">
        <v>12122</v>
      </c>
      <c r="P183">
        <v>7279</v>
      </c>
      <c r="Q183">
        <v>7177</v>
      </c>
      <c r="R183">
        <v>12469</v>
      </c>
      <c r="S183">
        <v>7279</v>
      </c>
      <c r="T183">
        <v>3127</v>
      </c>
      <c r="U183">
        <v>8335</v>
      </c>
      <c r="V183">
        <v>8074</v>
      </c>
      <c r="W183">
        <v>9450</v>
      </c>
      <c r="X183">
        <v>12021</v>
      </c>
      <c r="Y183">
        <v>8755</v>
      </c>
      <c r="AA183" t="s">
        <v>2858</v>
      </c>
      <c r="AC183">
        <v>7005</v>
      </c>
      <c r="AE183">
        <v>7141</v>
      </c>
      <c r="AG183" t="s">
        <v>2859</v>
      </c>
      <c r="AI183">
        <v>3097</v>
      </c>
      <c r="AK183">
        <v>8873</v>
      </c>
      <c r="AP183" t="s">
        <v>2860</v>
      </c>
      <c r="AR183">
        <v>11990</v>
      </c>
      <c r="AT183">
        <v>12366</v>
      </c>
      <c r="AV183" t="s">
        <v>2861</v>
      </c>
      <c r="AX183">
        <v>8287</v>
      </c>
      <c r="AZ183">
        <v>11807</v>
      </c>
      <c r="BB183" t="s">
        <v>2862</v>
      </c>
      <c r="BD183">
        <v>7193</v>
      </c>
      <c r="BF183">
        <v>7193</v>
      </c>
      <c r="BH183" t="s">
        <v>2863</v>
      </c>
      <c r="BJ183">
        <v>8032</v>
      </c>
      <c r="BL183">
        <v>8435</v>
      </c>
    </row>
    <row r="184" spans="1:64">
      <c r="A184">
        <f t="shared" si="25"/>
        <v>7.027</v>
      </c>
      <c r="B184">
        <f t="shared" si="26"/>
        <v>12.127</v>
      </c>
      <c r="C184">
        <f t="shared" si="27"/>
        <v>7.28</v>
      </c>
      <c r="D184">
        <f t="shared" si="28"/>
        <v>7.182</v>
      </c>
      <c r="E184">
        <f t="shared" si="29"/>
        <v>12.47</v>
      </c>
      <c r="F184">
        <f t="shared" si="30"/>
        <v>7.28</v>
      </c>
      <c r="G184">
        <f t="shared" si="31"/>
        <v>3.128</v>
      </c>
      <c r="H184">
        <f t="shared" si="32"/>
        <v>8.336</v>
      </c>
      <c r="I184">
        <f t="shared" si="33"/>
        <v>8.078</v>
      </c>
      <c r="J184">
        <f t="shared" si="34"/>
        <v>9.488</v>
      </c>
      <c r="K184">
        <f t="shared" si="35"/>
        <v>12.037</v>
      </c>
      <c r="L184">
        <f t="shared" si="36"/>
        <v>8.875</v>
      </c>
      <c r="N184">
        <v>7027</v>
      </c>
      <c r="O184">
        <v>12127</v>
      </c>
      <c r="P184">
        <v>7280</v>
      </c>
      <c r="Q184">
        <v>7182</v>
      </c>
      <c r="R184">
        <v>12470</v>
      </c>
      <c r="S184">
        <v>7280</v>
      </c>
      <c r="T184">
        <v>3128</v>
      </c>
      <c r="U184">
        <v>8336</v>
      </c>
      <c r="V184">
        <v>8078</v>
      </c>
      <c r="W184">
        <v>9488</v>
      </c>
      <c r="X184">
        <v>12037</v>
      </c>
      <c r="Y184">
        <v>8875</v>
      </c>
      <c r="AA184" t="s">
        <v>2864</v>
      </c>
      <c r="AC184">
        <v>7013</v>
      </c>
      <c r="AE184">
        <v>7142</v>
      </c>
      <c r="AG184" t="s">
        <v>2865</v>
      </c>
      <c r="AI184">
        <v>3107</v>
      </c>
      <c r="AK184">
        <v>8927</v>
      </c>
      <c r="AP184" t="s">
        <v>2866</v>
      </c>
      <c r="AR184">
        <v>12001</v>
      </c>
      <c r="AT184">
        <v>12398</v>
      </c>
      <c r="AV184" t="s">
        <v>2867</v>
      </c>
      <c r="AX184">
        <v>8301</v>
      </c>
      <c r="AZ184">
        <v>11822</v>
      </c>
      <c r="BB184" t="s">
        <v>2868</v>
      </c>
      <c r="BD184">
        <v>7197</v>
      </c>
      <c r="BF184">
        <v>7197</v>
      </c>
      <c r="BH184" t="s">
        <v>2869</v>
      </c>
      <c r="BJ184">
        <v>8043</v>
      </c>
      <c r="BL184">
        <v>8480</v>
      </c>
    </row>
    <row r="185" spans="1:64">
      <c r="A185">
        <f t="shared" si="25"/>
        <v>7.028</v>
      </c>
      <c r="B185">
        <f t="shared" si="26"/>
        <v>12.128</v>
      </c>
      <c r="C185">
        <f t="shared" si="27"/>
        <v>7.283</v>
      </c>
      <c r="D185">
        <f t="shared" si="28"/>
        <v>7.184</v>
      </c>
      <c r="E185">
        <f t="shared" si="29"/>
        <v>12.476</v>
      </c>
      <c r="F185">
        <f t="shared" si="30"/>
        <v>7.283</v>
      </c>
      <c r="G185">
        <f t="shared" si="31"/>
        <v>3.133</v>
      </c>
      <c r="H185">
        <f t="shared" si="32"/>
        <v>8.34</v>
      </c>
      <c r="I185">
        <f t="shared" si="33"/>
        <v>8.081</v>
      </c>
      <c r="J185">
        <f t="shared" si="34"/>
        <v>9.503</v>
      </c>
      <c r="K185">
        <f t="shared" si="35"/>
        <v>12.058</v>
      </c>
      <c r="L185">
        <f t="shared" si="36"/>
        <v>8.879</v>
      </c>
      <c r="N185">
        <v>7028</v>
      </c>
      <c r="O185">
        <v>12128</v>
      </c>
      <c r="P185">
        <v>7283</v>
      </c>
      <c r="Q185">
        <v>7184</v>
      </c>
      <c r="R185">
        <v>12476</v>
      </c>
      <c r="S185">
        <v>7283</v>
      </c>
      <c r="T185">
        <v>3133</v>
      </c>
      <c r="U185">
        <v>8340</v>
      </c>
      <c r="V185">
        <v>8081</v>
      </c>
      <c r="W185">
        <v>9503</v>
      </c>
      <c r="X185">
        <v>12058</v>
      </c>
      <c r="Y185">
        <v>8879</v>
      </c>
      <c r="AA185" t="s">
        <v>2870</v>
      </c>
      <c r="AC185">
        <v>7014</v>
      </c>
      <c r="AE185">
        <v>7149</v>
      </c>
      <c r="AG185" t="s">
        <v>2871</v>
      </c>
      <c r="AI185">
        <v>3110</v>
      </c>
      <c r="AK185">
        <v>9022</v>
      </c>
      <c r="AP185" t="s">
        <v>2872</v>
      </c>
      <c r="AR185">
        <v>12027</v>
      </c>
      <c r="AT185">
        <v>12415</v>
      </c>
      <c r="AV185" t="s">
        <v>2873</v>
      </c>
      <c r="AX185">
        <v>8322</v>
      </c>
      <c r="AZ185">
        <v>11831</v>
      </c>
      <c r="BB185" t="s">
        <v>2874</v>
      </c>
      <c r="BD185">
        <v>7214</v>
      </c>
      <c r="BF185">
        <v>7214</v>
      </c>
      <c r="BH185" t="s">
        <v>2875</v>
      </c>
      <c r="BJ185">
        <v>8044</v>
      </c>
      <c r="BL185">
        <v>8575</v>
      </c>
    </row>
    <row r="186" spans="1:64">
      <c r="A186">
        <f t="shared" si="25"/>
        <v>7.053</v>
      </c>
      <c r="B186">
        <f t="shared" si="26"/>
        <v>12.145</v>
      </c>
      <c r="C186">
        <f t="shared" si="27"/>
        <v>7.29</v>
      </c>
      <c r="D186">
        <f t="shared" si="28"/>
        <v>7.201</v>
      </c>
      <c r="E186">
        <f t="shared" si="29"/>
        <v>12.499</v>
      </c>
      <c r="F186">
        <f t="shared" si="30"/>
        <v>7.29</v>
      </c>
      <c r="G186">
        <f t="shared" si="31"/>
        <v>3.133</v>
      </c>
      <c r="H186">
        <f t="shared" si="32"/>
        <v>8.343</v>
      </c>
      <c r="I186">
        <f t="shared" si="33"/>
        <v>8.088</v>
      </c>
      <c r="J186">
        <f t="shared" si="34"/>
        <v>9.514</v>
      </c>
      <c r="K186">
        <f t="shared" si="35"/>
        <v>12.265</v>
      </c>
      <c r="L186">
        <f t="shared" si="36"/>
        <v>8.883</v>
      </c>
      <c r="N186">
        <v>7053</v>
      </c>
      <c r="O186">
        <v>12145</v>
      </c>
      <c r="P186">
        <v>7290</v>
      </c>
      <c r="Q186">
        <v>7201</v>
      </c>
      <c r="R186">
        <v>12499</v>
      </c>
      <c r="S186">
        <v>7290</v>
      </c>
      <c r="T186">
        <v>3133</v>
      </c>
      <c r="U186">
        <v>8343</v>
      </c>
      <c r="V186">
        <v>8088</v>
      </c>
      <c r="W186">
        <v>9514</v>
      </c>
      <c r="X186">
        <v>12265</v>
      </c>
      <c r="Y186">
        <v>8883</v>
      </c>
      <c r="AA186" t="s">
        <v>2876</v>
      </c>
      <c r="AC186">
        <v>7020</v>
      </c>
      <c r="AE186">
        <v>7151</v>
      </c>
      <c r="AG186" t="s">
        <v>2877</v>
      </c>
      <c r="AI186">
        <v>3118</v>
      </c>
      <c r="AK186">
        <v>9038</v>
      </c>
      <c r="AP186" t="s">
        <v>2878</v>
      </c>
      <c r="AR186">
        <v>12045</v>
      </c>
      <c r="AT186">
        <v>12423</v>
      </c>
      <c r="AV186" t="s">
        <v>2879</v>
      </c>
      <c r="AX186">
        <v>8326</v>
      </c>
      <c r="AZ186">
        <v>11835</v>
      </c>
      <c r="BB186" t="s">
        <v>2880</v>
      </c>
      <c r="BD186">
        <v>7218</v>
      </c>
      <c r="BF186">
        <v>7218</v>
      </c>
      <c r="BH186" t="s">
        <v>2881</v>
      </c>
      <c r="BJ186">
        <v>8046</v>
      </c>
      <c r="BL186">
        <v>8620</v>
      </c>
    </row>
    <row r="187" spans="1:64">
      <c r="A187">
        <f t="shared" si="25"/>
        <v>7.058</v>
      </c>
      <c r="B187">
        <f t="shared" si="26"/>
        <v>12.166</v>
      </c>
      <c r="C187">
        <f t="shared" si="27"/>
        <v>7.325</v>
      </c>
      <c r="D187">
        <f t="shared" si="28"/>
        <v>7.208</v>
      </c>
      <c r="E187">
        <f t="shared" si="29"/>
        <v>12.511</v>
      </c>
      <c r="F187">
        <f t="shared" si="30"/>
        <v>7.325</v>
      </c>
      <c r="G187">
        <f t="shared" si="31"/>
        <v>3.135</v>
      </c>
      <c r="H187">
        <f t="shared" si="32"/>
        <v>8.349</v>
      </c>
      <c r="I187">
        <f t="shared" si="33"/>
        <v>8.101</v>
      </c>
      <c r="J187">
        <f t="shared" si="34"/>
        <v>9.545</v>
      </c>
      <c r="K187">
        <f t="shared" si="35"/>
        <v>12.274</v>
      </c>
      <c r="L187">
        <f t="shared" si="36"/>
        <v>8.928</v>
      </c>
      <c r="N187">
        <v>7058</v>
      </c>
      <c r="O187">
        <v>12166</v>
      </c>
      <c r="P187">
        <v>7325</v>
      </c>
      <c r="Q187">
        <v>7208</v>
      </c>
      <c r="R187">
        <v>12511</v>
      </c>
      <c r="S187">
        <v>7325</v>
      </c>
      <c r="T187">
        <v>3135</v>
      </c>
      <c r="U187">
        <v>8349</v>
      </c>
      <c r="V187">
        <v>8101</v>
      </c>
      <c r="W187">
        <v>9545</v>
      </c>
      <c r="X187">
        <v>12274</v>
      </c>
      <c r="Y187">
        <v>8928</v>
      </c>
      <c r="AA187" t="s">
        <v>2882</v>
      </c>
      <c r="AC187">
        <v>7021</v>
      </c>
      <c r="AE187">
        <v>7152</v>
      </c>
      <c r="AG187" t="s">
        <v>2883</v>
      </c>
      <c r="AI187">
        <v>3120</v>
      </c>
      <c r="AK187">
        <v>9094</v>
      </c>
      <c r="AP187" t="s">
        <v>2884</v>
      </c>
      <c r="AR187">
        <v>12050</v>
      </c>
      <c r="AT187">
        <v>12435</v>
      </c>
      <c r="AV187" t="s">
        <v>2885</v>
      </c>
      <c r="AX187">
        <v>8330</v>
      </c>
      <c r="AZ187">
        <v>11853</v>
      </c>
      <c r="BB187" t="s">
        <v>2886</v>
      </c>
      <c r="BD187">
        <v>7238</v>
      </c>
      <c r="BF187">
        <v>7238</v>
      </c>
      <c r="BH187" t="s">
        <v>2887</v>
      </c>
      <c r="BJ187">
        <v>8054</v>
      </c>
      <c r="BL187">
        <v>8633</v>
      </c>
    </row>
    <row r="188" spans="1:64">
      <c r="A188">
        <f t="shared" si="25"/>
        <v>7.06</v>
      </c>
      <c r="B188">
        <f t="shared" si="26"/>
        <v>12.169</v>
      </c>
      <c r="C188">
        <f t="shared" si="27"/>
        <v>7.326</v>
      </c>
      <c r="D188">
        <f t="shared" si="28"/>
        <v>7.215</v>
      </c>
      <c r="E188">
        <f t="shared" si="29"/>
        <v>12.514</v>
      </c>
      <c r="F188">
        <f t="shared" si="30"/>
        <v>7.326</v>
      </c>
      <c r="G188">
        <f t="shared" si="31"/>
        <v>3.14</v>
      </c>
      <c r="H188">
        <f t="shared" si="32"/>
        <v>8.369</v>
      </c>
      <c r="I188">
        <f t="shared" si="33"/>
        <v>8.12</v>
      </c>
      <c r="J188">
        <f t="shared" si="34"/>
        <v>9.548</v>
      </c>
      <c r="K188">
        <f t="shared" si="35"/>
        <v>12.351</v>
      </c>
      <c r="L188">
        <f t="shared" si="36"/>
        <v>8.935</v>
      </c>
      <c r="N188">
        <v>7060</v>
      </c>
      <c r="O188">
        <v>12169</v>
      </c>
      <c r="P188">
        <v>7326</v>
      </c>
      <c r="Q188">
        <v>7215</v>
      </c>
      <c r="R188">
        <v>12514</v>
      </c>
      <c r="S188">
        <v>7326</v>
      </c>
      <c r="T188">
        <v>3140</v>
      </c>
      <c r="U188">
        <v>8369</v>
      </c>
      <c r="V188">
        <v>8120</v>
      </c>
      <c r="W188">
        <v>9548</v>
      </c>
      <c r="X188">
        <v>12351</v>
      </c>
      <c r="Y188">
        <v>8935</v>
      </c>
      <c r="AA188" t="s">
        <v>2888</v>
      </c>
      <c r="AC188">
        <v>7021</v>
      </c>
      <c r="AE188">
        <v>7157</v>
      </c>
      <c r="AG188" t="s">
        <v>2889</v>
      </c>
      <c r="AI188">
        <v>3120</v>
      </c>
      <c r="AK188">
        <v>9328</v>
      </c>
      <c r="AP188" t="s">
        <v>2890</v>
      </c>
      <c r="AR188">
        <v>12063</v>
      </c>
      <c r="AT188">
        <v>12454</v>
      </c>
      <c r="AV188" t="s">
        <v>2891</v>
      </c>
      <c r="AX188">
        <v>8331</v>
      </c>
      <c r="AZ188">
        <v>11885</v>
      </c>
      <c r="BB188" t="s">
        <v>2892</v>
      </c>
      <c r="BD188">
        <v>7249</v>
      </c>
      <c r="BF188">
        <v>7249</v>
      </c>
      <c r="BH188" t="s">
        <v>2893</v>
      </c>
      <c r="BJ188">
        <v>8057</v>
      </c>
      <c r="BL188">
        <v>8642</v>
      </c>
    </row>
    <row r="189" spans="1:64">
      <c r="A189">
        <f t="shared" si="25"/>
        <v>7.076</v>
      </c>
      <c r="B189">
        <f t="shared" si="26"/>
        <v>12.172</v>
      </c>
      <c r="C189">
        <f t="shared" si="27"/>
        <v>7.354</v>
      </c>
      <c r="D189">
        <f t="shared" si="28"/>
        <v>7.217</v>
      </c>
      <c r="E189">
        <f t="shared" si="29"/>
        <v>12.55</v>
      </c>
      <c r="F189">
        <f t="shared" si="30"/>
        <v>7.354</v>
      </c>
      <c r="G189">
        <f t="shared" si="31"/>
        <v>3.141</v>
      </c>
      <c r="H189">
        <f t="shared" si="32"/>
        <v>8.393</v>
      </c>
      <c r="I189">
        <f t="shared" si="33"/>
        <v>8.122</v>
      </c>
      <c r="J189">
        <f t="shared" si="34"/>
        <v>9.585</v>
      </c>
      <c r="K189">
        <f t="shared" si="35"/>
        <v>12.367</v>
      </c>
      <c r="L189">
        <f t="shared" si="36"/>
        <v>8.94</v>
      </c>
      <c r="N189">
        <v>7076</v>
      </c>
      <c r="O189">
        <v>12172</v>
      </c>
      <c r="P189">
        <v>7354</v>
      </c>
      <c r="Q189">
        <v>7217</v>
      </c>
      <c r="R189">
        <v>12550</v>
      </c>
      <c r="S189">
        <v>7354</v>
      </c>
      <c r="T189">
        <v>3141</v>
      </c>
      <c r="U189">
        <v>8393</v>
      </c>
      <c r="V189">
        <v>8122</v>
      </c>
      <c r="W189">
        <v>9585</v>
      </c>
      <c r="X189">
        <v>12367</v>
      </c>
      <c r="Y189">
        <v>8940</v>
      </c>
      <c r="AA189" t="s">
        <v>2894</v>
      </c>
      <c r="AC189">
        <v>7023</v>
      </c>
      <c r="AE189">
        <v>7163</v>
      </c>
      <c r="AG189" t="s">
        <v>2895</v>
      </c>
      <c r="AI189">
        <v>3120</v>
      </c>
      <c r="AK189">
        <v>9345</v>
      </c>
      <c r="AP189" t="s">
        <v>2896</v>
      </c>
      <c r="AR189">
        <v>12120</v>
      </c>
      <c r="AT189">
        <v>12461</v>
      </c>
      <c r="AV189" t="s">
        <v>2897</v>
      </c>
      <c r="AX189">
        <v>8332</v>
      </c>
      <c r="AZ189">
        <v>11986</v>
      </c>
      <c r="BB189" t="s">
        <v>2898</v>
      </c>
      <c r="BD189">
        <v>7266</v>
      </c>
      <c r="BF189">
        <v>7266</v>
      </c>
      <c r="BH189" t="s">
        <v>2899</v>
      </c>
      <c r="BJ189">
        <v>8059</v>
      </c>
      <c r="BL189">
        <v>8659</v>
      </c>
    </row>
    <row r="190" spans="1:64">
      <c r="A190">
        <f t="shared" si="25"/>
        <v>7.081</v>
      </c>
      <c r="B190">
        <f t="shared" si="26"/>
        <v>12.189</v>
      </c>
      <c r="C190">
        <f t="shared" si="27"/>
        <v>7.36</v>
      </c>
      <c r="D190">
        <f t="shared" si="28"/>
        <v>7.224</v>
      </c>
      <c r="E190">
        <f t="shared" si="29"/>
        <v>12.57</v>
      </c>
      <c r="F190">
        <f t="shared" si="30"/>
        <v>7.36</v>
      </c>
      <c r="G190">
        <f t="shared" si="31"/>
        <v>3.142</v>
      </c>
      <c r="H190">
        <f t="shared" si="32"/>
        <v>8.396</v>
      </c>
      <c r="I190">
        <f t="shared" si="33"/>
        <v>8.129</v>
      </c>
      <c r="J190">
        <f t="shared" si="34"/>
        <v>9.604</v>
      </c>
      <c r="K190">
        <f t="shared" si="35"/>
        <v>12.453</v>
      </c>
      <c r="L190">
        <f t="shared" si="36"/>
        <v>8.941</v>
      </c>
      <c r="N190">
        <v>7081</v>
      </c>
      <c r="O190">
        <v>12189</v>
      </c>
      <c r="P190">
        <v>7360</v>
      </c>
      <c r="Q190">
        <v>7224</v>
      </c>
      <c r="R190">
        <v>12570</v>
      </c>
      <c r="S190">
        <v>7360</v>
      </c>
      <c r="T190">
        <v>3142</v>
      </c>
      <c r="U190">
        <v>8396</v>
      </c>
      <c r="V190">
        <v>8129</v>
      </c>
      <c r="W190">
        <v>9604</v>
      </c>
      <c r="X190">
        <v>12453</v>
      </c>
      <c r="Y190">
        <v>8941</v>
      </c>
      <c r="AA190" t="s">
        <v>2900</v>
      </c>
      <c r="AC190">
        <v>7024</v>
      </c>
      <c r="AE190">
        <v>7173</v>
      </c>
      <c r="AG190" t="s">
        <v>2901</v>
      </c>
      <c r="AI190">
        <v>3121</v>
      </c>
      <c r="AK190">
        <v>9392</v>
      </c>
      <c r="AP190" t="s">
        <v>2902</v>
      </c>
      <c r="AR190">
        <v>12122</v>
      </c>
      <c r="AT190">
        <v>12469</v>
      </c>
      <c r="AV190" t="s">
        <v>2903</v>
      </c>
      <c r="AX190">
        <v>8335</v>
      </c>
      <c r="AZ190">
        <v>12021</v>
      </c>
      <c r="BB190" t="s">
        <v>2904</v>
      </c>
      <c r="BD190">
        <v>7273</v>
      </c>
      <c r="BF190">
        <v>7273</v>
      </c>
      <c r="BH190" t="s">
        <v>2905</v>
      </c>
      <c r="BJ190">
        <v>8069</v>
      </c>
      <c r="BL190">
        <v>8737</v>
      </c>
    </row>
    <row r="191" spans="1:64">
      <c r="A191">
        <f t="shared" si="25"/>
        <v>7.086</v>
      </c>
      <c r="B191">
        <f t="shared" si="26"/>
        <v>12.228</v>
      </c>
      <c r="C191">
        <f t="shared" si="27"/>
        <v>7.367</v>
      </c>
      <c r="D191">
        <f t="shared" si="28"/>
        <v>7.231</v>
      </c>
      <c r="E191">
        <f t="shared" si="29"/>
        <v>12.572</v>
      </c>
      <c r="F191">
        <f t="shared" si="30"/>
        <v>7.367</v>
      </c>
      <c r="G191">
        <f t="shared" si="31"/>
        <v>3.142</v>
      </c>
      <c r="H191">
        <f t="shared" si="32"/>
        <v>8.416</v>
      </c>
      <c r="I191">
        <f t="shared" si="33"/>
        <v>8.132</v>
      </c>
      <c r="J191">
        <f t="shared" si="34"/>
        <v>9.634</v>
      </c>
      <c r="K191">
        <f t="shared" si="35"/>
        <v>12.453</v>
      </c>
      <c r="L191">
        <f t="shared" si="36"/>
        <v>8.952</v>
      </c>
      <c r="N191">
        <v>7086</v>
      </c>
      <c r="O191">
        <v>12228</v>
      </c>
      <c r="P191">
        <v>7367</v>
      </c>
      <c r="Q191">
        <v>7231</v>
      </c>
      <c r="R191">
        <v>12572</v>
      </c>
      <c r="S191">
        <v>7367</v>
      </c>
      <c r="T191">
        <v>3142</v>
      </c>
      <c r="U191">
        <v>8416</v>
      </c>
      <c r="V191">
        <v>8132</v>
      </c>
      <c r="W191">
        <v>9634</v>
      </c>
      <c r="X191">
        <v>12453</v>
      </c>
      <c r="Y191">
        <v>8952</v>
      </c>
      <c r="AA191" t="s">
        <v>2906</v>
      </c>
      <c r="AC191">
        <v>7025</v>
      </c>
      <c r="AE191">
        <v>7177</v>
      </c>
      <c r="AG191" t="s">
        <v>2907</v>
      </c>
      <c r="AI191">
        <v>3127</v>
      </c>
      <c r="AK191">
        <v>9450</v>
      </c>
      <c r="AP191" t="s">
        <v>2908</v>
      </c>
      <c r="AR191">
        <v>12127</v>
      </c>
      <c r="AT191">
        <v>12470</v>
      </c>
      <c r="AV191" t="s">
        <v>2909</v>
      </c>
      <c r="AX191">
        <v>8336</v>
      </c>
      <c r="AZ191">
        <v>12037</v>
      </c>
      <c r="BB191" t="s">
        <v>2910</v>
      </c>
      <c r="BD191">
        <v>7279</v>
      </c>
      <c r="BF191">
        <v>7279</v>
      </c>
      <c r="BH191" t="s">
        <v>2911</v>
      </c>
      <c r="BJ191">
        <v>8074</v>
      </c>
      <c r="BL191">
        <v>8755</v>
      </c>
    </row>
    <row r="192" spans="1:64">
      <c r="A192">
        <f t="shared" si="25"/>
        <v>7.09</v>
      </c>
      <c r="B192">
        <f t="shared" si="26"/>
        <v>12.249</v>
      </c>
      <c r="C192">
        <f t="shared" si="27"/>
        <v>7.375</v>
      </c>
      <c r="D192">
        <f t="shared" si="28"/>
        <v>7.233</v>
      </c>
      <c r="E192">
        <f t="shared" si="29"/>
        <v>12.572</v>
      </c>
      <c r="F192">
        <f t="shared" si="30"/>
        <v>7.375</v>
      </c>
      <c r="G192">
        <f t="shared" si="31"/>
        <v>3.147</v>
      </c>
      <c r="H192">
        <f t="shared" si="32"/>
        <v>8.417</v>
      </c>
      <c r="I192">
        <f t="shared" si="33"/>
        <v>8.141</v>
      </c>
      <c r="J192">
        <f t="shared" si="34"/>
        <v>9.708</v>
      </c>
      <c r="K192">
        <f t="shared" si="35"/>
        <v>12.454</v>
      </c>
      <c r="L192">
        <f t="shared" si="36"/>
        <v>8.997</v>
      </c>
      <c r="N192">
        <v>7090</v>
      </c>
      <c r="O192">
        <v>12249</v>
      </c>
      <c r="P192">
        <v>7375</v>
      </c>
      <c r="Q192">
        <v>7233</v>
      </c>
      <c r="R192">
        <v>12572</v>
      </c>
      <c r="S192">
        <v>7375</v>
      </c>
      <c r="T192">
        <v>3147</v>
      </c>
      <c r="U192">
        <v>8417</v>
      </c>
      <c r="V192">
        <v>8141</v>
      </c>
      <c r="W192">
        <v>9708</v>
      </c>
      <c r="X192">
        <v>12454</v>
      </c>
      <c r="Y192">
        <v>8997</v>
      </c>
      <c r="AA192" t="s">
        <v>2912</v>
      </c>
      <c r="AC192">
        <v>7027</v>
      </c>
      <c r="AE192">
        <v>7182</v>
      </c>
      <c r="AG192" t="s">
        <v>2913</v>
      </c>
      <c r="AI192">
        <v>3128</v>
      </c>
      <c r="AK192">
        <v>9488</v>
      </c>
      <c r="AP192" t="s">
        <v>2914</v>
      </c>
      <c r="AR192">
        <v>12128</v>
      </c>
      <c r="AT192">
        <v>12476</v>
      </c>
      <c r="AV192" t="s">
        <v>2915</v>
      </c>
      <c r="AX192">
        <v>8340</v>
      </c>
      <c r="AZ192">
        <v>12058</v>
      </c>
      <c r="BB192" t="s">
        <v>2916</v>
      </c>
      <c r="BD192">
        <v>7280</v>
      </c>
      <c r="BF192">
        <v>7280</v>
      </c>
      <c r="BH192" t="s">
        <v>2917</v>
      </c>
      <c r="BJ192">
        <v>8078</v>
      </c>
      <c r="BL192">
        <v>8875</v>
      </c>
    </row>
    <row r="193" spans="1:64">
      <c r="A193">
        <f t="shared" si="25"/>
        <v>7.091</v>
      </c>
      <c r="B193">
        <f t="shared" si="26"/>
        <v>12.308</v>
      </c>
      <c r="C193">
        <f t="shared" si="27"/>
        <v>7.377</v>
      </c>
      <c r="D193">
        <f t="shared" si="28"/>
        <v>7.246</v>
      </c>
      <c r="E193">
        <f t="shared" si="29"/>
        <v>12.579</v>
      </c>
      <c r="F193">
        <f t="shared" si="30"/>
        <v>7.377</v>
      </c>
      <c r="G193">
        <f t="shared" si="31"/>
        <v>3.148</v>
      </c>
      <c r="H193">
        <f t="shared" si="32"/>
        <v>8.426</v>
      </c>
      <c r="I193">
        <f t="shared" si="33"/>
        <v>8.151</v>
      </c>
      <c r="J193">
        <f t="shared" si="34"/>
        <v>9.824</v>
      </c>
      <c r="K193">
        <f t="shared" si="35"/>
        <v>12.463</v>
      </c>
      <c r="L193">
        <f t="shared" si="36"/>
        <v>9.101</v>
      </c>
      <c r="N193">
        <v>7091</v>
      </c>
      <c r="O193">
        <v>12308</v>
      </c>
      <c r="P193">
        <v>7377</v>
      </c>
      <c r="Q193">
        <v>7246</v>
      </c>
      <c r="R193">
        <v>12579</v>
      </c>
      <c r="S193">
        <v>7377</v>
      </c>
      <c r="T193">
        <v>3148</v>
      </c>
      <c r="U193">
        <v>8426</v>
      </c>
      <c r="V193">
        <v>8151</v>
      </c>
      <c r="W193">
        <v>9824</v>
      </c>
      <c r="X193">
        <v>12463</v>
      </c>
      <c r="Y193">
        <v>9101</v>
      </c>
      <c r="AA193" t="s">
        <v>2918</v>
      </c>
      <c r="AC193">
        <v>7028</v>
      </c>
      <c r="AE193">
        <v>7184</v>
      </c>
      <c r="AG193" t="s">
        <v>2919</v>
      </c>
      <c r="AI193">
        <v>3133</v>
      </c>
      <c r="AK193">
        <v>9503</v>
      </c>
      <c r="AP193" t="s">
        <v>2920</v>
      </c>
      <c r="AR193">
        <v>12145</v>
      </c>
      <c r="AT193">
        <v>12499</v>
      </c>
      <c r="AV193" t="s">
        <v>2921</v>
      </c>
      <c r="AX193">
        <v>8343</v>
      </c>
      <c r="AZ193">
        <v>12265</v>
      </c>
      <c r="BB193" t="s">
        <v>2922</v>
      </c>
      <c r="BD193">
        <v>7283</v>
      </c>
      <c r="BF193">
        <v>7283</v>
      </c>
      <c r="BH193" t="s">
        <v>2923</v>
      </c>
      <c r="BJ193">
        <v>8081</v>
      </c>
      <c r="BL193">
        <v>8879</v>
      </c>
    </row>
    <row r="194" spans="1:64">
      <c r="A194">
        <f t="shared" si="25"/>
        <v>7.102</v>
      </c>
      <c r="B194">
        <f t="shared" si="26"/>
        <v>12.313</v>
      </c>
      <c r="C194">
        <f t="shared" si="27"/>
        <v>7.383</v>
      </c>
      <c r="D194">
        <f t="shared" si="28"/>
        <v>7.254</v>
      </c>
      <c r="E194">
        <f t="shared" si="29"/>
        <v>12.586</v>
      </c>
      <c r="F194">
        <f t="shared" si="30"/>
        <v>7.383</v>
      </c>
      <c r="G194">
        <f t="shared" si="31"/>
        <v>3.148</v>
      </c>
      <c r="H194">
        <f t="shared" si="32"/>
        <v>8.433</v>
      </c>
      <c r="I194">
        <f t="shared" si="33"/>
        <v>8.158</v>
      </c>
      <c r="J194">
        <f t="shared" si="34"/>
        <v>9.833</v>
      </c>
      <c r="K194">
        <f t="shared" si="35"/>
        <v>12.477</v>
      </c>
      <c r="L194">
        <f t="shared" si="36"/>
        <v>9.11</v>
      </c>
      <c r="N194">
        <v>7102</v>
      </c>
      <c r="O194">
        <v>12313</v>
      </c>
      <c r="P194">
        <v>7383</v>
      </c>
      <c r="Q194">
        <v>7254</v>
      </c>
      <c r="R194">
        <v>12586</v>
      </c>
      <c r="S194">
        <v>7383</v>
      </c>
      <c r="T194">
        <v>3148</v>
      </c>
      <c r="U194">
        <v>8433</v>
      </c>
      <c r="V194">
        <v>8158</v>
      </c>
      <c r="W194">
        <v>9833</v>
      </c>
      <c r="X194">
        <v>12477</v>
      </c>
      <c r="Y194">
        <v>9110</v>
      </c>
      <c r="AA194" t="s">
        <v>2924</v>
      </c>
      <c r="AC194">
        <v>7053</v>
      </c>
      <c r="AE194">
        <v>7201</v>
      </c>
      <c r="AG194" t="s">
        <v>2925</v>
      </c>
      <c r="AI194">
        <v>3133</v>
      </c>
      <c r="AK194">
        <v>9514</v>
      </c>
      <c r="AP194" t="s">
        <v>2926</v>
      </c>
      <c r="AR194">
        <v>12166</v>
      </c>
      <c r="AT194">
        <v>12511</v>
      </c>
      <c r="AV194" t="s">
        <v>2927</v>
      </c>
      <c r="AX194">
        <v>8349</v>
      </c>
      <c r="AZ194">
        <v>12274</v>
      </c>
      <c r="BB194" t="s">
        <v>2928</v>
      </c>
      <c r="BD194">
        <v>7290</v>
      </c>
      <c r="BF194">
        <v>7290</v>
      </c>
      <c r="BH194" t="s">
        <v>2929</v>
      </c>
      <c r="BJ194">
        <v>8088</v>
      </c>
      <c r="BL194">
        <v>8883</v>
      </c>
    </row>
    <row r="195" spans="1:64">
      <c r="A195">
        <f t="shared" si="25"/>
        <v>7.106</v>
      </c>
      <c r="B195">
        <f t="shared" si="26"/>
        <v>12.318</v>
      </c>
      <c r="C195">
        <f t="shared" si="27"/>
        <v>7.386</v>
      </c>
      <c r="D195">
        <f t="shared" si="28"/>
        <v>7.26</v>
      </c>
      <c r="E195">
        <f t="shared" si="29"/>
        <v>12.594</v>
      </c>
      <c r="F195">
        <f t="shared" si="30"/>
        <v>7.386</v>
      </c>
      <c r="G195">
        <f t="shared" si="31"/>
        <v>3.152</v>
      </c>
      <c r="H195">
        <f t="shared" si="32"/>
        <v>8.437</v>
      </c>
      <c r="I195">
        <f t="shared" si="33"/>
        <v>8.182</v>
      </c>
      <c r="J195">
        <f t="shared" si="34"/>
        <v>9.891</v>
      </c>
      <c r="K195">
        <f t="shared" si="35"/>
        <v>12.561</v>
      </c>
      <c r="L195">
        <f t="shared" si="36"/>
        <v>9.135</v>
      </c>
      <c r="N195">
        <v>7106</v>
      </c>
      <c r="O195">
        <v>12318</v>
      </c>
      <c r="P195">
        <v>7386</v>
      </c>
      <c r="Q195">
        <v>7260</v>
      </c>
      <c r="R195">
        <v>12594</v>
      </c>
      <c r="S195">
        <v>7386</v>
      </c>
      <c r="T195">
        <v>3152</v>
      </c>
      <c r="U195">
        <v>8437</v>
      </c>
      <c r="V195">
        <v>8182</v>
      </c>
      <c r="W195">
        <v>9891</v>
      </c>
      <c r="X195">
        <v>12561</v>
      </c>
      <c r="Y195">
        <v>9135</v>
      </c>
      <c r="AA195" t="s">
        <v>2930</v>
      </c>
      <c r="AC195">
        <v>7058</v>
      </c>
      <c r="AE195">
        <v>7208</v>
      </c>
      <c r="AG195" t="s">
        <v>2931</v>
      </c>
      <c r="AI195">
        <v>3135</v>
      </c>
      <c r="AK195">
        <v>9545</v>
      </c>
      <c r="AP195" t="s">
        <v>2932</v>
      </c>
      <c r="AR195">
        <v>12169</v>
      </c>
      <c r="AT195">
        <v>12514</v>
      </c>
      <c r="AV195" t="s">
        <v>2933</v>
      </c>
      <c r="AX195">
        <v>8369</v>
      </c>
      <c r="AZ195">
        <v>12351</v>
      </c>
      <c r="BB195" t="s">
        <v>2934</v>
      </c>
      <c r="BD195">
        <v>7325</v>
      </c>
      <c r="BF195">
        <v>7325</v>
      </c>
      <c r="BH195" t="s">
        <v>2935</v>
      </c>
      <c r="BJ195">
        <v>8101</v>
      </c>
      <c r="BL195">
        <v>8928</v>
      </c>
    </row>
    <row r="196" spans="1:64">
      <c r="A196">
        <f t="shared" ref="A196:A259" si="37">N196/1000</f>
        <v>7.11</v>
      </c>
      <c r="B196">
        <f t="shared" ref="B196:B259" si="38">O196/1000</f>
        <v>12.322</v>
      </c>
      <c r="C196">
        <f t="shared" ref="C196:C259" si="39">P196/1000</f>
        <v>7.41</v>
      </c>
      <c r="D196">
        <f t="shared" ref="D196:D259" si="40">Q196/1000</f>
        <v>7.27</v>
      </c>
      <c r="E196">
        <f t="shared" ref="E196:E259" si="41">R196/1000</f>
        <v>12.604</v>
      </c>
      <c r="F196">
        <f t="shared" ref="F196:F259" si="42">S196/1000</f>
        <v>7.41</v>
      </c>
      <c r="G196">
        <f t="shared" ref="G196:G259" si="43">T196/1000</f>
        <v>3.157</v>
      </c>
      <c r="H196">
        <f t="shared" ref="H196:H259" si="44">U196/1000</f>
        <v>8.457</v>
      </c>
      <c r="I196">
        <f t="shared" ref="I196:I259" si="45">V196/1000</f>
        <v>8.187</v>
      </c>
      <c r="J196">
        <f t="shared" ref="J196:J259" si="46">W196/1000</f>
        <v>9.975</v>
      </c>
      <c r="K196">
        <f t="shared" ref="K196:K259" si="47">X196/1000</f>
        <v>12.565</v>
      </c>
      <c r="L196">
        <f t="shared" ref="L196:L259" si="48">Y196/1000</f>
        <v>9.141</v>
      </c>
      <c r="N196">
        <v>7110</v>
      </c>
      <c r="O196">
        <v>12322</v>
      </c>
      <c r="P196">
        <v>7410</v>
      </c>
      <c r="Q196">
        <v>7270</v>
      </c>
      <c r="R196">
        <v>12604</v>
      </c>
      <c r="S196">
        <v>7410</v>
      </c>
      <c r="T196">
        <v>3157</v>
      </c>
      <c r="U196">
        <v>8457</v>
      </c>
      <c r="V196">
        <v>8187</v>
      </c>
      <c r="W196">
        <v>9975</v>
      </c>
      <c r="X196">
        <v>12565</v>
      </c>
      <c r="Y196">
        <v>9141</v>
      </c>
      <c r="AA196" t="s">
        <v>2936</v>
      </c>
      <c r="AC196">
        <v>7060</v>
      </c>
      <c r="AE196">
        <v>7215</v>
      </c>
      <c r="AG196" t="s">
        <v>2937</v>
      </c>
      <c r="AI196">
        <v>3140</v>
      </c>
      <c r="AK196">
        <v>9548</v>
      </c>
      <c r="AP196" t="s">
        <v>2938</v>
      </c>
      <c r="AR196">
        <v>12172</v>
      </c>
      <c r="AT196">
        <v>12550</v>
      </c>
      <c r="AV196" t="s">
        <v>2939</v>
      </c>
      <c r="AX196">
        <v>8393</v>
      </c>
      <c r="AZ196">
        <v>12367</v>
      </c>
      <c r="BB196" t="s">
        <v>2940</v>
      </c>
      <c r="BD196">
        <v>7326</v>
      </c>
      <c r="BF196">
        <v>7326</v>
      </c>
      <c r="BH196" t="s">
        <v>2941</v>
      </c>
      <c r="BJ196">
        <v>8120</v>
      </c>
      <c r="BL196">
        <v>8935</v>
      </c>
    </row>
    <row r="197" spans="1:64">
      <c r="A197">
        <f t="shared" si="37"/>
        <v>7.11</v>
      </c>
      <c r="B197">
        <f t="shared" si="38"/>
        <v>12.333</v>
      </c>
      <c r="C197">
        <f t="shared" si="39"/>
        <v>7.414</v>
      </c>
      <c r="D197">
        <f t="shared" si="40"/>
        <v>7.278</v>
      </c>
      <c r="E197">
        <f t="shared" si="41"/>
        <v>12.611</v>
      </c>
      <c r="F197">
        <f t="shared" si="42"/>
        <v>7.414</v>
      </c>
      <c r="G197">
        <f t="shared" si="43"/>
        <v>3.162</v>
      </c>
      <c r="H197">
        <f t="shared" si="44"/>
        <v>8.458</v>
      </c>
      <c r="I197">
        <f t="shared" si="45"/>
        <v>8.199</v>
      </c>
      <c r="J197">
        <f t="shared" si="46"/>
        <v>9.98</v>
      </c>
      <c r="K197">
        <f t="shared" si="47"/>
        <v>12.568</v>
      </c>
      <c r="L197">
        <f t="shared" si="48"/>
        <v>9.186</v>
      </c>
      <c r="N197">
        <v>7110</v>
      </c>
      <c r="O197">
        <v>12333</v>
      </c>
      <c r="P197">
        <v>7414</v>
      </c>
      <c r="Q197">
        <v>7278</v>
      </c>
      <c r="R197">
        <v>12611</v>
      </c>
      <c r="S197">
        <v>7414</v>
      </c>
      <c r="T197">
        <v>3162</v>
      </c>
      <c r="U197">
        <v>8458</v>
      </c>
      <c r="V197">
        <v>8199</v>
      </c>
      <c r="W197">
        <v>9980</v>
      </c>
      <c r="X197">
        <v>12568</v>
      </c>
      <c r="Y197">
        <v>9186</v>
      </c>
      <c r="AA197" t="s">
        <v>2942</v>
      </c>
      <c r="AC197">
        <v>7076</v>
      </c>
      <c r="AE197">
        <v>7217</v>
      </c>
      <c r="AG197" t="s">
        <v>2943</v>
      </c>
      <c r="AI197">
        <v>3141</v>
      </c>
      <c r="AK197">
        <v>9585</v>
      </c>
      <c r="AP197" t="s">
        <v>2944</v>
      </c>
      <c r="AR197">
        <v>12189</v>
      </c>
      <c r="AT197">
        <v>12570</v>
      </c>
      <c r="AV197" t="s">
        <v>2945</v>
      </c>
      <c r="AX197">
        <v>8396</v>
      </c>
      <c r="AZ197">
        <v>12453</v>
      </c>
      <c r="BB197" t="s">
        <v>2946</v>
      </c>
      <c r="BD197">
        <v>7354</v>
      </c>
      <c r="BF197">
        <v>7354</v>
      </c>
      <c r="BH197" t="s">
        <v>2947</v>
      </c>
      <c r="BJ197">
        <v>8122</v>
      </c>
      <c r="BL197">
        <v>8940</v>
      </c>
    </row>
    <row r="198" spans="1:64">
      <c r="A198">
        <f t="shared" si="37"/>
        <v>7.111</v>
      </c>
      <c r="B198">
        <f t="shared" si="38"/>
        <v>12.339</v>
      </c>
      <c r="C198">
        <f t="shared" si="39"/>
        <v>7.434</v>
      </c>
      <c r="D198">
        <f t="shared" si="40"/>
        <v>7.279</v>
      </c>
      <c r="E198">
        <f t="shared" si="41"/>
        <v>12.614</v>
      </c>
      <c r="F198">
        <f t="shared" si="42"/>
        <v>7.434</v>
      </c>
      <c r="G198">
        <f t="shared" si="43"/>
        <v>3.17</v>
      </c>
      <c r="H198">
        <f t="shared" si="44"/>
        <v>8.458</v>
      </c>
      <c r="I198">
        <f t="shared" si="45"/>
        <v>8.203</v>
      </c>
      <c r="J198">
        <f t="shared" si="46"/>
        <v>10.008</v>
      </c>
      <c r="K198">
        <f t="shared" si="47"/>
        <v>12.626</v>
      </c>
      <c r="L198">
        <f t="shared" si="48"/>
        <v>9.227</v>
      </c>
      <c r="N198">
        <v>7111</v>
      </c>
      <c r="O198">
        <v>12339</v>
      </c>
      <c r="P198">
        <v>7434</v>
      </c>
      <c r="Q198">
        <v>7279</v>
      </c>
      <c r="R198">
        <v>12614</v>
      </c>
      <c r="S198">
        <v>7434</v>
      </c>
      <c r="T198">
        <v>3170</v>
      </c>
      <c r="U198">
        <v>8458</v>
      </c>
      <c r="V198">
        <v>8203</v>
      </c>
      <c r="W198">
        <v>10008</v>
      </c>
      <c r="X198">
        <v>12626</v>
      </c>
      <c r="Y198">
        <v>9227</v>
      </c>
      <c r="AA198" t="s">
        <v>2948</v>
      </c>
      <c r="AC198">
        <v>7081</v>
      </c>
      <c r="AE198">
        <v>7224</v>
      </c>
      <c r="AG198" t="s">
        <v>2949</v>
      </c>
      <c r="AI198">
        <v>3142</v>
      </c>
      <c r="AK198">
        <v>9604</v>
      </c>
      <c r="AP198" t="s">
        <v>2950</v>
      </c>
      <c r="AR198">
        <v>12228</v>
      </c>
      <c r="AT198">
        <v>12572</v>
      </c>
      <c r="AV198" t="s">
        <v>2951</v>
      </c>
      <c r="AX198">
        <v>8416</v>
      </c>
      <c r="AZ198">
        <v>12453</v>
      </c>
      <c r="BB198" t="s">
        <v>2952</v>
      </c>
      <c r="BD198">
        <v>7360</v>
      </c>
      <c r="BF198">
        <v>7360</v>
      </c>
      <c r="BH198" t="s">
        <v>2953</v>
      </c>
      <c r="BJ198">
        <v>8129</v>
      </c>
      <c r="BL198">
        <v>8941</v>
      </c>
    </row>
    <row r="199" spans="1:64">
      <c r="A199">
        <f t="shared" si="37"/>
        <v>7.118</v>
      </c>
      <c r="B199">
        <f t="shared" si="38"/>
        <v>12.34</v>
      </c>
      <c r="C199">
        <f t="shared" si="39"/>
        <v>7.449</v>
      </c>
      <c r="D199">
        <f t="shared" si="40"/>
        <v>7.286</v>
      </c>
      <c r="E199">
        <f t="shared" si="41"/>
        <v>12.614</v>
      </c>
      <c r="F199">
        <f t="shared" si="42"/>
        <v>7.449</v>
      </c>
      <c r="G199">
        <f t="shared" si="43"/>
        <v>3.172</v>
      </c>
      <c r="H199">
        <f t="shared" si="44"/>
        <v>8.466</v>
      </c>
      <c r="I199">
        <f t="shared" si="45"/>
        <v>8.217</v>
      </c>
      <c r="J199">
        <f t="shared" si="46"/>
        <v>10.023</v>
      </c>
      <c r="K199">
        <f t="shared" si="47"/>
        <v>12.634</v>
      </c>
      <c r="L199">
        <f t="shared" si="48"/>
        <v>9.281</v>
      </c>
      <c r="N199">
        <v>7118</v>
      </c>
      <c r="O199">
        <v>12340</v>
      </c>
      <c r="P199">
        <v>7449</v>
      </c>
      <c r="Q199">
        <v>7286</v>
      </c>
      <c r="R199">
        <v>12614</v>
      </c>
      <c r="S199">
        <v>7449</v>
      </c>
      <c r="T199">
        <v>3172</v>
      </c>
      <c r="U199">
        <v>8466</v>
      </c>
      <c r="V199">
        <v>8217</v>
      </c>
      <c r="W199">
        <v>10023</v>
      </c>
      <c r="X199">
        <v>12634</v>
      </c>
      <c r="Y199">
        <v>9281</v>
      </c>
      <c r="AA199" t="s">
        <v>2954</v>
      </c>
      <c r="AC199">
        <v>7086</v>
      </c>
      <c r="AE199">
        <v>7231</v>
      </c>
      <c r="AG199" t="s">
        <v>2955</v>
      </c>
      <c r="AI199">
        <v>3142</v>
      </c>
      <c r="AK199">
        <v>9634</v>
      </c>
      <c r="AP199" t="s">
        <v>2956</v>
      </c>
      <c r="AR199">
        <v>12249</v>
      </c>
      <c r="AT199">
        <v>12572</v>
      </c>
      <c r="AV199" t="s">
        <v>2957</v>
      </c>
      <c r="AX199">
        <v>8417</v>
      </c>
      <c r="AZ199">
        <v>12454</v>
      </c>
      <c r="BB199" t="s">
        <v>2958</v>
      </c>
      <c r="BD199">
        <v>7367</v>
      </c>
      <c r="BF199">
        <v>7367</v>
      </c>
      <c r="BH199" t="s">
        <v>2959</v>
      </c>
      <c r="BJ199">
        <v>8132</v>
      </c>
      <c r="BL199">
        <v>8952</v>
      </c>
    </row>
    <row r="200" spans="1:64">
      <c r="A200">
        <f t="shared" si="37"/>
        <v>7.119</v>
      </c>
      <c r="B200">
        <f t="shared" si="38"/>
        <v>12.347</v>
      </c>
      <c r="C200">
        <f t="shared" si="39"/>
        <v>7.451</v>
      </c>
      <c r="D200">
        <f t="shared" si="40"/>
        <v>7.294</v>
      </c>
      <c r="E200">
        <f t="shared" si="41"/>
        <v>12.623</v>
      </c>
      <c r="F200">
        <f t="shared" si="42"/>
        <v>7.451</v>
      </c>
      <c r="G200">
        <f t="shared" si="43"/>
        <v>3.179</v>
      </c>
      <c r="H200">
        <f t="shared" si="44"/>
        <v>8.478</v>
      </c>
      <c r="I200">
        <f t="shared" si="45"/>
        <v>8.259</v>
      </c>
      <c r="J200">
        <f t="shared" si="46"/>
        <v>10.04</v>
      </c>
      <c r="K200">
        <f t="shared" si="47"/>
        <v>12.639</v>
      </c>
      <c r="L200">
        <f t="shared" si="48"/>
        <v>9.379</v>
      </c>
      <c r="N200">
        <v>7119</v>
      </c>
      <c r="O200">
        <v>12347</v>
      </c>
      <c r="P200">
        <v>7451</v>
      </c>
      <c r="Q200">
        <v>7294</v>
      </c>
      <c r="R200">
        <v>12623</v>
      </c>
      <c r="S200">
        <v>7451</v>
      </c>
      <c r="T200">
        <v>3179</v>
      </c>
      <c r="U200">
        <v>8478</v>
      </c>
      <c r="V200">
        <v>8259</v>
      </c>
      <c r="W200">
        <v>10040</v>
      </c>
      <c r="X200">
        <v>12639</v>
      </c>
      <c r="Y200">
        <v>9379</v>
      </c>
      <c r="AA200" t="s">
        <v>2960</v>
      </c>
      <c r="AC200">
        <v>7090</v>
      </c>
      <c r="AE200">
        <v>7233</v>
      </c>
      <c r="AG200" t="s">
        <v>2961</v>
      </c>
      <c r="AI200">
        <v>3147</v>
      </c>
      <c r="AK200">
        <v>9708</v>
      </c>
      <c r="AP200" t="s">
        <v>2962</v>
      </c>
      <c r="AR200">
        <v>12308</v>
      </c>
      <c r="AT200">
        <v>12579</v>
      </c>
      <c r="AV200" t="s">
        <v>2963</v>
      </c>
      <c r="AX200">
        <v>8426</v>
      </c>
      <c r="AZ200">
        <v>12463</v>
      </c>
      <c r="BB200" t="s">
        <v>2964</v>
      </c>
      <c r="BD200">
        <v>7375</v>
      </c>
      <c r="BF200">
        <v>7375</v>
      </c>
      <c r="BH200" t="s">
        <v>2965</v>
      </c>
      <c r="BJ200">
        <v>8141</v>
      </c>
      <c r="BL200">
        <v>8997</v>
      </c>
    </row>
    <row r="201" spans="1:64">
      <c r="A201">
        <f t="shared" si="37"/>
        <v>7.121</v>
      </c>
      <c r="B201">
        <f t="shared" si="38"/>
        <v>12.35</v>
      </c>
      <c r="C201">
        <f t="shared" si="39"/>
        <v>7.454</v>
      </c>
      <c r="D201">
        <f t="shared" si="40"/>
        <v>7.296</v>
      </c>
      <c r="E201">
        <f t="shared" si="41"/>
        <v>12.629</v>
      </c>
      <c r="F201">
        <f t="shared" si="42"/>
        <v>7.454</v>
      </c>
      <c r="G201">
        <f t="shared" si="43"/>
        <v>3.183</v>
      </c>
      <c r="H201">
        <f t="shared" si="44"/>
        <v>8.479</v>
      </c>
      <c r="I201">
        <f t="shared" si="45"/>
        <v>8.292</v>
      </c>
      <c r="J201">
        <f t="shared" si="46"/>
        <v>10.082</v>
      </c>
      <c r="K201">
        <f t="shared" si="47"/>
        <v>12.649</v>
      </c>
      <c r="L201">
        <f t="shared" si="48"/>
        <v>9.387</v>
      </c>
      <c r="N201">
        <v>7121</v>
      </c>
      <c r="O201">
        <v>12350</v>
      </c>
      <c r="P201">
        <v>7454</v>
      </c>
      <c r="Q201">
        <v>7296</v>
      </c>
      <c r="R201">
        <v>12629</v>
      </c>
      <c r="S201">
        <v>7454</v>
      </c>
      <c r="T201">
        <v>3183</v>
      </c>
      <c r="U201">
        <v>8479</v>
      </c>
      <c r="V201">
        <v>8292</v>
      </c>
      <c r="W201">
        <v>10082</v>
      </c>
      <c r="X201">
        <v>12649</v>
      </c>
      <c r="Y201">
        <v>9387</v>
      </c>
      <c r="AA201" t="s">
        <v>2966</v>
      </c>
      <c r="AC201">
        <v>7091</v>
      </c>
      <c r="AE201">
        <v>7246</v>
      </c>
      <c r="AG201" t="s">
        <v>2967</v>
      </c>
      <c r="AI201">
        <v>3148</v>
      </c>
      <c r="AK201">
        <v>9824</v>
      </c>
      <c r="AP201" t="s">
        <v>2968</v>
      </c>
      <c r="AR201">
        <v>12313</v>
      </c>
      <c r="AT201">
        <v>12586</v>
      </c>
      <c r="AV201" t="s">
        <v>2969</v>
      </c>
      <c r="AX201">
        <v>8433</v>
      </c>
      <c r="AZ201">
        <v>12477</v>
      </c>
      <c r="BB201" t="s">
        <v>2970</v>
      </c>
      <c r="BD201">
        <v>7377</v>
      </c>
      <c r="BF201">
        <v>7377</v>
      </c>
      <c r="BH201" t="s">
        <v>2971</v>
      </c>
      <c r="BJ201">
        <v>8151</v>
      </c>
      <c r="BL201">
        <v>9101</v>
      </c>
    </row>
    <row r="202" spans="1:64">
      <c r="A202">
        <f t="shared" si="37"/>
        <v>7.129</v>
      </c>
      <c r="B202">
        <f t="shared" si="38"/>
        <v>12.364</v>
      </c>
      <c r="C202">
        <f t="shared" si="39"/>
        <v>7.461</v>
      </c>
      <c r="D202">
        <f t="shared" si="40"/>
        <v>7.307</v>
      </c>
      <c r="E202">
        <f t="shared" si="41"/>
        <v>12.667</v>
      </c>
      <c r="F202">
        <f t="shared" si="42"/>
        <v>7.461</v>
      </c>
      <c r="G202">
        <f t="shared" si="43"/>
        <v>3.186</v>
      </c>
      <c r="H202">
        <f t="shared" si="44"/>
        <v>8.495</v>
      </c>
      <c r="I202">
        <f t="shared" si="45"/>
        <v>8.298</v>
      </c>
      <c r="J202">
        <f t="shared" si="46"/>
        <v>10.182</v>
      </c>
      <c r="K202">
        <f t="shared" si="47"/>
        <v>12.663</v>
      </c>
      <c r="L202">
        <f t="shared" si="48"/>
        <v>9.576</v>
      </c>
      <c r="N202">
        <v>7129</v>
      </c>
      <c r="O202">
        <v>12364</v>
      </c>
      <c r="P202">
        <v>7461</v>
      </c>
      <c r="Q202">
        <v>7307</v>
      </c>
      <c r="R202">
        <v>12667</v>
      </c>
      <c r="S202">
        <v>7461</v>
      </c>
      <c r="T202">
        <v>3186</v>
      </c>
      <c r="U202">
        <v>8495</v>
      </c>
      <c r="V202">
        <v>8298</v>
      </c>
      <c r="W202">
        <v>10182</v>
      </c>
      <c r="X202">
        <v>12663</v>
      </c>
      <c r="Y202">
        <v>9576</v>
      </c>
      <c r="AA202" t="s">
        <v>2972</v>
      </c>
      <c r="AC202">
        <v>7102</v>
      </c>
      <c r="AE202">
        <v>7254</v>
      </c>
      <c r="AG202" t="s">
        <v>2973</v>
      </c>
      <c r="AI202">
        <v>3148</v>
      </c>
      <c r="AK202">
        <v>9833</v>
      </c>
      <c r="AP202" t="s">
        <v>2974</v>
      </c>
      <c r="AR202">
        <v>12318</v>
      </c>
      <c r="AT202">
        <v>12594</v>
      </c>
      <c r="AV202" t="s">
        <v>2975</v>
      </c>
      <c r="AX202">
        <v>8437</v>
      </c>
      <c r="AZ202">
        <v>12561</v>
      </c>
      <c r="BB202" t="s">
        <v>2976</v>
      </c>
      <c r="BD202">
        <v>7383</v>
      </c>
      <c r="BF202">
        <v>7383</v>
      </c>
      <c r="BH202" t="s">
        <v>2977</v>
      </c>
      <c r="BJ202">
        <v>8158</v>
      </c>
      <c r="BL202">
        <v>9110</v>
      </c>
    </row>
    <row r="203" spans="1:64">
      <c r="A203">
        <f t="shared" si="37"/>
        <v>7.134</v>
      </c>
      <c r="B203">
        <f t="shared" si="38"/>
        <v>12.366</v>
      </c>
      <c r="C203">
        <f t="shared" si="39"/>
        <v>7.462</v>
      </c>
      <c r="D203">
        <f t="shared" si="40"/>
        <v>7.308</v>
      </c>
      <c r="E203">
        <f t="shared" si="41"/>
        <v>12.709</v>
      </c>
      <c r="F203">
        <f t="shared" si="42"/>
        <v>7.462</v>
      </c>
      <c r="G203">
        <f t="shared" si="43"/>
        <v>3.192</v>
      </c>
      <c r="H203">
        <f t="shared" si="44"/>
        <v>8.499</v>
      </c>
      <c r="I203">
        <f t="shared" si="45"/>
        <v>8.302</v>
      </c>
      <c r="J203">
        <f t="shared" si="46"/>
        <v>10.212</v>
      </c>
      <c r="K203">
        <f t="shared" si="47"/>
        <v>12.672</v>
      </c>
      <c r="L203">
        <f t="shared" si="48"/>
        <v>9.626</v>
      </c>
      <c r="N203">
        <v>7134</v>
      </c>
      <c r="O203">
        <v>12366</v>
      </c>
      <c r="P203">
        <v>7462</v>
      </c>
      <c r="Q203">
        <v>7308</v>
      </c>
      <c r="R203">
        <v>12709</v>
      </c>
      <c r="S203">
        <v>7462</v>
      </c>
      <c r="T203">
        <v>3192</v>
      </c>
      <c r="U203">
        <v>8499</v>
      </c>
      <c r="V203">
        <v>8302</v>
      </c>
      <c r="W203">
        <v>10212</v>
      </c>
      <c r="X203">
        <v>12672</v>
      </c>
      <c r="Y203">
        <v>9626</v>
      </c>
      <c r="AA203" t="s">
        <v>2978</v>
      </c>
      <c r="AC203">
        <v>7106</v>
      </c>
      <c r="AE203">
        <v>7260</v>
      </c>
      <c r="AG203" t="s">
        <v>2979</v>
      </c>
      <c r="AI203">
        <v>3152</v>
      </c>
      <c r="AK203">
        <v>9891</v>
      </c>
      <c r="AP203" t="s">
        <v>2980</v>
      </c>
      <c r="AR203">
        <v>12322</v>
      </c>
      <c r="AT203">
        <v>12604</v>
      </c>
      <c r="AV203" t="s">
        <v>2981</v>
      </c>
      <c r="AX203">
        <v>8457</v>
      </c>
      <c r="AZ203">
        <v>12565</v>
      </c>
      <c r="BB203" t="s">
        <v>2982</v>
      </c>
      <c r="BD203">
        <v>7386</v>
      </c>
      <c r="BF203">
        <v>7386</v>
      </c>
      <c r="BH203" t="s">
        <v>2983</v>
      </c>
      <c r="BJ203">
        <v>8182</v>
      </c>
      <c r="BL203">
        <v>9135</v>
      </c>
    </row>
    <row r="204" spans="1:64">
      <c r="A204">
        <f t="shared" si="37"/>
        <v>7.138</v>
      </c>
      <c r="B204">
        <f t="shared" si="38"/>
        <v>12.398</v>
      </c>
      <c r="C204">
        <f t="shared" si="39"/>
        <v>7.467</v>
      </c>
      <c r="D204">
        <f t="shared" si="40"/>
        <v>7.32</v>
      </c>
      <c r="E204">
        <f t="shared" si="41"/>
        <v>12.757</v>
      </c>
      <c r="F204">
        <f t="shared" si="42"/>
        <v>7.467</v>
      </c>
      <c r="G204">
        <f t="shared" si="43"/>
        <v>3.194</v>
      </c>
      <c r="H204">
        <f t="shared" si="44"/>
        <v>8.502</v>
      </c>
      <c r="I204">
        <f t="shared" si="45"/>
        <v>8.31</v>
      </c>
      <c r="J204">
        <f t="shared" si="46"/>
        <v>10.242</v>
      </c>
      <c r="K204">
        <f t="shared" si="47"/>
        <v>12.751</v>
      </c>
      <c r="L204">
        <f t="shared" si="48"/>
        <v>9.694</v>
      </c>
      <c r="N204">
        <v>7138</v>
      </c>
      <c r="O204">
        <v>12398</v>
      </c>
      <c r="P204">
        <v>7467</v>
      </c>
      <c r="Q204">
        <v>7320</v>
      </c>
      <c r="R204">
        <v>12757</v>
      </c>
      <c r="S204">
        <v>7467</v>
      </c>
      <c r="T204">
        <v>3194</v>
      </c>
      <c r="U204">
        <v>8502</v>
      </c>
      <c r="V204">
        <v>8310</v>
      </c>
      <c r="W204">
        <v>10242</v>
      </c>
      <c r="X204">
        <v>12751</v>
      </c>
      <c r="Y204">
        <v>9694</v>
      </c>
      <c r="AA204" t="s">
        <v>2984</v>
      </c>
      <c r="AC204">
        <v>7110</v>
      </c>
      <c r="AE204">
        <v>7270</v>
      </c>
      <c r="AG204" t="s">
        <v>2985</v>
      </c>
      <c r="AI204">
        <v>3157</v>
      </c>
      <c r="AK204">
        <v>9975</v>
      </c>
      <c r="AP204" t="s">
        <v>2986</v>
      </c>
      <c r="AR204">
        <v>12333</v>
      </c>
      <c r="AT204">
        <v>12611</v>
      </c>
      <c r="AV204" t="s">
        <v>2987</v>
      </c>
      <c r="AX204">
        <v>8458</v>
      </c>
      <c r="AZ204">
        <v>12568</v>
      </c>
      <c r="BB204" t="s">
        <v>2988</v>
      </c>
      <c r="BD204">
        <v>7410</v>
      </c>
      <c r="BF204">
        <v>7410</v>
      </c>
      <c r="BH204" t="s">
        <v>2989</v>
      </c>
      <c r="BJ204">
        <v>8187</v>
      </c>
      <c r="BL204">
        <v>9141</v>
      </c>
    </row>
    <row r="205" spans="1:64">
      <c r="A205">
        <f t="shared" si="37"/>
        <v>7.141</v>
      </c>
      <c r="B205">
        <f t="shared" si="38"/>
        <v>12.415</v>
      </c>
      <c r="C205">
        <f t="shared" si="39"/>
        <v>7.47</v>
      </c>
      <c r="D205">
        <f t="shared" si="40"/>
        <v>7.322</v>
      </c>
      <c r="E205">
        <f t="shared" si="41"/>
        <v>12.767</v>
      </c>
      <c r="F205">
        <f t="shared" si="42"/>
        <v>7.47</v>
      </c>
      <c r="G205">
        <f t="shared" si="43"/>
        <v>3.202</v>
      </c>
      <c r="H205">
        <f t="shared" si="44"/>
        <v>8.513</v>
      </c>
      <c r="I205">
        <f t="shared" si="45"/>
        <v>8.339</v>
      </c>
      <c r="J205">
        <f t="shared" si="46"/>
        <v>10.257</v>
      </c>
      <c r="K205">
        <f t="shared" si="47"/>
        <v>12.81</v>
      </c>
      <c r="L205">
        <f t="shared" si="48"/>
        <v>9.744</v>
      </c>
      <c r="N205">
        <v>7141</v>
      </c>
      <c r="O205">
        <v>12415</v>
      </c>
      <c r="P205">
        <v>7470</v>
      </c>
      <c r="Q205">
        <v>7322</v>
      </c>
      <c r="R205">
        <v>12767</v>
      </c>
      <c r="S205">
        <v>7470</v>
      </c>
      <c r="T205">
        <v>3202</v>
      </c>
      <c r="U205">
        <v>8513</v>
      </c>
      <c r="V205">
        <v>8339</v>
      </c>
      <c r="W205">
        <v>10257</v>
      </c>
      <c r="X205">
        <v>12810</v>
      </c>
      <c r="Y205">
        <v>9744</v>
      </c>
      <c r="AA205" t="s">
        <v>2990</v>
      </c>
      <c r="AC205">
        <v>7110</v>
      </c>
      <c r="AE205">
        <v>7278</v>
      </c>
      <c r="AG205" t="s">
        <v>2991</v>
      </c>
      <c r="AI205">
        <v>3162</v>
      </c>
      <c r="AK205">
        <v>9980</v>
      </c>
      <c r="AP205" t="s">
        <v>2992</v>
      </c>
      <c r="AR205">
        <v>12339</v>
      </c>
      <c r="AT205">
        <v>12614</v>
      </c>
      <c r="AV205" t="s">
        <v>2993</v>
      </c>
      <c r="AX205">
        <v>8458</v>
      </c>
      <c r="AZ205">
        <v>12626</v>
      </c>
      <c r="BB205" t="s">
        <v>2994</v>
      </c>
      <c r="BD205">
        <v>7414</v>
      </c>
      <c r="BF205">
        <v>7414</v>
      </c>
      <c r="BH205" t="s">
        <v>2995</v>
      </c>
      <c r="BJ205">
        <v>8199</v>
      </c>
      <c r="BL205">
        <v>9186</v>
      </c>
    </row>
    <row r="206" spans="1:64">
      <c r="A206">
        <f t="shared" si="37"/>
        <v>7.142</v>
      </c>
      <c r="B206">
        <f t="shared" si="38"/>
        <v>12.423</v>
      </c>
      <c r="C206">
        <f t="shared" si="39"/>
        <v>7.474</v>
      </c>
      <c r="D206">
        <f t="shared" si="40"/>
        <v>7.322</v>
      </c>
      <c r="E206">
        <f t="shared" si="41"/>
        <v>12.784</v>
      </c>
      <c r="F206">
        <f t="shared" si="42"/>
        <v>7.474</v>
      </c>
      <c r="G206">
        <f t="shared" si="43"/>
        <v>3.207</v>
      </c>
      <c r="H206">
        <f t="shared" si="44"/>
        <v>8.567</v>
      </c>
      <c r="I206">
        <f t="shared" si="45"/>
        <v>8.346</v>
      </c>
      <c r="J206">
        <f t="shared" si="46"/>
        <v>10.328</v>
      </c>
      <c r="K206">
        <f t="shared" si="47"/>
        <v>12.846</v>
      </c>
      <c r="L206">
        <f t="shared" si="48"/>
        <v>9.862</v>
      </c>
      <c r="N206">
        <v>7142</v>
      </c>
      <c r="O206">
        <v>12423</v>
      </c>
      <c r="P206">
        <v>7474</v>
      </c>
      <c r="Q206">
        <v>7322</v>
      </c>
      <c r="R206">
        <v>12784</v>
      </c>
      <c r="S206">
        <v>7474</v>
      </c>
      <c r="T206">
        <v>3207</v>
      </c>
      <c r="U206">
        <v>8567</v>
      </c>
      <c r="V206">
        <v>8346</v>
      </c>
      <c r="W206">
        <v>10328</v>
      </c>
      <c r="X206">
        <v>12846</v>
      </c>
      <c r="Y206">
        <v>9862</v>
      </c>
      <c r="AA206" t="s">
        <v>2996</v>
      </c>
      <c r="AC206">
        <v>7111</v>
      </c>
      <c r="AE206">
        <v>7279</v>
      </c>
      <c r="AG206" t="s">
        <v>2997</v>
      </c>
      <c r="AI206">
        <v>3170</v>
      </c>
      <c r="AK206">
        <v>10008</v>
      </c>
      <c r="AP206" t="s">
        <v>2998</v>
      </c>
      <c r="AR206">
        <v>12340</v>
      </c>
      <c r="AT206">
        <v>12614</v>
      </c>
      <c r="AV206" t="s">
        <v>2999</v>
      </c>
      <c r="AX206">
        <v>8466</v>
      </c>
      <c r="AZ206">
        <v>12634</v>
      </c>
      <c r="BB206" t="s">
        <v>3000</v>
      </c>
      <c r="BD206">
        <v>7434</v>
      </c>
      <c r="BF206">
        <v>7434</v>
      </c>
      <c r="BH206" t="s">
        <v>3001</v>
      </c>
      <c r="BJ206">
        <v>8203</v>
      </c>
      <c r="BL206">
        <v>9227</v>
      </c>
    </row>
    <row r="207" spans="1:64">
      <c r="A207">
        <f t="shared" si="37"/>
        <v>7.149</v>
      </c>
      <c r="B207">
        <f t="shared" si="38"/>
        <v>12.435</v>
      </c>
      <c r="C207">
        <f t="shared" si="39"/>
        <v>7.475</v>
      </c>
      <c r="D207">
        <f t="shared" si="40"/>
        <v>7.324</v>
      </c>
      <c r="E207">
        <f t="shared" si="41"/>
        <v>12.807</v>
      </c>
      <c r="F207">
        <f t="shared" si="42"/>
        <v>7.475</v>
      </c>
      <c r="G207">
        <f t="shared" si="43"/>
        <v>3.21</v>
      </c>
      <c r="H207">
        <f t="shared" si="44"/>
        <v>8.599</v>
      </c>
      <c r="I207">
        <f t="shared" si="45"/>
        <v>8.38</v>
      </c>
      <c r="J207">
        <f t="shared" si="46"/>
        <v>10.419</v>
      </c>
      <c r="K207">
        <f t="shared" si="47"/>
        <v>12.884</v>
      </c>
      <c r="L207">
        <f t="shared" si="48"/>
        <v>9.919</v>
      </c>
      <c r="N207">
        <v>7149</v>
      </c>
      <c r="O207">
        <v>12435</v>
      </c>
      <c r="P207">
        <v>7475</v>
      </c>
      <c r="Q207">
        <v>7324</v>
      </c>
      <c r="R207">
        <v>12807</v>
      </c>
      <c r="S207">
        <v>7475</v>
      </c>
      <c r="T207">
        <v>3210</v>
      </c>
      <c r="U207">
        <v>8599</v>
      </c>
      <c r="V207">
        <v>8380</v>
      </c>
      <c r="W207">
        <v>10419</v>
      </c>
      <c r="X207">
        <v>12884</v>
      </c>
      <c r="Y207">
        <v>9919</v>
      </c>
      <c r="AA207" t="s">
        <v>3002</v>
      </c>
      <c r="AC207">
        <v>7118</v>
      </c>
      <c r="AE207">
        <v>7286</v>
      </c>
      <c r="AG207" t="s">
        <v>3003</v>
      </c>
      <c r="AI207">
        <v>3172</v>
      </c>
      <c r="AK207">
        <v>10023</v>
      </c>
      <c r="AP207" t="s">
        <v>3004</v>
      </c>
      <c r="AR207">
        <v>12347</v>
      </c>
      <c r="AT207">
        <v>12623</v>
      </c>
      <c r="AV207" t="s">
        <v>3005</v>
      </c>
      <c r="AX207">
        <v>8478</v>
      </c>
      <c r="AZ207">
        <v>12639</v>
      </c>
      <c r="BB207" t="s">
        <v>3006</v>
      </c>
      <c r="BD207">
        <v>7449</v>
      </c>
      <c r="BF207">
        <v>7449</v>
      </c>
      <c r="BH207" t="s">
        <v>3007</v>
      </c>
      <c r="BJ207">
        <v>8217</v>
      </c>
      <c r="BL207">
        <v>9281</v>
      </c>
    </row>
    <row r="208" spans="1:64">
      <c r="A208">
        <f t="shared" si="37"/>
        <v>7.151</v>
      </c>
      <c r="B208">
        <f t="shared" si="38"/>
        <v>12.454</v>
      </c>
      <c r="C208">
        <f t="shared" si="39"/>
        <v>7.475</v>
      </c>
      <c r="D208">
        <f t="shared" si="40"/>
        <v>7.327</v>
      </c>
      <c r="E208">
        <f t="shared" si="41"/>
        <v>12.818</v>
      </c>
      <c r="F208">
        <f t="shared" si="42"/>
        <v>7.475</v>
      </c>
      <c r="G208">
        <f t="shared" si="43"/>
        <v>3.214</v>
      </c>
      <c r="H208">
        <f t="shared" si="44"/>
        <v>8.601</v>
      </c>
      <c r="I208">
        <f t="shared" si="45"/>
        <v>8.384</v>
      </c>
      <c r="J208">
        <f t="shared" si="46"/>
        <v>10.473</v>
      </c>
      <c r="K208">
        <f t="shared" si="47"/>
        <v>12.897</v>
      </c>
      <c r="L208">
        <f t="shared" si="48"/>
        <v>10.03</v>
      </c>
      <c r="N208">
        <v>7151</v>
      </c>
      <c r="O208">
        <v>12454</v>
      </c>
      <c r="P208">
        <v>7475</v>
      </c>
      <c r="Q208">
        <v>7327</v>
      </c>
      <c r="R208">
        <v>12818</v>
      </c>
      <c r="S208">
        <v>7475</v>
      </c>
      <c r="T208">
        <v>3214</v>
      </c>
      <c r="U208">
        <v>8601</v>
      </c>
      <c r="V208">
        <v>8384</v>
      </c>
      <c r="W208">
        <v>10473</v>
      </c>
      <c r="X208">
        <v>12897</v>
      </c>
      <c r="Y208">
        <v>10030</v>
      </c>
      <c r="AA208" t="s">
        <v>3008</v>
      </c>
      <c r="AC208">
        <v>7119</v>
      </c>
      <c r="AE208">
        <v>7294</v>
      </c>
      <c r="AG208" t="s">
        <v>3009</v>
      </c>
      <c r="AI208">
        <v>3179</v>
      </c>
      <c r="AK208">
        <v>10040</v>
      </c>
      <c r="AP208" t="s">
        <v>3010</v>
      </c>
      <c r="AR208">
        <v>12350</v>
      </c>
      <c r="AT208">
        <v>12629</v>
      </c>
      <c r="AV208" t="s">
        <v>3011</v>
      </c>
      <c r="AX208">
        <v>8479</v>
      </c>
      <c r="AZ208">
        <v>12649</v>
      </c>
      <c r="BB208" t="s">
        <v>3012</v>
      </c>
      <c r="BD208">
        <v>7451</v>
      </c>
      <c r="BF208">
        <v>7451</v>
      </c>
      <c r="BH208" t="s">
        <v>3013</v>
      </c>
      <c r="BJ208">
        <v>8259</v>
      </c>
      <c r="BL208">
        <v>9379</v>
      </c>
    </row>
    <row r="209" spans="1:64">
      <c r="A209">
        <f t="shared" si="37"/>
        <v>7.152</v>
      </c>
      <c r="B209">
        <f t="shared" si="38"/>
        <v>12.461</v>
      </c>
      <c r="C209">
        <f t="shared" si="39"/>
        <v>7.48</v>
      </c>
      <c r="D209">
        <f t="shared" si="40"/>
        <v>7.336</v>
      </c>
      <c r="E209">
        <f t="shared" si="41"/>
        <v>12.819</v>
      </c>
      <c r="F209">
        <f t="shared" si="42"/>
        <v>7.48</v>
      </c>
      <c r="G209">
        <f t="shared" si="43"/>
        <v>3.214</v>
      </c>
      <c r="H209">
        <f t="shared" si="44"/>
        <v>8.603</v>
      </c>
      <c r="I209">
        <f t="shared" si="45"/>
        <v>8.386</v>
      </c>
      <c r="J209">
        <f t="shared" si="46"/>
        <v>10.489</v>
      </c>
      <c r="K209">
        <f t="shared" si="47"/>
        <v>12.901</v>
      </c>
      <c r="L209">
        <f t="shared" si="48"/>
        <v>10.092</v>
      </c>
      <c r="N209">
        <v>7152</v>
      </c>
      <c r="O209">
        <v>12461</v>
      </c>
      <c r="P209">
        <v>7480</v>
      </c>
      <c r="Q209">
        <v>7336</v>
      </c>
      <c r="R209">
        <v>12819</v>
      </c>
      <c r="S209">
        <v>7480</v>
      </c>
      <c r="T209">
        <v>3214</v>
      </c>
      <c r="U209">
        <v>8603</v>
      </c>
      <c r="V209">
        <v>8386</v>
      </c>
      <c r="W209">
        <v>10489</v>
      </c>
      <c r="X209">
        <v>12901</v>
      </c>
      <c r="Y209">
        <v>10092</v>
      </c>
      <c r="AA209" t="s">
        <v>3014</v>
      </c>
      <c r="AC209">
        <v>7121</v>
      </c>
      <c r="AE209">
        <v>7296</v>
      </c>
      <c r="AG209" t="s">
        <v>3015</v>
      </c>
      <c r="AI209">
        <v>3183</v>
      </c>
      <c r="AK209">
        <v>10082</v>
      </c>
      <c r="AP209" t="s">
        <v>3016</v>
      </c>
      <c r="AR209">
        <v>12364</v>
      </c>
      <c r="AT209">
        <v>12667</v>
      </c>
      <c r="AV209" t="s">
        <v>3017</v>
      </c>
      <c r="AX209">
        <v>8495</v>
      </c>
      <c r="AZ209">
        <v>12663</v>
      </c>
      <c r="BB209" t="s">
        <v>3018</v>
      </c>
      <c r="BD209">
        <v>7454</v>
      </c>
      <c r="BF209">
        <v>7454</v>
      </c>
      <c r="BH209" t="s">
        <v>3019</v>
      </c>
      <c r="BJ209">
        <v>8292</v>
      </c>
      <c r="BL209">
        <v>9387</v>
      </c>
    </row>
    <row r="210" spans="1:64">
      <c r="A210">
        <f t="shared" si="37"/>
        <v>7.157</v>
      </c>
      <c r="B210">
        <f t="shared" si="38"/>
        <v>12.469</v>
      </c>
      <c r="C210">
        <f t="shared" si="39"/>
        <v>7.482</v>
      </c>
      <c r="D210">
        <f t="shared" si="40"/>
        <v>7.338</v>
      </c>
      <c r="E210">
        <f t="shared" si="41"/>
        <v>12.823</v>
      </c>
      <c r="F210">
        <f t="shared" si="42"/>
        <v>7.482</v>
      </c>
      <c r="G210">
        <f t="shared" si="43"/>
        <v>3.221</v>
      </c>
      <c r="H210">
        <f t="shared" si="44"/>
        <v>8.683</v>
      </c>
      <c r="I210">
        <f t="shared" si="45"/>
        <v>8.387</v>
      </c>
      <c r="J210">
        <f t="shared" si="46"/>
        <v>10.564</v>
      </c>
      <c r="K210">
        <f t="shared" si="47"/>
        <v>12.907</v>
      </c>
      <c r="L210">
        <f t="shared" si="48"/>
        <v>10.17</v>
      </c>
      <c r="N210">
        <v>7157</v>
      </c>
      <c r="O210">
        <v>12469</v>
      </c>
      <c r="P210">
        <v>7482</v>
      </c>
      <c r="Q210">
        <v>7338</v>
      </c>
      <c r="R210">
        <v>12823</v>
      </c>
      <c r="S210">
        <v>7482</v>
      </c>
      <c r="T210">
        <v>3221</v>
      </c>
      <c r="U210">
        <v>8683</v>
      </c>
      <c r="V210">
        <v>8387</v>
      </c>
      <c r="W210">
        <v>10564</v>
      </c>
      <c r="X210">
        <v>12907</v>
      </c>
      <c r="Y210">
        <v>10170</v>
      </c>
      <c r="AA210" t="s">
        <v>3020</v>
      </c>
      <c r="AC210">
        <v>7129</v>
      </c>
      <c r="AE210">
        <v>7307</v>
      </c>
      <c r="AG210" t="s">
        <v>3021</v>
      </c>
      <c r="AI210">
        <v>3186</v>
      </c>
      <c r="AK210">
        <v>10182</v>
      </c>
      <c r="AP210" t="s">
        <v>3022</v>
      </c>
      <c r="AR210">
        <v>12366</v>
      </c>
      <c r="AT210">
        <v>12709</v>
      </c>
      <c r="AV210" t="s">
        <v>3023</v>
      </c>
      <c r="AX210">
        <v>8499</v>
      </c>
      <c r="AZ210">
        <v>12672</v>
      </c>
      <c r="BB210" t="s">
        <v>3024</v>
      </c>
      <c r="BD210">
        <v>7461</v>
      </c>
      <c r="BF210">
        <v>7461</v>
      </c>
      <c r="BH210" t="s">
        <v>3025</v>
      </c>
      <c r="BJ210">
        <v>8298</v>
      </c>
      <c r="BL210">
        <v>9576</v>
      </c>
    </row>
    <row r="211" spans="1:64">
      <c r="A211">
        <f t="shared" si="37"/>
        <v>7.163</v>
      </c>
      <c r="B211">
        <f t="shared" si="38"/>
        <v>12.47</v>
      </c>
      <c r="C211">
        <f t="shared" si="39"/>
        <v>7.485</v>
      </c>
      <c r="D211">
        <f t="shared" si="40"/>
        <v>7.357</v>
      </c>
      <c r="E211">
        <f t="shared" si="41"/>
        <v>12.825</v>
      </c>
      <c r="F211">
        <f t="shared" si="42"/>
        <v>7.485</v>
      </c>
      <c r="G211">
        <f t="shared" si="43"/>
        <v>3.222</v>
      </c>
      <c r="H211">
        <f t="shared" si="44"/>
        <v>8.715</v>
      </c>
      <c r="I211">
        <f t="shared" si="45"/>
        <v>8.406</v>
      </c>
      <c r="J211">
        <f t="shared" si="46"/>
        <v>10.578</v>
      </c>
      <c r="K211">
        <f t="shared" si="47"/>
        <v>12.966</v>
      </c>
      <c r="L211">
        <f t="shared" si="48"/>
        <v>10.239</v>
      </c>
      <c r="N211">
        <v>7163</v>
      </c>
      <c r="O211">
        <v>12470</v>
      </c>
      <c r="P211">
        <v>7485</v>
      </c>
      <c r="Q211">
        <v>7357</v>
      </c>
      <c r="R211">
        <v>12825</v>
      </c>
      <c r="S211">
        <v>7485</v>
      </c>
      <c r="T211">
        <v>3222</v>
      </c>
      <c r="U211">
        <v>8715</v>
      </c>
      <c r="V211">
        <v>8406</v>
      </c>
      <c r="W211">
        <v>10578</v>
      </c>
      <c r="X211">
        <v>12966</v>
      </c>
      <c r="Y211">
        <v>10239</v>
      </c>
      <c r="AA211" t="s">
        <v>3026</v>
      </c>
      <c r="AC211">
        <v>7134</v>
      </c>
      <c r="AE211">
        <v>7308</v>
      </c>
      <c r="AG211" t="s">
        <v>3027</v>
      </c>
      <c r="AI211">
        <v>3192</v>
      </c>
      <c r="AK211">
        <v>10212</v>
      </c>
      <c r="AP211" t="s">
        <v>3028</v>
      </c>
      <c r="AR211">
        <v>12398</v>
      </c>
      <c r="AT211">
        <v>12757</v>
      </c>
      <c r="AV211" t="s">
        <v>3029</v>
      </c>
      <c r="AX211">
        <v>8502</v>
      </c>
      <c r="AZ211">
        <v>12751</v>
      </c>
      <c r="BB211" t="s">
        <v>3030</v>
      </c>
      <c r="BD211">
        <v>7462</v>
      </c>
      <c r="BF211">
        <v>7462</v>
      </c>
      <c r="BH211" t="s">
        <v>3031</v>
      </c>
      <c r="BJ211">
        <v>8302</v>
      </c>
      <c r="BL211">
        <v>9626</v>
      </c>
    </row>
    <row r="212" spans="1:64">
      <c r="A212">
        <f t="shared" si="37"/>
        <v>7.173</v>
      </c>
      <c r="B212">
        <f t="shared" si="38"/>
        <v>12.476</v>
      </c>
      <c r="C212">
        <f t="shared" si="39"/>
        <v>7.501</v>
      </c>
      <c r="D212">
        <f t="shared" si="40"/>
        <v>7.386</v>
      </c>
      <c r="E212">
        <f t="shared" si="41"/>
        <v>12.846</v>
      </c>
      <c r="F212">
        <f t="shared" si="42"/>
        <v>7.501</v>
      </c>
      <c r="G212">
        <f t="shared" si="43"/>
        <v>3.238</v>
      </c>
      <c r="H212">
        <f t="shared" si="44"/>
        <v>8.721</v>
      </c>
      <c r="I212">
        <f t="shared" si="45"/>
        <v>8.424</v>
      </c>
      <c r="J212">
        <f t="shared" si="46"/>
        <v>10.601</v>
      </c>
      <c r="K212">
        <f t="shared" si="47"/>
        <v>13.039</v>
      </c>
      <c r="L212">
        <f t="shared" si="48"/>
        <v>10.26</v>
      </c>
      <c r="N212">
        <v>7173</v>
      </c>
      <c r="O212">
        <v>12476</v>
      </c>
      <c r="P212">
        <v>7501</v>
      </c>
      <c r="Q212">
        <v>7386</v>
      </c>
      <c r="R212">
        <v>12846</v>
      </c>
      <c r="S212">
        <v>7501</v>
      </c>
      <c r="T212">
        <v>3238</v>
      </c>
      <c r="U212">
        <v>8721</v>
      </c>
      <c r="V212">
        <v>8424</v>
      </c>
      <c r="W212">
        <v>10601</v>
      </c>
      <c r="X212">
        <v>13039</v>
      </c>
      <c r="Y212">
        <v>10260</v>
      </c>
      <c r="AA212" t="s">
        <v>3032</v>
      </c>
      <c r="AC212">
        <v>7138</v>
      </c>
      <c r="AE212">
        <v>7320</v>
      </c>
      <c r="AG212" t="s">
        <v>3033</v>
      </c>
      <c r="AI212">
        <v>3194</v>
      </c>
      <c r="AK212">
        <v>10242</v>
      </c>
      <c r="AP212" t="s">
        <v>3034</v>
      </c>
      <c r="AR212">
        <v>12415</v>
      </c>
      <c r="AT212">
        <v>12767</v>
      </c>
      <c r="AV212" t="s">
        <v>3035</v>
      </c>
      <c r="AX212">
        <v>8513</v>
      </c>
      <c r="AZ212">
        <v>12810</v>
      </c>
      <c r="BB212" t="s">
        <v>3036</v>
      </c>
      <c r="BD212">
        <v>7467</v>
      </c>
      <c r="BF212">
        <v>7467</v>
      </c>
      <c r="BH212" t="s">
        <v>3037</v>
      </c>
      <c r="BJ212">
        <v>8310</v>
      </c>
      <c r="BL212">
        <v>9694</v>
      </c>
    </row>
    <row r="213" spans="1:64">
      <c r="A213">
        <f t="shared" si="37"/>
        <v>7.177</v>
      </c>
      <c r="B213">
        <f t="shared" si="38"/>
        <v>12.499</v>
      </c>
      <c r="C213">
        <f t="shared" si="39"/>
        <v>7.505</v>
      </c>
      <c r="D213">
        <f t="shared" si="40"/>
        <v>7.39</v>
      </c>
      <c r="E213">
        <f t="shared" si="41"/>
        <v>12.847</v>
      </c>
      <c r="F213">
        <f t="shared" si="42"/>
        <v>7.51</v>
      </c>
      <c r="G213">
        <f t="shared" si="43"/>
        <v>3.246</v>
      </c>
      <c r="H213">
        <f t="shared" si="44"/>
        <v>8.735</v>
      </c>
      <c r="I213">
        <f t="shared" si="45"/>
        <v>8.425</v>
      </c>
      <c r="J213">
        <f t="shared" si="46"/>
        <v>10.678</v>
      </c>
      <c r="K213">
        <f t="shared" si="47"/>
        <v>13.063</v>
      </c>
      <c r="L213">
        <f t="shared" si="48"/>
        <v>10.353</v>
      </c>
      <c r="N213">
        <v>7177</v>
      </c>
      <c r="O213">
        <v>12499</v>
      </c>
      <c r="P213">
        <v>7505</v>
      </c>
      <c r="Q213">
        <v>7390</v>
      </c>
      <c r="R213">
        <v>12847</v>
      </c>
      <c r="S213">
        <v>7510</v>
      </c>
      <c r="T213">
        <v>3246</v>
      </c>
      <c r="U213">
        <v>8735</v>
      </c>
      <c r="V213">
        <v>8425</v>
      </c>
      <c r="W213">
        <v>10678</v>
      </c>
      <c r="X213">
        <v>13063</v>
      </c>
      <c r="Y213">
        <v>10353</v>
      </c>
      <c r="AA213" t="s">
        <v>3038</v>
      </c>
      <c r="AC213">
        <v>7141</v>
      </c>
      <c r="AE213">
        <v>7322</v>
      </c>
      <c r="AG213" t="s">
        <v>3039</v>
      </c>
      <c r="AI213">
        <v>3202</v>
      </c>
      <c r="AK213">
        <v>10257</v>
      </c>
      <c r="AP213" t="s">
        <v>3040</v>
      </c>
      <c r="AR213">
        <v>12423</v>
      </c>
      <c r="AT213">
        <v>12784</v>
      </c>
      <c r="AV213" t="s">
        <v>3041</v>
      </c>
      <c r="AX213">
        <v>8567</v>
      </c>
      <c r="AZ213">
        <v>12846</v>
      </c>
      <c r="BB213" t="s">
        <v>3042</v>
      </c>
      <c r="BD213">
        <v>7470</v>
      </c>
      <c r="BF213">
        <v>7470</v>
      </c>
      <c r="BH213" t="s">
        <v>3043</v>
      </c>
      <c r="BJ213">
        <v>8339</v>
      </c>
      <c r="BL213">
        <v>9744</v>
      </c>
    </row>
    <row r="214" spans="1:64">
      <c r="A214">
        <f t="shared" si="37"/>
        <v>7.182</v>
      </c>
      <c r="B214">
        <f t="shared" si="38"/>
        <v>12.511</v>
      </c>
      <c r="C214">
        <f t="shared" si="39"/>
        <v>7.51</v>
      </c>
      <c r="D214">
        <f t="shared" si="40"/>
        <v>7.405</v>
      </c>
      <c r="E214">
        <f t="shared" si="41"/>
        <v>12.848</v>
      </c>
      <c r="F214">
        <f t="shared" si="42"/>
        <v>7.515</v>
      </c>
      <c r="G214">
        <f t="shared" si="43"/>
        <v>3.247</v>
      </c>
      <c r="H214">
        <f t="shared" si="44"/>
        <v>8.736</v>
      </c>
      <c r="I214">
        <f t="shared" si="45"/>
        <v>8.435</v>
      </c>
      <c r="J214">
        <f t="shared" si="46"/>
        <v>10.691</v>
      </c>
      <c r="K214">
        <f t="shared" si="47"/>
        <v>13.078</v>
      </c>
      <c r="L214">
        <f t="shared" si="48"/>
        <v>10.451</v>
      </c>
      <c r="N214">
        <v>7182</v>
      </c>
      <c r="O214">
        <v>12511</v>
      </c>
      <c r="P214">
        <v>7510</v>
      </c>
      <c r="Q214">
        <v>7405</v>
      </c>
      <c r="R214">
        <v>12848</v>
      </c>
      <c r="S214">
        <v>7515</v>
      </c>
      <c r="T214">
        <v>3247</v>
      </c>
      <c r="U214">
        <v>8736</v>
      </c>
      <c r="V214">
        <v>8435</v>
      </c>
      <c r="W214">
        <v>10691</v>
      </c>
      <c r="X214">
        <v>13078</v>
      </c>
      <c r="Y214">
        <v>10451</v>
      </c>
      <c r="AA214" t="s">
        <v>3044</v>
      </c>
      <c r="AC214">
        <v>7142</v>
      </c>
      <c r="AE214">
        <v>7322</v>
      </c>
      <c r="AG214" t="s">
        <v>3045</v>
      </c>
      <c r="AI214">
        <v>3207</v>
      </c>
      <c r="AK214">
        <v>10328</v>
      </c>
      <c r="AP214" t="s">
        <v>3046</v>
      </c>
      <c r="AR214">
        <v>12435</v>
      </c>
      <c r="AT214">
        <v>12807</v>
      </c>
      <c r="AV214" t="s">
        <v>3047</v>
      </c>
      <c r="AX214">
        <v>8599</v>
      </c>
      <c r="AZ214">
        <v>12884</v>
      </c>
      <c r="BB214" t="s">
        <v>3048</v>
      </c>
      <c r="BD214">
        <v>7474</v>
      </c>
      <c r="BF214">
        <v>7474</v>
      </c>
      <c r="BH214" t="s">
        <v>3049</v>
      </c>
      <c r="BJ214">
        <v>8346</v>
      </c>
      <c r="BL214">
        <v>9862</v>
      </c>
    </row>
    <row r="215" spans="1:64">
      <c r="A215">
        <f t="shared" si="37"/>
        <v>7.184</v>
      </c>
      <c r="B215">
        <f t="shared" si="38"/>
        <v>12.514</v>
      </c>
      <c r="C215">
        <f t="shared" si="39"/>
        <v>7.515</v>
      </c>
      <c r="D215">
        <f t="shared" si="40"/>
        <v>7.413</v>
      </c>
      <c r="E215">
        <f t="shared" si="41"/>
        <v>12.861</v>
      </c>
      <c r="F215">
        <f t="shared" si="42"/>
        <v>7.528</v>
      </c>
      <c r="G215">
        <f t="shared" si="43"/>
        <v>3.249</v>
      </c>
      <c r="H215">
        <f t="shared" si="44"/>
        <v>8.749</v>
      </c>
      <c r="I215">
        <f t="shared" si="45"/>
        <v>8.48</v>
      </c>
      <c r="J215">
        <f t="shared" si="46"/>
        <v>10.813</v>
      </c>
      <c r="K215">
        <f t="shared" si="47"/>
        <v>13.112</v>
      </c>
      <c r="L215">
        <f t="shared" si="48"/>
        <v>10.514</v>
      </c>
      <c r="N215">
        <v>7184</v>
      </c>
      <c r="O215">
        <v>12514</v>
      </c>
      <c r="P215">
        <v>7515</v>
      </c>
      <c r="Q215">
        <v>7413</v>
      </c>
      <c r="R215">
        <v>12861</v>
      </c>
      <c r="S215">
        <v>7528</v>
      </c>
      <c r="T215">
        <v>3249</v>
      </c>
      <c r="U215">
        <v>8749</v>
      </c>
      <c r="V215">
        <v>8480</v>
      </c>
      <c r="W215">
        <v>10813</v>
      </c>
      <c r="X215">
        <v>13112</v>
      </c>
      <c r="Y215">
        <v>10514</v>
      </c>
      <c r="AA215" t="s">
        <v>3050</v>
      </c>
      <c r="AC215">
        <v>7149</v>
      </c>
      <c r="AE215">
        <v>7324</v>
      </c>
      <c r="AG215" t="s">
        <v>3051</v>
      </c>
      <c r="AI215">
        <v>3210</v>
      </c>
      <c r="AK215">
        <v>10419</v>
      </c>
      <c r="AP215" t="s">
        <v>3052</v>
      </c>
      <c r="AR215">
        <v>12454</v>
      </c>
      <c r="AT215">
        <v>12818</v>
      </c>
      <c r="AV215" t="s">
        <v>3053</v>
      </c>
      <c r="AX215">
        <v>8601</v>
      </c>
      <c r="AZ215">
        <v>12897</v>
      </c>
      <c r="BB215" t="s">
        <v>3054</v>
      </c>
      <c r="BD215">
        <v>7475</v>
      </c>
      <c r="BF215">
        <v>7475</v>
      </c>
      <c r="BH215" t="s">
        <v>3055</v>
      </c>
      <c r="BJ215">
        <v>8380</v>
      </c>
      <c r="BL215">
        <v>9919</v>
      </c>
    </row>
    <row r="216" spans="1:64">
      <c r="A216">
        <f t="shared" si="37"/>
        <v>7.201</v>
      </c>
      <c r="B216">
        <f t="shared" si="38"/>
        <v>12.55</v>
      </c>
      <c r="C216">
        <f t="shared" si="39"/>
        <v>7.528</v>
      </c>
      <c r="D216">
        <f t="shared" si="40"/>
        <v>7.427</v>
      </c>
      <c r="E216">
        <f t="shared" si="41"/>
        <v>12.879</v>
      </c>
      <c r="F216">
        <f t="shared" si="42"/>
        <v>7.541</v>
      </c>
      <c r="G216">
        <f t="shared" si="43"/>
        <v>3.252</v>
      </c>
      <c r="H216">
        <f t="shared" si="44"/>
        <v>8.76</v>
      </c>
      <c r="I216">
        <f t="shared" si="45"/>
        <v>8.536</v>
      </c>
      <c r="J216">
        <f t="shared" si="46"/>
        <v>10.815</v>
      </c>
      <c r="K216">
        <f t="shared" si="47"/>
        <v>13.164</v>
      </c>
      <c r="L216">
        <f t="shared" si="48"/>
        <v>10.704</v>
      </c>
      <c r="N216">
        <v>7201</v>
      </c>
      <c r="O216">
        <v>12550</v>
      </c>
      <c r="P216">
        <v>7528</v>
      </c>
      <c r="Q216">
        <v>7427</v>
      </c>
      <c r="R216">
        <v>12879</v>
      </c>
      <c r="S216">
        <v>7541</v>
      </c>
      <c r="T216">
        <v>3252</v>
      </c>
      <c r="U216">
        <v>8760</v>
      </c>
      <c r="V216">
        <v>8536</v>
      </c>
      <c r="W216">
        <v>10815</v>
      </c>
      <c r="X216">
        <v>13164</v>
      </c>
      <c r="Y216">
        <v>10704</v>
      </c>
      <c r="AA216" t="s">
        <v>3056</v>
      </c>
      <c r="AC216">
        <v>7151</v>
      </c>
      <c r="AE216">
        <v>7327</v>
      </c>
      <c r="AG216" t="s">
        <v>3057</v>
      </c>
      <c r="AI216">
        <v>3214</v>
      </c>
      <c r="AK216">
        <v>10473</v>
      </c>
      <c r="AP216" t="s">
        <v>3058</v>
      </c>
      <c r="AR216">
        <v>12461</v>
      </c>
      <c r="AT216">
        <v>12819</v>
      </c>
      <c r="AV216" t="s">
        <v>3059</v>
      </c>
      <c r="AX216">
        <v>8603</v>
      </c>
      <c r="AZ216">
        <v>12901</v>
      </c>
      <c r="BB216" t="s">
        <v>3060</v>
      </c>
      <c r="BD216">
        <v>7475</v>
      </c>
      <c r="BF216">
        <v>7475</v>
      </c>
      <c r="BH216" t="s">
        <v>3061</v>
      </c>
      <c r="BJ216">
        <v>8384</v>
      </c>
      <c r="BL216">
        <v>10030</v>
      </c>
    </row>
    <row r="217" spans="1:64">
      <c r="A217">
        <f t="shared" si="37"/>
        <v>7.208</v>
      </c>
      <c r="B217">
        <f t="shared" si="38"/>
        <v>12.57</v>
      </c>
      <c r="C217">
        <f t="shared" si="39"/>
        <v>7.541</v>
      </c>
      <c r="D217">
        <f t="shared" si="40"/>
        <v>7.452</v>
      </c>
      <c r="E217">
        <f t="shared" si="41"/>
        <v>12.882</v>
      </c>
      <c r="F217">
        <f t="shared" si="42"/>
        <v>7.543</v>
      </c>
      <c r="G217">
        <f t="shared" si="43"/>
        <v>3.264</v>
      </c>
      <c r="H217">
        <f t="shared" si="44"/>
        <v>8.788</v>
      </c>
      <c r="I217">
        <f t="shared" si="45"/>
        <v>8.573</v>
      </c>
      <c r="J217">
        <f t="shared" si="46"/>
        <v>10.846</v>
      </c>
      <c r="K217">
        <f t="shared" si="47"/>
        <v>13.179</v>
      </c>
      <c r="L217">
        <f t="shared" si="48"/>
        <v>10.733</v>
      </c>
      <c r="N217">
        <v>7208</v>
      </c>
      <c r="O217">
        <v>12570</v>
      </c>
      <c r="P217">
        <v>7541</v>
      </c>
      <c r="Q217">
        <v>7452</v>
      </c>
      <c r="R217">
        <v>12882</v>
      </c>
      <c r="S217">
        <v>7543</v>
      </c>
      <c r="T217">
        <v>3264</v>
      </c>
      <c r="U217">
        <v>8788</v>
      </c>
      <c r="V217">
        <v>8573</v>
      </c>
      <c r="W217">
        <v>10846</v>
      </c>
      <c r="X217">
        <v>13179</v>
      </c>
      <c r="Y217">
        <v>10733</v>
      </c>
      <c r="AA217" t="s">
        <v>3062</v>
      </c>
      <c r="AC217">
        <v>7152</v>
      </c>
      <c r="AE217">
        <v>7336</v>
      </c>
      <c r="AG217" t="s">
        <v>3063</v>
      </c>
      <c r="AI217">
        <v>3214</v>
      </c>
      <c r="AK217">
        <v>10489</v>
      </c>
      <c r="AP217" t="s">
        <v>3064</v>
      </c>
      <c r="AR217">
        <v>12469</v>
      </c>
      <c r="AT217">
        <v>12823</v>
      </c>
      <c r="AV217" t="s">
        <v>3065</v>
      </c>
      <c r="AX217">
        <v>8683</v>
      </c>
      <c r="AZ217">
        <v>12907</v>
      </c>
      <c r="BB217" t="s">
        <v>3066</v>
      </c>
      <c r="BD217">
        <v>7480</v>
      </c>
      <c r="BF217">
        <v>7480</v>
      </c>
      <c r="BH217" t="s">
        <v>3067</v>
      </c>
      <c r="BJ217">
        <v>8386</v>
      </c>
      <c r="BL217">
        <v>10092</v>
      </c>
    </row>
    <row r="218" spans="1:64">
      <c r="A218">
        <f t="shared" si="37"/>
        <v>7.215</v>
      </c>
      <c r="B218">
        <f t="shared" si="38"/>
        <v>12.572</v>
      </c>
      <c r="C218">
        <f t="shared" si="39"/>
        <v>7.543</v>
      </c>
      <c r="D218">
        <f t="shared" si="40"/>
        <v>7.458</v>
      </c>
      <c r="E218">
        <f t="shared" si="41"/>
        <v>12.885</v>
      </c>
      <c r="F218">
        <f t="shared" si="42"/>
        <v>7.545</v>
      </c>
      <c r="G218">
        <f t="shared" si="43"/>
        <v>3.265</v>
      </c>
      <c r="H218">
        <f t="shared" si="44"/>
        <v>8.792</v>
      </c>
      <c r="I218">
        <f t="shared" si="45"/>
        <v>8.575</v>
      </c>
      <c r="J218">
        <f t="shared" si="46"/>
        <v>10.894</v>
      </c>
      <c r="K218">
        <f t="shared" si="47"/>
        <v>13.185</v>
      </c>
      <c r="L218">
        <f t="shared" si="48"/>
        <v>10.741</v>
      </c>
      <c r="N218">
        <v>7215</v>
      </c>
      <c r="O218">
        <v>12572</v>
      </c>
      <c r="P218">
        <v>7543</v>
      </c>
      <c r="Q218">
        <v>7458</v>
      </c>
      <c r="R218">
        <v>12885</v>
      </c>
      <c r="S218">
        <v>7545</v>
      </c>
      <c r="T218">
        <v>3265</v>
      </c>
      <c r="U218">
        <v>8792</v>
      </c>
      <c r="V218">
        <v>8575</v>
      </c>
      <c r="W218">
        <v>10894</v>
      </c>
      <c r="X218">
        <v>13185</v>
      </c>
      <c r="Y218">
        <v>10741</v>
      </c>
      <c r="AA218" t="s">
        <v>3068</v>
      </c>
      <c r="AC218">
        <v>7157</v>
      </c>
      <c r="AE218">
        <v>7338</v>
      </c>
      <c r="AG218" t="s">
        <v>3069</v>
      </c>
      <c r="AI218">
        <v>3221</v>
      </c>
      <c r="AK218">
        <v>10564</v>
      </c>
      <c r="AP218" t="s">
        <v>3070</v>
      </c>
      <c r="AR218">
        <v>12470</v>
      </c>
      <c r="AT218">
        <v>12825</v>
      </c>
      <c r="AV218" t="s">
        <v>3071</v>
      </c>
      <c r="AX218">
        <v>8715</v>
      </c>
      <c r="AZ218">
        <v>12966</v>
      </c>
      <c r="BB218" t="s">
        <v>3072</v>
      </c>
      <c r="BD218">
        <v>7482</v>
      </c>
      <c r="BF218">
        <v>7482</v>
      </c>
      <c r="BH218" t="s">
        <v>3073</v>
      </c>
      <c r="BJ218">
        <v>8387</v>
      </c>
      <c r="BL218">
        <v>10170</v>
      </c>
    </row>
    <row r="219" spans="1:64">
      <c r="A219">
        <f t="shared" si="37"/>
        <v>7.217</v>
      </c>
      <c r="B219">
        <f t="shared" si="38"/>
        <v>12.572</v>
      </c>
      <c r="C219">
        <f t="shared" si="39"/>
        <v>7.545</v>
      </c>
      <c r="D219">
        <f t="shared" si="40"/>
        <v>7.465</v>
      </c>
      <c r="E219">
        <f t="shared" si="41"/>
        <v>12.899</v>
      </c>
      <c r="F219">
        <f t="shared" si="42"/>
        <v>7.569</v>
      </c>
      <c r="G219">
        <f t="shared" si="43"/>
        <v>3.266</v>
      </c>
      <c r="H219">
        <f t="shared" si="44"/>
        <v>8.802</v>
      </c>
      <c r="I219">
        <f t="shared" si="45"/>
        <v>8.583</v>
      </c>
      <c r="J219">
        <f t="shared" si="46"/>
        <v>10.931</v>
      </c>
      <c r="K219">
        <f t="shared" si="47"/>
        <v>13.214</v>
      </c>
      <c r="L219">
        <f t="shared" si="48"/>
        <v>10.821</v>
      </c>
      <c r="N219">
        <v>7217</v>
      </c>
      <c r="O219">
        <v>12572</v>
      </c>
      <c r="P219">
        <v>7545</v>
      </c>
      <c r="Q219">
        <v>7465</v>
      </c>
      <c r="R219">
        <v>12899</v>
      </c>
      <c r="S219">
        <v>7569</v>
      </c>
      <c r="T219">
        <v>3266</v>
      </c>
      <c r="U219">
        <v>8802</v>
      </c>
      <c r="V219">
        <v>8583</v>
      </c>
      <c r="W219">
        <v>10931</v>
      </c>
      <c r="X219">
        <v>13214</v>
      </c>
      <c r="Y219">
        <v>10821</v>
      </c>
      <c r="AA219" t="s">
        <v>3074</v>
      </c>
      <c r="AC219">
        <v>7163</v>
      </c>
      <c r="AE219">
        <v>7357</v>
      </c>
      <c r="AG219" t="s">
        <v>3075</v>
      </c>
      <c r="AI219">
        <v>3222</v>
      </c>
      <c r="AK219">
        <v>10578</v>
      </c>
      <c r="AP219" t="s">
        <v>3076</v>
      </c>
      <c r="AR219">
        <v>12476</v>
      </c>
      <c r="AT219">
        <v>12846</v>
      </c>
      <c r="AV219" t="s">
        <v>3077</v>
      </c>
      <c r="AX219">
        <v>8721</v>
      </c>
      <c r="AZ219">
        <v>13039</v>
      </c>
      <c r="BB219" t="s">
        <v>3078</v>
      </c>
      <c r="BD219">
        <v>7485</v>
      </c>
      <c r="BF219">
        <v>7485</v>
      </c>
      <c r="BH219" t="s">
        <v>3079</v>
      </c>
      <c r="BJ219">
        <v>8406</v>
      </c>
      <c r="BL219">
        <v>10239</v>
      </c>
    </row>
    <row r="220" spans="1:64">
      <c r="A220">
        <f t="shared" si="37"/>
        <v>7.224</v>
      </c>
      <c r="B220">
        <f t="shared" si="38"/>
        <v>12.579</v>
      </c>
      <c r="C220">
        <f t="shared" si="39"/>
        <v>7.569</v>
      </c>
      <c r="D220">
        <f t="shared" si="40"/>
        <v>7.465</v>
      </c>
      <c r="E220">
        <f t="shared" si="41"/>
        <v>12.907</v>
      </c>
      <c r="F220">
        <f t="shared" si="42"/>
        <v>7.576</v>
      </c>
      <c r="G220">
        <f t="shared" si="43"/>
        <v>3.295</v>
      </c>
      <c r="H220">
        <f t="shared" si="44"/>
        <v>8.803</v>
      </c>
      <c r="I220">
        <f t="shared" si="45"/>
        <v>8.62</v>
      </c>
      <c r="J220">
        <f t="shared" si="46"/>
        <v>11.003</v>
      </c>
      <c r="K220">
        <f t="shared" si="47"/>
        <v>13.224</v>
      </c>
      <c r="L220">
        <f t="shared" si="48"/>
        <v>10.836</v>
      </c>
      <c r="N220">
        <v>7224</v>
      </c>
      <c r="O220">
        <v>12579</v>
      </c>
      <c r="P220">
        <v>7569</v>
      </c>
      <c r="Q220">
        <v>7465</v>
      </c>
      <c r="R220">
        <v>12907</v>
      </c>
      <c r="S220">
        <v>7576</v>
      </c>
      <c r="T220">
        <v>3295</v>
      </c>
      <c r="U220">
        <v>8803</v>
      </c>
      <c r="V220">
        <v>8620</v>
      </c>
      <c r="W220">
        <v>11003</v>
      </c>
      <c r="X220">
        <v>13224</v>
      </c>
      <c r="Y220">
        <v>10836</v>
      </c>
      <c r="AA220" t="s">
        <v>3080</v>
      </c>
      <c r="AC220">
        <v>7173</v>
      </c>
      <c r="AE220">
        <v>7386</v>
      </c>
      <c r="AG220" t="s">
        <v>3081</v>
      </c>
      <c r="AI220">
        <v>3238</v>
      </c>
      <c r="AK220">
        <v>10601</v>
      </c>
      <c r="AP220" t="s">
        <v>3082</v>
      </c>
      <c r="AR220">
        <v>12499</v>
      </c>
      <c r="AT220">
        <v>12847</v>
      </c>
      <c r="AV220" t="s">
        <v>3083</v>
      </c>
      <c r="AX220">
        <v>8735</v>
      </c>
      <c r="AZ220">
        <v>13063</v>
      </c>
      <c r="BB220" t="s">
        <v>3084</v>
      </c>
      <c r="BD220">
        <v>7501</v>
      </c>
      <c r="BF220">
        <v>7501</v>
      </c>
      <c r="BH220" t="s">
        <v>3085</v>
      </c>
      <c r="BJ220">
        <v>8424</v>
      </c>
      <c r="BL220">
        <v>10260</v>
      </c>
    </row>
    <row r="221" spans="1:64">
      <c r="A221">
        <f t="shared" si="37"/>
        <v>7.231</v>
      </c>
      <c r="B221">
        <f t="shared" si="38"/>
        <v>12.586</v>
      </c>
      <c r="C221">
        <f t="shared" si="39"/>
        <v>7.576</v>
      </c>
      <c r="D221">
        <f t="shared" si="40"/>
        <v>7.467</v>
      </c>
      <c r="E221">
        <f t="shared" si="41"/>
        <v>12.912</v>
      </c>
      <c r="F221">
        <f t="shared" si="42"/>
        <v>7.576</v>
      </c>
      <c r="G221">
        <f t="shared" si="43"/>
        <v>3.295</v>
      </c>
      <c r="H221">
        <f t="shared" si="44"/>
        <v>8.817</v>
      </c>
      <c r="I221">
        <f t="shared" si="45"/>
        <v>8.633</v>
      </c>
      <c r="J221">
        <f t="shared" si="46"/>
        <v>11.011</v>
      </c>
      <c r="K221">
        <f t="shared" si="47"/>
        <v>13.299</v>
      </c>
      <c r="L221">
        <f t="shared" si="48"/>
        <v>10.883</v>
      </c>
      <c r="N221">
        <v>7231</v>
      </c>
      <c r="O221">
        <v>12586</v>
      </c>
      <c r="P221">
        <v>7576</v>
      </c>
      <c r="Q221">
        <v>7467</v>
      </c>
      <c r="R221">
        <v>12912</v>
      </c>
      <c r="S221">
        <v>7576</v>
      </c>
      <c r="T221">
        <v>3295</v>
      </c>
      <c r="U221">
        <v>8817</v>
      </c>
      <c r="V221">
        <v>8633</v>
      </c>
      <c r="W221">
        <v>11011</v>
      </c>
      <c r="X221">
        <v>13299</v>
      </c>
      <c r="Y221">
        <v>10883</v>
      </c>
      <c r="AA221" t="s">
        <v>3086</v>
      </c>
      <c r="AC221">
        <v>7177</v>
      </c>
      <c r="AE221">
        <v>7390</v>
      </c>
      <c r="AG221" t="s">
        <v>3087</v>
      </c>
      <c r="AI221">
        <v>3246</v>
      </c>
      <c r="AK221">
        <v>10678</v>
      </c>
      <c r="AP221" t="s">
        <v>3088</v>
      </c>
      <c r="AR221">
        <v>12511</v>
      </c>
      <c r="AT221">
        <v>12848</v>
      </c>
      <c r="AV221" t="s">
        <v>3089</v>
      </c>
      <c r="AX221">
        <v>8736</v>
      </c>
      <c r="AZ221">
        <v>13078</v>
      </c>
      <c r="BB221" t="s">
        <v>3090</v>
      </c>
      <c r="BD221">
        <v>7505</v>
      </c>
      <c r="BF221">
        <v>7510</v>
      </c>
      <c r="BH221" t="s">
        <v>3091</v>
      </c>
      <c r="BJ221">
        <v>8425</v>
      </c>
      <c r="BL221">
        <v>10353</v>
      </c>
    </row>
    <row r="222" spans="1:64">
      <c r="A222">
        <f t="shared" si="37"/>
        <v>7.233</v>
      </c>
      <c r="B222">
        <f t="shared" si="38"/>
        <v>12.594</v>
      </c>
      <c r="C222">
        <f t="shared" si="39"/>
        <v>7.576</v>
      </c>
      <c r="D222">
        <f t="shared" si="40"/>
        <v>7.474</v>
      </c>
      <c r="E222">
        <f t="shared" si="41"/>
        <v>12.913</v>
      </c>
      <c r="F222">
        <f t="shared" si="42"/>
        <v>7.576</v>
      </c>
      <c r="G222">
        <f t="shared" si="43"/>
        <v>3.305</v>
      </c>
      <c r="H222">
        <f t="shared" si="44"/>
        <v>8.823</v>
      </c>
      <c r="I222">
        <f t="shared" si="45"/>
        <v>8.642</v>
      </c>
      <c r="J222">
        <f t="shared" si="46"/>
        <v>11.043</v>
      </c>
      <c r="K222">
        <f t="shared" si="47"/>
        <v>13.307</v>
      </c>
      <c r="L222">
        <f t="shared" si="48"/>
        <v>11.131</v>
      </c>
      <c r="N222">
        <v>7233</v>
      </c>
      <c r="O222">
        <v>12594</v>
      </c>
      <c r="P222">
        <v>7576</v>
      </c>
      <c r="Q222">
        <v>7474</v>
      </c>
      <c r="R222">
        <v>12913</v>
      </c>
      <c r="S222">
        <v>7576</v>
      </c>
      <c r="T222">
        <v>3305</v>
      </c>
      <c r="U222">
        <v>8823</v>
      </c>
      <c r="V222">
        <v>8642</v>
      </c>
      <c r="W222">
        <v>11043</v>
      </c>
      <c r="X222">
        <v>13307</v>
      </c>
      <c r="Y222">
        <v>11131</v>
      </c>
      <c r="AA222" t="s">
        <v>3092</v>
      </c>
      <c r="AC222">
        <v>7182</v>
      </c>
      <c r="AE222">
        <v>7405</v>
      </c>
      <c r="AG222" t="s">
        <v>3093</v>
      </c>
      <c r="AI222">
        <v>3247</v>
      </c>
      <c r="AK222">
        <v>10691</v>
      </c>
      <c r="AP222" t="s">
        <v>3094</v>
      </c>
      <c r="AR222">
        <v>12514</v>
      </c>
      <c r="AT222">
        <v>12861</v>
      </c>
      <c r="AV222" t="s">
        <v>3095</v>
      </c>
      <c r="AX222">
        <v>8749</v>
      </c>
      <c r="AZ222">
        <v>13112</v>
      </c>
      <c r="BB222" t="s">
        <v>3096</v>
      </c>
      <c r="BD222">
        <v>7510</v>
      </c>
      <c r="BF222">
        <v>7515</v>
      </c>
      <c r="BH222" t="s">
        <v>3097</v>
      </c>
      <c r="BJ222">
        <v>8435</v>
      </c>
      <c r="BL222">
        <v>10451</v>
      </c>
    </row>
    <row r="223" spans="1:64">
      <c r="A223">
        <f t="shared" si="37"/>
        <v>7.246</v>
      </c>
      <c r="B223">
        <f t="shared" si="38"/>
        <v>12.604</v>
      </c>
      <c r="C223">
        <f t="shared" si="39"/>
        <v>7.576</v>
      </c>
      <c r="D223">
        <f t="shared" si="40"/>
        <v>7.478</v>
      </c>
      <c r="E223">
        <f t="shared" si="41"/>
        <v>12.935</v>
      </c>
      <c r="F223">
        <f t="shared" si="42"/>
        <v>7.593</v>
      </c>
      <c r="G223">
        <f t="shared" si="43"/>
        <v>3.318</v>
      </c>
      <c r="H223">
        <f t="shared" si="44"/>
        <v>8.842</v>
      </c>
      <c r="I223">
        <f t="shared" si="45"/>
        <v>8.659</v>
      </c>
      <c r="J223">
        <f t="shared" si="46"/>
        <v>11.092</v>
      </c>
      <c r="K223">
        <f t="shared" si="47"/>
        <v>13.314</v>
      </c>
      <c r="L223">
        <f t="shared" si="48"/>
        <v>11.216</v>
      </c>
      <c r="N223">
        <v>7246</v>
      </c>
      <c r="O223">
        <v>12604</v>
      </c>
      <c r="P223">
        <v>7576</v>
      </c>
      <c r="Q223">
        <v>7478</v>
      </c>
      <c r="R223">
        <v>12935</v>
      </c>
      <c r="S223">
        <v>7593</v>
      </c>
      <c r="T223">
        <v>3318</v>
      </c>
      <c r="U223">
        <v>8842</v>
      </c>
      <c r="V223">
        <v>8659</v>
      </c>
      <c r="W223">
        <v>11092</v>
      </c>
      <c r="X223">
        <v>13314</v>
      </c>
      <c r="Y223">
        <v>11216</v>
      </c>
      <c r="AA223" t="s">
        <v>3098</v>
      </c>
      <c r="AC223">
        <v>7184</v>
      </c>
      <c r="AE223">
        <v>7413</v>
      </c>
      <c r="AG223" t="s">
        <v>3099</v>
      </c>
      <c r="AI223">
        <v>3249</v>
      </c>
      <c r="AK223">
        <v>10813</v>
      </c>
      <c r="AP223" t="s">
        <v>3100</v>
      </c>
      <c r="AR223">
        <v>12550</v>
      </c>
      <c r="AT223">
        <v>12879</v>
      </c>
      <c r="AV223" t="s">
        <v>3101</v>
      </c>
      <c r="AX223">
        <v>8760</v>
      </c>
      <c r="AZ223">
        <v>13164</v>
      </c>
      <c r="BB223" t="s">
        <v>3102</v>
      </c>
      <c r="BD223">
        <v>7515</v>
      </c>
      <c r="BF223">
        <v>7528</v>
      </c>
      <c r="BH223" t="s">
        <v>3103</v>
      </c>
      <c r="BJ223">
        <v>8480</v>
      </c>
      <c r="BL223">
        <v>10514</v>
      </c>
    </row>
    <row r="224" spans="1:64">
      <c r="A224">
        <f t="shared" si="37"/>
        <v>7.254</v>
      </c>
      <c r="B224">
        <f t="shared" si="38"/>
        <v>12.611</v>
      </c>
      <c r="C224">
        <f t="shared" si="39"/>
        <v>7.593</v>
      </c>
      <c r="D224">
        <f t="shared" si="40"/>
        <v>7.53</v>
      </c>
      <c r="E224">
        <f t="shared" si="41"/>
        <v>12.94</v>
      </c>
      <c r="F224">
        <f t="shared" si="42"/>
        <v>7.604</v>
      </c>
      <c r="G224">
        <f t="shared" si="43"/>
        <v>3.328</v>
      </c>
      <c r="H224">
        <f t="shared" si="44"/>
        <v>8.883</v>
      </c>
      <c r="I224">
        <f t="shared" si="45"/>
        <v>8.685</v>
      </c>
      <c r="J224">
        <f t="shared" si="46"/>
        <v>11.116</v>
      </c>
      <c r="K224">
        <f t="shared" si="47"/>
        <v>13.419</v>
      </c>
      <c r="L224">
        <f t="shared" si="48"/>
        <v>11.219</v>
      </c>
      <c r="N224">
        <v>7254</v>
      </c>
      <c r="O224">
        <v>12611</v>
      </c>
      <c r="P224">
        <v>7593</v>
      </c>
      <c r="Q224">
        <v>7530</v>
      </c>
      <c r="R224">
        <v>12940</v>
      </c>
      <c r="S224">
        <v>7604</v>
      </c>
      <c r="T224">
        <v>3328</v>
      </c>
      <c r="U224">
        <v>8883</v>
      </c>
      <c r="V224">
        <v>8685</v>
      </c>
      <c r="W224">
        <v>11116</v>
      </c>
      <c r="X224">
        <v>13419</v>
      </c>
      <c r="Y224">
        <v>11219</v>
      </c>
      <c r="AA224" t="s">
        <v>3104</v>
      </c>
      <c r="AC224">
        <v>7201</v>
      </c>
      <c r="AE224">
        <v>7427</v>
      </c>
      <c r="AG224" t="s">
        <v>3105</v>
      </c>
      <c r="AI224">
        <v>3252</v>
      </c>
      <c r="AK224">
        <v>10815</v>
      </c>
      <c r="AP224" t="s">
        <v>3106</v>
      </c>
      <c r="AR224">
        <v>12570</v>
      </c>
      <c r="AT224">
        <v>12882</v>
      </c>
      <c r="AV224" t="s">
        <v>3107</v>
      </c>
      <c r="AX224">
        <v>8788</v>
      </c>
      <c r="AZ224">
        <v>13179</v>
      </c>
      <c r="BB224" t="s">
        <v>3108</v>
      </c>
      <c r="BD224">
        <v>7528</v>
      </c>
      <c r="BF224">
        <v>7541</v>
      </c>
      <c r="BH224" t="s">
        <v>3109</v>
      </c>
      <c r="BJ224">
        <v>8536</v>
      </c>
      <c r="BL224">
        <v>10704</v>
      </c>
    </row>
    <row r="225" spans="1:64">
      <c r="A225">
        <f t="shared" si="37"/>
        <v>7.26</v>
      </c>
      <c r="B225">
        <f t="shared" si="38"/>
        <v>12.614</v>
      </c>
      <c r="C225">
        <f t="shared" si="39"/>
        <v>7.604</v>
      </c>
      <c r="D225">
        <f t="shared" si="40"/>
        <v>7.533</v>
      </c>
      <c r="E225">
        <f t="shared" si="41"/>
        <v>12.957</v>
      </c>
      <c r="F225">
        <f t="shared" si="42"/>
        <v>7.631</v>
      </c>
      <c r="G225">
        <f t="shared" si="43"/>
        <v>3.337</v>
      </c>
      <c r="H225">
        <f t="shared" si="44"/>
        <v>8.883</v>
      </c>
      <c r="I225">
        <f t="shared" si="45"/>
        <v>8.719</v>
      </c>
      <c r="J225">
        <f t="shared" si="46"/>
        <v>11.174</v>
      </c>
      <c r="K225">
        <f t="shared" si="47"/>
        <v>13.432</v>
      </c>
      <c r="L225">
        <f t="shared" si="48"/>
        <v>11.244</v>
      </c>
      <c r="N225">
        <v>7260</v>
      </c>
      <c r="O225">
        <v>12614</v>
      </c>
      <c r="P225">
        <v>7604</v>
      </c>
      <c r="Q225">
        <v>7533</v>
      </c>
      <c r="R225">
        <v>12957</v>
      </c>
      <c r="S225">
        <v>7631</v>
      </c>
      <c r="T225">
        <v>3337</v>
      </c>
      <c r="U225">
        <v>8883</v>
      </c>
      <c r="V225">
        <v>8719</v>
      </c>
      <c r="W225">
        <v>11174</v>
      </c>
      <c r="X225">
        <v>13432</v>
      </c>
      <c r="Y225">
        <v>11244</v>
      </c>
      <c r="AA225" t="s">
        <v>3110</v>
      </c>
      <c r="AC225">
        <v>7208</v>
      </c>
      <c r="AE225">
        <v>7452</v>
      </c>
      <c r="AG225" t="s">
        <v>3111</v>
      </c>
      <c r="AI225">
        <v>3264</v>
      </c>
      <c r="AK225">
        <v>10846</v>
      </c>
      <c r="AP225" t="s">
        <v>3112</v>
      </c>
      <c r="AR225">
        <v>12572</v>
      </c>
      <c r="AT225">
        <v>12885</v>
      </c>
      <c r="AV225" t="s">
        <v>3113</v>
      </c>
      <c r="AX225">
        <v>8792</v>
      </c>
      <c r="AZ225">
        <v>13185</v>
      </c>
      <c r="BB225" t="s">
        <v>3114</v>
      </c>
      <c r="BD225">
        <v>7541</v>
      </c>
      <c r="BF225">
        <v>7543</v>
      </c>
      <c r="BH225" t="s">
        <v>3115</v>
      </c>
      <c r="BJ225">
        <v>8573</v>
      </c>
      <c r="BL225">
        <v>10733</v>
      </c>
    </row>
    <row r="226" spans="1:64">
      <c r="A226">
        <f t="shared" si="37"/>
        <v>7.27</v>
      </c>
      <c r="B226">
        <f t="shared" si="38"/>
        <v>12.614</v>
      </c>
      <c r="C226">
        <f t="shared" si="39"/>
        <v>7.631</v>
      </c>
      <c r="D226">
        <f t="shared" si="40"/>
        <v>7.557</v>
      </c>
      <c r="E226">
        <f t="shared" si="41"/>
        <v>12.959</v>
      </c>
      <c r="F226">
        <f t="shared" si="42"/>
        <v>7.633</v>
      </c>
      <c r="G226">
        <f t="shared" si="43"/>
        <v>3.343</v>
      </c>
      <c r="H226">
        <f t="shared" si="44"/>
        <v>8.886</v>
      </c>
      <c r="I226">
        <f t="shared" si="45"/>
        <v>8.737</v>
      </c>
      <c r="J226">
        <f t="shared" si="46"/>
        <v>11.329</v>
      </c>
      <c r="K226">
        <f t="shared" si="47"/>
        <v>13.601</v>
      </c>
      <c r="L226">
        <f t="shared" si="48"/>
        <v>11.311</v>
      </c>
      <c r="N226">
        <v>7270</v>
      </c>
      <c r="O226">
        <v>12614</v>
      </c>
      <c r="P226">
        <v>7631</v>
      </c>
      <c r="Q226">
        <v>7557</v>
      </c>
      <c r="R226">
        <v>12959</v>
      </c>
      <c r="S226">
        <v>7633</v>
      </c>
      <c r="T226">
        <v>3343</v>
      </c>
      <c r="U226">
        <v>8886</v>
      </c>
      <c r="V226">
        <v>8737</v>
      </c>
      <c r="W226">
        <v>11329</v>
      </c>
      <c r="X226">
        <v>13601</v>
      </c>
      <c r="Y226">
        <v>11311</v>
      </c>
      <c r="AA226" t="s">
        <v>3116</v>
      </c>
      <c r="AC226">
        <v>7215</v>
      </c>
      <c r="AE226">
        <v>7458</v>
      </c>
      <c r="AG226" t="s">
        <v>3117</v>
      </c>
      <c r="AI226">
        <v>3265</v>
      </c>
      <c r="AK226">
        <v>10894</v>
      </c>
      <c r="AP226" t="s">
        <v>3118</v>
      </c>
      <c r="AR226">
        <v>12572</v>
      </c>
      <c r="AT226">
        <v>12899</v>
      </c>
      <c r="AV226" t="s">
        <v>3119</v>
      </c>
      <c r="AX226">
        <v>8802</v>
      </c>
      <c r="AZ226">
        <v>13214</v>
      </c>
      <c r="BB226" t="s">
        <v>3120</v>
      </c>
      <c r="BD226">
        <v>7543</v>
      </c>
      <c r="BF226">
        <v>7545</v>
      </c>
      <c r="BH226" t="s">
        <v>3121</v>
      </c>
      <c r="BJ226">
        <v>8575</v>
      </c>
      <c r="BL226">
        <v>10741</v>
      </c>
    </row>
    <row r="227" spans="1:64">
      <c r="A227">
        <f t="shared" si="37"/>
        <v>7.278</v>
      </c>
      <c r="B227">
        <f t="shared" si="38"/>
        <v>12.623</v>
      </c>
      <c r="C227">
        <f t="shared" si="39"/>
        <v>7.633</v>
      </c>
      <c r="D227">
        <f t="shared" si="40"/>
        <v>7.563</v>
      </c>
      <c r="E227">
        <f t="shared" si="41"/>
        <v>12.961</v>
      </c>
      <c r="F227">
        <f t="shared" si="42"/>
        <v>7.634</v>
      </c>
      <c r="G227">
        <f t="shared" si="43"/>
        <v>3.352</v>
      </c>
      <c r="H227">
        <f t="shared" si="44"/>
        <v>8.89</v>
      </c>
      <c r="I227">
        <f t="shared" si="45"/>
        <v>8.752</v>
      </c>
      <c r="J227">
        <f t="shared" si="46"/>
        <v>11.456</v>
      </c>
      <c r="K227">
        <f t="shared" si="47"/>
        <v>13.683</v>
      </c>
      <c r="L227">
        <f t="shared" si="48"/>
        <v>11.497</v>
      </c>
      <c r="N227">
        <v>7278</v>
      </c>
      <c r="O227">
        <v>12623</v>
      </c>
      <c r="P227">
        <v>7633</v>
      </c>
      <c r="Q227">
        <v>7563</v>
      </c>
      <c r="R227">
        <v>12961</v>
      </c>
      <c r="S227">
        <v>7634</v>
      </c>
      <c r="T227">
        <v>3352</v>
      </c>
      <c r="U227">
        <v>8890</v>
      </c>
      <c r="V227">
        <v>8752</v>
      </c>
      <c r="W227">
        <v>11456</v>
      </c>
      <c r="X227">
        <v>13683</v>
      </c>
      <c r="Y227">
        <v>11497</v>
      </c>
      <c r="AA227" t="s">
        <v>3122</v>
      </c>
      <c r="AC227">
        <v>7217</v>
      </c>
      <c r="AE227">
        <v>7465</v>
      </c>
      <c r="AG227" t="s">
        <v>3123</v>
      </c>
      <c r="AI227">
        <v>3266</v>
      </c>
      <c r="AK227">
        <v>10931</v>
      </c>
      <c r="AP227" t="s">
        <v>3124</v>
      </c>
      <c r="AR227">
        <v>12579</v>
      </c>
      <c r="AT227">
        <v>12907</v>
      </c>
      <c r="AV227" t="s">
        <v>3125</v>
      </c>
      <c r="AX227">
        <v>8803</v>
      </c>
      <c r="AZ227">
        <v>13224</v>
      </c>
      <c r="BB227" t="s">
        <v>3126</v>
      </c>
      <c r="BD227">
        <v>7545</v>
      </c>
      <c r="BF227">
        <v>7569</v>
      </c>
      <c r="BH227" t="s">
        <v>3127</v>
      </c>
      <c r="BJ227">
        <v>8583</v>
      </c>
      <c r="BL227">
        <v>10821</v>
      </c>
    </row>
    <row r="228" spans="1:64">
      <c r="A228">
        <f t="shared" si="37"/>
        <v>7.279</v>
      </c>
      <c r="B228">
        <f t="shared" si="38"/>
        <v>12.629</v>
      </c>
      <c r="C228">
        <f t="shared" si="39"/>
        <v>7.634</v>
      </c>
      <c r="D228">
        <f t="shared" si="40"/>
        <v>7.568</v>
      </c>
      <c r="E228">
        <f t="shared" si="41"/>
        <v>12.967</v>
      </c>
      <c r="F228">
        <f t="shared" si="42"/>
        <v>7.643</v>
      </c>
      <c r="G228">
        <f t="shared" si="43"/>
        <v>3.384</v>
      </c>
      <c r="H228">
        <f t="shared" si="44"/>
        <v>8.894</v>
      </c>
      <c r="I228">
        <f t="shared" si="45"/>
        <v>8.755</v>
      </c>
      <c r="J228">
        <f t="shared" si="46"/>
        <v>11.65</v>
      </c>
      <c r="K228">
        <f t="shared" si="47"/>
        <v>13.707</v>
      </c>
      <c r="L228">
        <f t="shared" si="48"/>
        <v>11.497</v>
      </c>
      <c r="N228">
        <v>7279</v>
      </c>
      <c r="O228">
        <v>12629</v>
      </c>
      <c r="P228">
        <v>7634</v>
      </c>
      <c r="Q228">
        <v>7568</v>
      </c>
      <c r="R228">
        <v>12967</v>
      </c>
      <c r="S228">
        <v>7643</v>
      </c>
      <c r="T228">
        <v>3384</v>
      </c>
      <c r="U228">
        <v>8894</v>
      </c>
      <c r="V228">
        <v>8755</v>
      </c>
      <c r="W228">
        <v>11650</v>
      </c>
      <c r="X228">
        <v>13707</v>
      </c>
      <c r="Y228">
        <v>11497</v>
      </c>
      <c r="AA228" t="s">
        <v>3128</v>
      </c>
      <c r="AC228">
        <v>7224</v>
      </c>
      <c r="AE228">
        <v>7465</v>
      </c>
      <c r="AG228" t="s">
        <v>3129</v>
      </c>
      <c r="AI228">
        <v>3295</v>
      </c>
      <c r="AK228">
        <v>11003</v>
      </c>
      <c r="AP228" t="s">
        <v>3130</v>
      </c>
      <c r="AR228">
        <v>12586</v>
      </c>
      <c r="AT228">
        <v>12912</v>
      </c>
      <c r="AV228" t="s">
        <v>3131</v>
      </c>
      <c r="AX228">
        <v>8817</v>
      </c>
      <c r="AZ228">
        <v>13299</v>
      </c>
      <c r="BB228" t="s">
        <v>3132</v>
      </c>
      <c r="BD228">
        <v>7569</v>
      </c>
      <c r="BF228">
        <v>7576</v>
      </c>
      <c r="BH228" t="s">
        <v>3133</v>
      </c>
      <c r="BJ228">
        <v>8620</v>
      </c>
      <c r="BL228">
        <v>10836</v>
      </c>
    </row>
    <row r="229" spans="1:64">
      <c r="A229">
        <f t="shared" si="37"/>
        <v>7.286</v>
      </c>
      <c r="B229">
        <f t="shared" si="38"/>
        <v>12.667</v>
      </c>
      <c r="C229">
        <f t="shared" si="39"/>
        <v>7.635</v>
      </c>
      <c r="D229">
        <f t="shared" si="40"/>
        <v>7.578</v>
      </c>
      <c r="E229">
        <f t="shared" si="41"/>
        <v>12.971</v>
      </c>
      <c r="F229">
        <f t="shared" si="42"/>
        <v>7.66</v>
      </c>
      <c r="G229">
        <f t="shared" si="43"/>
        <v>3.385</v>
      </c>
      <c r="H229">
        <f t="shared" si="44"/>
        <v>8.907</v>
      </c>
      <c r="I229">
        <f t="shared" si="45"/>
        <v>8.769</v>
      </c>
      <c r="J229">
        <f t="shared" si="46"/>
        <v>11.804</v>
      </c>
      <c r="K229">
        <f t="shared" si="47"/>
        <v>13.747</v>
      </c>
      <c r="L229">
        <f t="shared" si="48"/>
        <v>11.511</v>
      </c>
      <c r="N229">
        <v>7286</v>
      </c>
      <c r="O229">
        <v>12667</v>
      </c>
      <c r="P229">
        <v>7635</v>
      </c>
      <c r="Q229">
        <v>7578</v>
      </c>
      <c r="R229">
        <v>12971</v>
      </c>
      <c r="S229">
        <v>7660</v>
      </c>
      <c r="T229">
        <v>3385</v>
      </c>
      <c r="U229">
        <v>8907</v>
      </c>
      <c r="V229">
        <v>8769</v>
      </c>
      <c r="W229">
        <v>11804</v>
      </c>
      <c r="X229">
        <v>13747</v>
      </c>
      <c r="Y229">
        <v>11511</v>
      </c>
      <c r="AA229" t="s">
        <v>3134</v>
      </c>
      <c r="AC229">
        <v>7231</v>
      </c>
      <c r="AE229">
        <v>7467</v>
      </c>
      <c r="AG229" t="s">
        <v>3135</v>
      </c>
      <c r="AI229">
        <v>3295</v>
      </c>
      <c r="AK229">
        <v>11011</v>
      </c>
      <c r="AP229" t="s">
        <v>3136</v>
      </c>
      <c r="AR229">
        <v>12594</v>
      </c>
      <c r="AT229">
        <v>12913</v>
      </c>
      <c r="AV229" t="s">
        <v>3137</v>
      </c>
      <c r="AX229">
        <v>8823</v>
      </c>
      <c r="AZ229">
        <v>13307</v>
      </c>
      <c r="BB229" t="s">
        <v>3138</v>
      </c>
      <c r="BD229">
        <v>7576</v>
      </c>
      <c r="BF229">
        <v>7576</v>
      </c>
      <c r="BH229" t="s">
        <v>3139</v>
      </c>
      <c r="BJ229">
        <v>8633</v>
      </c>
      <c r="BL229">
        <v>10883</v>
      </c>
    </row>
    <row r="230" spans="1:64">
      <c r="A230">
        <f t="shared" si="37"/>
        <v>7.294</v>
      </c>
      <c r="B230">
        <f t="shared" si="38"/>
        <v>12.709</v>
      </c>
      <c r="C230">
        <f t="shared" si="39"/>
        <v>7.643</v>
      </c>
      <c r="D230">
        <f t="shared" si="40"/>
        <v>7.586</v>
      </c>
      <c r="E230">
        <f t="shared" si="41"/>
        <v>12.978</v>
      </c>
      <c r="F230">
        <f t="shared" si="42"/>
        <v>7.67</v>
      </c>
      <c r="G230">
        <f t="shared" si="43"/>
        <v>3.388</v>
      </c>
      <c r="H230">
        <f t="shared" si="44"/>
        <v>8.98</v>
      </c>
      <c r="I230">
        <f t="shared" si="45"/>
        <v>8.821</v>
      </c>
      <c r="J230">
        <f t="shared" si="46"/>
        <v>11.811</v>
      </c>
      <c r="K230">
        <f t="shared" si="47"/>
        <v>13.797</v>
      </c>
      <c r="L230">
        <f t="shared" si="48"/>
        <v>11.672</v>
      </c>
      <c r="N230">
        <v>7294</v>
      </c>
      <c r="O230">
        <v>12709</v>
      </c>
      <c r="P230">
        <v>7643</v>
      </c>
      <c r="Q230">
        <v>7586</v>
      </c>
      <c r="R230">
        <v>12978</v>
      </c>
      <c r="S230">
        <v>7670</v>
      </c>
      <c r="T230">
        <v>3388</v>
      </c>
      <c r="U230">
        <v>8980</v>
      </c>
      <c r="V230">
        <v>8821</v>
      </c>
      <c r="W230">
        <v>11811</v>
      </c>
      <c r="X230">
        <v>13797</v>
      </c>
      <c r="Y230">
        <v>11672</v>
      </c>
      <c r="AA230" t="s">
        <v>3140</v>
      </c>
      <c r="AC230">
        <v>7233</v>
      </c>
      <c r="AE230">
        <v>7474</v>
      </c>
      <c r="AG230" t="s">
        <v>3141</v>
      </c>
      <c r="AI230">
        <v>3305</v>
      </c>
      <c r="AK230">
        <v>11043</v>
      </c>
      <c r="AP230" t="s">
        <v>3142</v>
      </c>
      <c r="AR230">
        <v>12604</v>
      </c>
      <c r="AT230">
        <v>12935</v>
      </c>
      <c r="AV230" t="s">
        <v>3143</v>
      </c>
      <c r="AX230">
        <v>8842</v>
      </c>
      <c r="AZ230">
        <v>13314</v>
      </c>
      <c r="BB230" t="s">
        <v>3144</v>
      </c>
      <c r="BD230">
        <v>7576</v>
      </c>
      <c r="BF230">
        <v>7576</v>
      </c>
      <c r="BH230" t="s">
        <v>3145</v>
      </c>
      <c r="BJ230">
        <v>8642</v>
      </c>
      <c r="BL230">
        <v>11131</v>
      </c>
    </row>
    <row r="231" spans="1:64">
      <c r="A231">
        <f t="shared" si="37"/>
        <v>7.296</v>
      </c>
      <c r="B231">
        <f t="shared" si="38"/>
        <v>12.757</v>
      </c>
      <c r="C231">
        <f t="shared" si="39"/>
        <v>7.66</v>
      </c>
      <c r="D231">
        <f t="shared" si="40"/>
        <v>7.591</v>
      </c>
      <c r="E231">
        <f t="shared" si="41"/>
        <v>12.984</v>
      </c>
      <c r="F231">
        <f t="shared" si="42"/>
        <v>7.671</v>
      </c>
      <c r="G231">
        <f t="shared" si="43"/>
        <v>3.402</v>
      </c>
      <c r="H231">
        <f t="shared" si="44"/>
        <v>8.991</v>
      </c>
      <c r="I231">
        <f t="shared" si="45"/>
        <v>8.83</v>
      </c>
      <c r="J231">
        <f t="shared" si="46"/>
        <v>11.962</v>
      </c>
      <c r="K231">
        <f t="shared" si="47"/>
        <v>13.798</v>
      </c>
      <c r="L231">
        <f t="shared" si="48"/>
        <v>11.688</v>
      </c>
      <c r="N231">
        <v>7296</v>
      </c>
      <c r="O231">
        <v>12757</v>
      </c>
      <c r="P231">
        <v>7660</v>
      </c>
      <c r="Q231">
        <v>7591</v>
      </c>
      <c r="R231">
        <v>12984</v>
      </c>
      <c r="S231">
        <v>7671</v>
      </c>
      <c r="T231">
        <v>3402</v>
      </c>
      <c r="U231">
        <v>8991</v>
      </c>
      <c r="V231">
        <v>8830</v>
      </c>
      <c r="W231">
        <v>11962</v>
      </c>
      <c r="X231">
        <v>13798</v>
      </c>
      <c r="Y231">
        <v>11688</v>
      </c>
      <c r="AA231" t="s">
        <v>3146</v>
      </c>
      <c r="AC231">
        <v>7246</v>
      </c>
      <c r="AE231">
        <v>7478</v>
      </c>
      <c r="AG231" t="s">
        <v>3147</v>
      </c>
      <c r="AI231">
        <v>3318</v>
      </c>
      <c r="AK231">
        <v>11092</v>
      </c>
      <c r="AP231" t="s">
        <v>3148</v>
      </c>
      <c r="AR231">
        <v>12611</v>
      </c>
      <c r="AT231">
        <v>12940</v>
      </c>
      <c r="AV231" t="s">
        <v>3149</v>
      </c>
      <c r="AX231">
        <v>8883</v>
      </c>
      <c r="AZ231">
        <v>13419</v>
      </c>
      <c r="BB231" t="s">
        <v>3150</v>
      </c>
      <c r="BD231">
        <v>7576</v>
      </c>
      <c r="BF231">
        <v>7593</v>
      </c>
      <c r="BH231" t="s">
        <v>3151</v>
      </c>
      <c r="BJ231">
        <v>8659</v>
      </c>
      <c r="BL231">
        <v>11216</v>
      </c>
    </row>
    <row r="232" spans="1:64">
      <c r="A232">
        <f t="shared" si="37"/>
        <v>7.307</v>
      </c>
      <c r="B232">
        <f t="shared" si="38"/>
        <v>12.767</v>
      </c>
      <c r="C232">
        <f t="shared" si="39"/>
        <v>7.67</v>
      </c>
      <c r="D232">
        <f t="shared" si="40"/>
        <v>7.596</v>
      </c>
      <c r="E232">
        <f t="shared" si="41"/>
        <v>12.986</v>
      </c>
      <c r="F232">
        <f t="shared" si="42"/>
        <v>7.676</v>
      </c>
      <c r="G232">
        <f t="shared" si="43"/>
        <v>3.421</v>
      </c>
      <c r="H232">
        <f t="shared" si="44"/>
        <v>9.015</v>
      </c>
      <c r="I232">
        <f t="shared" si="45"/>
        <v>8.875</v>
      </c>
      <c r="J232">
        <f t="shared" si="46"/>
        <v>11.999</v>
      </c>
      <c r="K232">
        <f t="shared" si="47"/>
        <v>13.804</v>
      </c>
      <c r="L232">
        <f t="shared" si="48"/>
        <v>11.902</v>
      </c>
      <c r="N232">
        <v>7307</v>
      </c>
      <c r="O232">
        <v>12767</v>
      </c>
      <c r="P232">
        <v>7670</v>
      </c>
      <c r="Q232">
        <v>7596</v>
      </c>
      <c r="R232">
        <v>12986</v>
      </c>
      <c r="S232">
        <v>7676</v>
      </c>
      <c r="T232">
        <v>3421</v>
      </c>
      <c r="U232">
        <v>9015</v>
      </c>
      <c r="V232">
        <v>8875</v>
      </c>
      <c r="W232">
        <v>11999</v>
      </c>
      <c r="X232">
        <v>13804</v>
      </c>
      <c r="Y232">
        <v>11902</v>
      </c>
      <c r="AA232" t="s">
        <v>3152</v>
      </c>
      <c r="AC232">
        <v>7254</v>
      </c>
      <c r="AE232">
        <v>7530</v>
      </c>
      <c r="AG232" t="s">
        <v>3153</v>
      </c>
      <c r="AI232">
        <v>3328</v>
      </c>
      <c r="AK232">
        <v>11116</v>
      </c>
      <c r="AP232" t="s">
        <v>3154</v>
      </c>
      <c r="AR232">
        <v>12614</v>
      </c>
      <c r="AT232">
        <v>12957</v>
      </c>
      <c r="AV232" t="s">
        <v>3155</v>
      </c>
      <c r="AX232">
        <v>8883</v>
      </c>
      <c r="AZ232">
        <v>13432</v>
      </c>
      <c r="BB232" t="s">
        <v>3156</v>
      </c>
      <c r="BD232">
        <v>7593</v>
      </c>
      <c r="BF232">
        <v>7604</v>
      </c>
      <c r="BH232" t="s">
        <v>3157</v>
      </c>
      <c r="BJ232">
        <v>8685</v>
      </c>
      <c r="BL232">
        <v>11219</v>
      </c>
    </row>
    <row r="233" spans="1:64">
      <c r="A233">
        <f t="shared" si="37"/>
        <v>7.308</v>
      </c>
      <c r="B233">
        <f t="shared" si="38"/>
        <v>12.784</v>
      </c>
      <c r="C233">
        <f t="shared" si="39"/>
        <v>7.671</v>
      </c>
      <c r="D233">
        <f t="shared" si="40"/>
        <v>7.6</v>
      </c>
      <c r="E233">
        <f t="shared" si="41"/>
        <v>12.994</v>
      </c>
      <c r="F233">
        <f t="shared" si="42"/>
        <v>7.678</v>
      </c>
      <c r="G233">
        <f t="shared" si="43"/>
        <v>3.488</v>
      </c>
      <c r="H233">
        <f t="shared" si="44"/>
        <v>9.02</v>
      </c>
      <c r="I233">
        <f t="shared" si="45"/>
        <v>8.879</v>
      </c>
      <c r="J233">
        <f t="shared" si="46"/>
        <v>12.191</v>
      </c>
      <c r="K233">
        <f t="shared" si="47"/>
        <v>13.809</v>
      </c>
      <c r="L233">
        <f t="shared" si="48"/>
        <v>11.928</v>
      </c>
      <c r="N233">
        <v>7308</v>
      </c>
      <c r="O233">
        <v>12784</v>
      </c>
      <c r="P233">
        <v>7671</v>
      </c>
      <c r="Q233">
        <v>7600</v>
      </c>
      <c r="R233">
        <v>12994</v>
      </c>
      <c r="S233">
        <v>7678</v>
      </c>
      <c r="T233">
        <v>3488</v>
      </c>
      <c r="U233">
        <v>9020</v>
      </c>
      <c r="V233">
        <v>8879</v>
      </c>
      <c r="W233">
        <v>12191</v>
      </c>
      <c r="X233">
        <v>13809</v>
      </c>
      <c r="Y233">
        <v>11928</v>
      </c>
      <c r="AA233" t="s">
        <v>3158</v>
      </c>
      <c r="AC233">
        <v>7260</v>
      </c>
      <c r="AE233">
        <v>7533</v>
      </c>
      <c r="AG233" t="s">
        <v>3159</v>
      </c>
      <c r="AI233">
        <v>3337</v>
      </c>
      <c r="AK233">
        <v>11174</v>
      </c>
      <c r="AP233" t="s">
        <v>3160</v>
      </c>
      <c r="AR233">
        <v>12614</v>
      </c>
      <c r="AT233">
        <v>12959</v>
      </c>
      <c r="AV233" t="s">
        <v>3161</v>
      </c>
      <c r="AX233">
        <v>8886</v>
      </c>
      <c r="AZ233">
        <v>13601</v>
      </c>
      <c r="BB233" t="s">
        <v>3162</v>
      </c>
      <c r="BD233">
        <v>7604</v>
      </c>
      <c r="BF233">
        <v>7631</v>
      </c>
      <c r="BH233" t="s">
        <v>3163</v>
      </c>
      <c r="BJ233">
        <v>8719</v>
      </c>
      <c r="BL233">
        <v>11244</v>
      </c>
    </row>
    <row r="234" spans="1:64">
      <c r="A234">
        <f t="shared" si="37"/>
        <v>7.32</v>
      </c>
      <c r="B234">
        <f t="shared" si="38"/>
        <v>12.807</v>
      </c>
      <c r="C234">
        <f t="shared" si="39"/>
        <v>7.676</v>
      </c>
      <c r="D234">
        <f t="shared" si="40"/>
        <v>7.602</v>
      </c>
      <c r="E234">
        <f t="shared" si="41"/>
        <v>12.994</v>
      </c>
      <c r="F234">
        <f t="shared" si="42"/>
        <v>7.692</v>
      </c>
      <c r="G234">
        <f t="shared" si="43"/>
        <v>3.511</v>
      </c>
      <c r="H234">
        <f t="shared" si="44"/>
        <v>9.029</v>
      </c>
      <c r="I234">
        <f t="shared" si="45"/>
        <v>8.883</v>
      </c>
      <c r="J234">
        <f t="shared" si="46"/>
        <v>12.226</v>
      </c>
      <c r="K234">
        <f t="shared" si="47"/>
        <v>13.916</v>
      </c>
      <c r="L234">
        <f t="shared" si="48"/>
        <v>12.142</v>
      </c>
      <c r="N234">
        <v>7320</v>
      </c>
      <c r="O234">
        <v>12807</v>
      </c>
      <c r="P234">
        <v>7676</v>
      </c>
      <c r="Q234">
        <v>7602</v>
      </c>
      <c r="R234">
        <v>12994</v>
      </c>
      <c r="S234">
        <v>7692</v>
      </c>
      <c r="T234">
        <v>3511</v>
      </c>
      <c r="U234">
        <v>9029</v>
      </c>
      <c r="V234">
        <v>8883</v>
      </c>
      <c r="W234">
        <v>12226</v>
      </c>
      <c r="X234">
        <v>13916</v>
      </c>
      <c r="Y234">
        <v>12142</v>
      </c>
      <c r="AA234" t="s">
        <v>3164</v>
      </c>
      <c r="AC234">
        <v>7270</v>
      </c>
      <c r="AE234">
        <v>7557</v>
      </c>
      <c r="AG234" t="s">
        <v>3165</v>
      </c>
      <c r="AI234">
        <v>3343</v>
      </c>
      <c r="AK234">
        <v>11329</v>
      </c>
      <c r="AP234" t="s">
        <v>3166</v>
      </c>
      <c r="AR234">
        <v>12623</v>
      </c>
      <c r="AT234">
        <v>12961</v>
      </c>
      <c r="AV234" t="s">
        <v>3167</v>
      </c>
      <c r="AX234">
        <v>8890</v>
      </c>
      <c r="AZ234">
        <v>13683</v>
      </c>
      <c r="BB234" t="s">
        <v>3168</v>
      </c>
      <c r="BD234">
        <v>7631</v>
      </c>
      <c r="BF234">
        <v>7633</v>
      </c>
      <c r="BH234" t="s">
        <v>3169</v>
      </c>
      <c r="BJ234">
        <v>8737</v>
      </c>
      <c r="BL234">
        <v>11311</v>
      </c>
    </row>
    <row r="235" spans="1:64">
      <c r="A235">
        <f t="shared" si="37"/>
        <v>7.322</v>
      </c>
      <c r="B235">
        <f t="shared" si="38"/>
        <v>12.818</v>
      </c>
      <c r="C235">
        <f t="shared" si="39"/>
        <v>7.678</v>
      </c>
      <c r="D235">
        <f t="shared" si="40"/>
        <v>7.631</v>
      </c>
      <c r="E235">
        <f t="shared" si="41"/>
        <v>13.001</v>
      </c>
      <c r="F235">
        <f t="shared" si="42"/>
        <v>7.698</v>
      </c>
      <c r="G235">
        <f t="shared" si="43"/>
        <v>3.517</v>
      </c>
      <c r="H235">
        <f t="shared" si="44"/>
        <v>9.031</v>
      </c>
      <c r="I235">
        <f t="shared" si="45"/>
        <v>8.896</v>
      </c>
      <c r="J235">
        <f t="shared" si="46"/>
        <v>12.333</v>
      </c>
      <c r="K235">
        <f t="shared" si="47"/>
        <v>14.079</v>
      </c>
      <c r="L235">
        <f t="shared" si="48"/>
        <v>12.284</v>
      </c>
      <c r="N235">
        <v>7322</v>
      </c>
      <c r="O235">
        <v>12818</v>
      </c>
      <c r="P235">
        <v>7678</v>
      </c>
      <c r="Q235">
        <v>7631</v>
      </c>
      <c r="R235">
        <v>13001</v>
      </c>
      <c r="S235">
        <v>7698</v>
      </c>
      <c r="T235">
        <v>3517</v>
      </c>
      <c r="U235">
        <v>9031</v>
      </c>
      <c r="V235">
        <v>8896</v>
      </c>
      <c r="W235">
        <v>12333</v>
      </c>
      <c r="X235">
        <v>14079</v>
      </c>
      <c r="Y235">
        <v>12284</v>
      </c>
      <c r="AA235" t="s">
        <v>3170</v>
      </c>
      <c r="AC235">
        <v>7278</v>
      </c>
      <c r="AE235">
        <v>7563</v>
      </c>
      <c r="AG235" t="s">
        <v>3171</v>
      </c>
      <c r="AI235">
        <v>3352</v>
      </c>
      <c r="AK235">
        <v>11456</v>
      </c>
      <c r="AP235" t="s">
        <v>3172</v>
      </c>
      <c r="AR235">
        <v>12629</v>
      </c>
      <c r="AT235">
        <v>12967</v>
      </c>
      <c r="AV235" t="s">
        <v>3173</v>
      </c>
      <c r="AX235">
        <v>8894</v>
      </c>
      <c r="AZ235">
        <v>13707</v>
      </c>
      <c r="BB235" t="s">
        <v>3174</v>
      </c>
      <c r="BD235">
        <v>7633</v>
      </c>
      <c r="BF235">
        <v>7634</v>
      </c>
      <c r="BH235" t="s">
        <v>3175</v>
      </c>
      <c r="BJ235">
        <v>8752</v>
      </c>
      <c r="BL235">
        <v>11497</v>
      </c>
    </row>
    <row r="236" spans="1:64">
      <c r="A236">
        <f t="shared" si="37"/>
        <v>7.322</v>
      </c>
      <c r="B236">
        <f t="shared" si="38"/>
        <v>12.819</v>
      </c>
      <c r="C236">
        <f t="shared" si="39"/>
        <v>7.692</v>
      </c>
      <c r="D236">
        <f t="shared" si="40"/>
        <v>7.652</v>
      </c>
      <c r="E236">
        <f t="shared" si="41"/>
        <v>13.004</v>
      </c>
      <c r="F236">
        <f t="shared" si="42"/>
        <v>7.702</v>
      </c>
      <c r="G236">
        <f t="shared" si="43"/>
        <v>3.535</v>
      </c>
      <c r="H236">
        <f t="shared" si="44"/>
        <v>9.044</v>
      </c>
      <c r="I236">
        <f t="shared" si="45"/>
        <v>8.928</v>
      </c>
      <c r="J236">
        <f t="shared" si="46"/>
        <v>12.495</v>
      </c>
      <c r="K236">
        <f t="shared" si="47"/>
        <v>14.123</v>
      </c>
      <c r="L236">
        <f t="shared" si="48"/>
        <v>12.542</v>
      </c>
      <c r="N236">
        <v>7322</v>
      </c>
      <c r="O236">
        <v>12819</v>
      </c>
      <c r="P236">
        <v>7692</v>
      </c>
      <c r="Q236">
        <v>7652</v>
      </c>
      <c r="R236">
        <v>13004</v>
      </c>
      <c r="S236">
        <v>7702</v>
      </c>
      <c r="T236">
        <v>3535</v>
      </c>
      <c r="U236">
        <v>9044</v>
      </c>
      <c r="V236">
        <v>8928</v>
      </c>
      <c r="W236">
        <v>12495</v>
      </c>
      <c r="X236">
        <v>14123</v>
      </c>
      <c r="Y236">
        <v>12542</v>
      </c>
      <c r="AA236" t="s">
        <v>3176</v>
      </c>
      <c r="AC236">
        <v>7279</v>
      </c>
      <c r="AE236">
        <v>7568</v>
      </c>
      <c r="AG236" t="s">
        <v>3177</v>
      </c>
      <c r="AI236">
        <v>3384</v>
      </c>
      <c r="AK236">
        <v>11650</v>
      </c>
      <c r="AP236" t="s">
        <v>3178</v>
      </c>
      <c r="AR236">
        <v>12667</v>
      </c>
      <c r="AT236">
        <v>12971</v>
      </c>
      <c r="AV236" t="s">
        <v>3179</v>
      </c>
      <c r="AX236">
        <v>8907</v>
      </c>
      <c r="AZ236">
        <v>13747</v>
      </c>
      <c r="BB236" t="s">
        <v>3180</v>
      </c>
      <c r="BD236">
        <v>7634</v>
      </c>
      <c r="BF236">
        <v>7643</v>
      </c>
      <c r="BH236" t="s">
        <v>3181</v>
      </c>
      <c r="BJ236">
        <v>8755</v>
      </c>
      <c r="BL236">
        <v>11497</v>
      </c>
    </row>
    <row r="237" spans="1:64">
      <c r="A237">
        <f t="shared" si="37"/>
        <v>7.324</v>
      </c>
      <c r="B237">
        <f t="shared" si="38"/>
        <v>12.823</v>
      </c>
      <c r="C237">
        <f t="shared" si="39"/>
        <v>7.698</v>
      </c>
      <c r="D237">
        <f t="shared" si="40"/>
        <v>7.664</v>
      </c>
      <c r="E237">
        <f t="shared" si="41"/>
        <v>13.004</v>
      </c>
      <c r="F237">
        <f t="shared" si="42"/>
        <v>7.714</v>
      </c>
      <c r="G237">
        <f t="shared" si="43"/>
        <v>3.541</v>
      </c>
      <c r="H237">
        <f t="shared" si="44"/>
        <v>9.05</v>
      </c>
      <c r="I237">
        <f t="shared" si="45"/>
        <v>8.935</v>
      </c>
      <c r="J237">
        <f t="shared" si="46"/>
        <v>12.581</v>
      </c>
      <c r="K237">
        <f t="shared" si="47"/>
        <v>14.131</v>
      </c>
      <c r="L237">
        <f t="shared" si="48"/>
        <v>12.57</v>
      </c>
      <c r="N237">
        <v>7324</v>
      </c>
      <c r="O237">
        <v>12823</v>
      </c>
      <c r="P237">
        <v>7698</v>
      </c>
      <c r="Q237">
        <v>7664</v>
      </c>
      <c r="R237">
        <v>13004</v>
      </c>
      <c r="S237">
        <v>7714</v>
      </c>
      <c r="T237">
        <v>3541</v>
      </c>
      <c r="U237">
        <v>9050</v>
      </c>
      <c r="V237">
        <v>8935</v>
      </c>
      <c r="W237">
        <v>12581</v>
      </c>
      <c r="X237">
        <v>14131</v>
      </c>
      <c r="Y237">
        <v>12570</v>
      </c>
      <c r="AA237" t="s">
        <v>3182</v>
      </c>
      <c r="AC237">
        <v>7286</v>
      </c>
      <c r="AE237">
        <v>7578</v>
      </c>
      <c r="AG237" t="s">
        <v>3183</v>
      </c>
      <c r="AI237">
        <v>3385</v>
      </c>
      <c r="AK237">
        <v>11804</v>
      </c>
      <c r="AP237" t="s">
        <v>3184</v>
      </c>
      <c r="AR237">
        <v>12709</v>
      </c>
      <c r="AT237">
        <v>12978</v>
      </c>
      <c r="AV237" t="s">
        <v>3185</v>
      </c>
      <c r="AX237">
        <v>8980</v>
      </c>
      <c r="AZ237">
        <v>13797</v>
      </c>
      <c r="BB237" t="s">
        <v>3186</v>
      </c>
      <c r="BD237">
        <v>7635</v>
      </c>
      <c r="BF237">
        <v>7660</v>
      </c>
      <c r="BH237" t="s">
        <v>3187</v>
      </c>
      <c r="BJ237">
        <v>8769</v>
      </c>
      <c r="BL237">
        <v>11511</v>
      </c>
    </row>
    <row r="238" spans="1:64">
      <c r="A238">
        <f t="shared" si="37"/>
        <v>7.327</v>
      </c>
      <c r="B238">
        <f t="shared" si="38"/>
        <v>12.825</v>
      </c>
      <c r="C238">
        <f t="shared" si="39"/>
        <v>7.702</v>
      </c>
      <c r="D238">
        <f t="shared" si="40"/>
        <v>7.668</v>
      </c>
      <c r="E238">
        <f t="shared" si="41"/>
        <v>13.009</v>
      </c>
      <c r="F238">
        <f t="shared" si="42"/>
        <v>7.727</v>
      </c>
      <c r="G238">
        <f t="shared" si="43"/>
        <v>3.556</v>
      </c>
      <c r="H238">
        <f t="shared" si="44"/>
        <v>9.071</v>
      </c>
      <c r="I238">
        <f t="shared" si="45"/>
        <v>8.94</v>
      </c>
      <c r="J238">
        <f t="shared" si="46"/>
        <v>12.778</v>
      </c>
      <c r="K238">
        <f t="shared" si="47"/>
        <v>14.229</v>
      </c>
      <c r="L238">
        <f t="shared" si="48"/>
        <v>12.581</v>
      </c>
      <c r="N238">
        <v>7327</v>
      </c>
      <c r="O238">
        <v>12825</v>
      </c>
      <c r="P238">
        <v>7702</v>
      </c>
      <c r="Q238">
        <v>7668</v>
      </c>
      <c r="R238">
        <v>13009</v>
      </c>
      <c r="S238">
        <v>7727</v>
      </c>
      <c r="T238">
        <v>3556</v>
      </c>
      <c r="U238">
        <v>9071</v>
      </c>
      <c r="V238">
        <v>8940</v>
      </c>
      <c r="W238">
        <v>12778</v>
      </c>
      <c r="X238">
        <v>14229</v>
      </c>
      <c r="Y238">
        <v>12581</v>
      </c>
      <c r="AA238" t="s">
        <v>3188</v>
      </c>
      <c r="AC238">
        <v>7294</v>
      </c>
      <c r="AE238">
        <v>7586</v>
      </c>
      <c r="AG238" t="s">
        <v>3189</v>
      </c>
      <c r="AI238">
        <v>3388</v>
      </c>
      <c r="AK238">
        <v>11811</v>
      </c>
      <c r="AP238" t="s">
        <v>3190</v>
      </c>
      <c r="AR238">
        <v>12757</v>
      </c>
      <c r="AT238">
        <v>12984</v>
      </c>
      <c r="AV238" t="s">
        <v>3191</v>
      </c>
      <c r="AX238">
        <v>8991</v>
      </c>
      <c r="AZ238">
        <v>13798</v>
      </c>
      <c r="BB238" t="s">
        <v>3192</v>
      </c>
      <c r="BD238">
        <v>7643</v>
      </c>
      <c r="BF238">
        <v>7670</v>
      </c>
      <c r="BH238" t="s">
        <v>3193</v>
      </c>
      <c r="BJ238">
        <v>8821</v>
      </c>
      <c r="BL238">
        <v>11672</v>
      </c>
    </row>
    <row r="239" spans="1:64">
      <c r="A239">
        <f t="shared" si="37"/>
        <v>7.336</v>
      </c>
      <c r="B239">
        <f t="shared" si="38"/>
        <v>12.846</v>
      </c>
      <c r="C239">
        <f t="shared" si="39"/>
        <v>7.714</v>
      </c>
      <c r="D239">
        <f t="shared" si="40"/>
        <v>7.669</v>
      </c>
      <c r="E239">
        <f t="shared" si="41"/>
        <v>13.009</v>
      </c>
      <c r="F239">
        <f t="shared" si="42"/>
        <v>7.728</v>
      </c>
      <c r="G239">
        <f t="shared" si="43"/>
        <v>3.565</v>
      </c>
      <c r="H239">
        <f t="shared" si="44"/>
        <v>9.072</v>
      </c>
      <c r="I239">
        <f t="shared" si="45"/>
        <v>8.941</v>
      </c>
      <c r="J239">
        <f t="shared" si="46"/>
        <v>12.783</v>
      </c>
      <c r="K239">
        <f t="shared" si="47"/>
        <v>14.239</v>
      </c>
      <c r="L239">
        <f t="shared" si="48"/>
        <v>13.057</v>
      </c>
      <c r="N239">
        <v>7336</v>
      </c>
      <c r="O239">
        <v>12846</v>
      </c>
      <c r="P239">
        <v>7714</v>
      </c>
      <c r="Q239">
        <v>7669</v>
      </c>
      <c r="R239">
        <v>13009</v>
      </c>
      <c r="S239">
        <v>7728</v>
      </c>
      <c r="T239">
        <v>3565</v>
      </c>
      <c r="U239">
        <v>9072</v>
      </c>
      <c r="V239">
        <v>8941</v>
      </c>
      <c r="W239">
        <v>12783</v>
      </c>
      <c r="X239">
        <v>14239</v>
      </c>
      <c r="Y239">
        <v>13057</v>
      </c>
      <c r="AA239" t="s">
        <v>3194</v>
      </c>
      <c r="AC239">
        <v>7296</v>
      </c>
      <c r="AE239">
        <v>7591</v>
      </c>
      <c r="AG239" t="s">
        <v>3195</v>
      </c>
      <c r="AI239">
        <v>3402</v>
      </c>
      <c r="AK239">
        <v>11962</v>
      </c>
      <c r="AP239" t="s">
        <v>3196</v>
      </c>
      <c r="AR239">
        <v>12767</v>
      </c>
      <c r="AT239">
        <v>12986</v>
      </c>
      <c r="AV239" t="s">
        <v>3197</v>
      </c>
      <c r="AX239">
        <v>9015</v>
      </c>
      <c r="AZ239">
        <v>13804</v>
      </c>
      <c r="BB239" t="s">
        <v>3198</v>
      </c>
      <c r="BD239">
        <v>7660</v>
      </c>
      <c r="BF239">
        <v>7671</v>
      </c>
      <c r="BH239" t="s">
        <v>3199</v>
      </c>
      <c r="BJ239">
        <v>8830</v>
      </c>
      <c r="BL239">
        <v>11688</v>
      </c>
    </row>
    <row r="240" spans="1:64">
      <c r="A240">
        <f t="shared" si="37"/>
        <v>7.338</v>
      </c>
      <c r="B240">
        <f t="shared" si="38"/>
        <v>12.847</v>
      </c>
      <c r="C240">
        <f t="shared" si="39"/>
        <v>7.727</v>
      </c>
      <c r="D240">
        <f t="shared" si="40"/>
        <v>7.675</v>
      </c>
      <c r="E240">
        <f t="shared" si="41"/>
        <v>13.016</v>
      </c>
      <c r="F240">
        <f t="shared" si="42"/>
        <v>7.739</v>
      </c>
      <c r="G240">
        <f t="shared" si="43"/>
        <v>3.572</v>
      </c>
      <c r="H240">
        <f t="shared" si="44"/>
        <v>9.125</v>
      </c>
      <c r="I240">
        <f t="shared" si="45"/>
        <v>8.941</v>
      </c>
      <c r="J240">
        <f t="shared" si="46"/>
        <v>12.919</v>
      </c>
      <c r="K240">
        <f t="shared" si="47"/>
        <v>14.26</v>
      </c>
      <c r="L240">
        <f t="shared" si="48"/>
        <v>13.522</v>
      </c>
      <c r="N240">
        <v>7338</v>
      </c>
      <c r="O240">
        <v>12847</v>
      </c>
      <c r="P240">
        <v>7727</v>
      </c>
      <c r="Q240">
        <v>7675</v>
      </c>
      <c r="R240">
        <v>13016</v>
      </c>
      <c r="S240">
        <v>7739</v>
      </c>
      <c r="T240">
        <v>3572</v>
      </c>
      <c r="U240">
        <v>9125</v>
      </c>
      <c r="V240">
        <v>8941</v>
      </c>
      <c r="W240">
        <v>12919</v>
      </c>
      <c r="X240">
        <v>14260</v>
      </c>
      <c r="Y240">
        <v>13522</v>
      </c>
      <c r="AA240" t="s">
        <v>3200</v>
      </c>
      <c r="AC240">
        <v>7307</v>
      </c>
      <c r="AE240">
        <v>7596</v>
      </c>
      <c r="AG240" t="s">
        <v>3201</v>
      </c>
      <c r="AI240">
        <v>3421</v>
      </c>
      <c r="AK240">
        <v>11999</v>
      </c>
      <c r="AP240" t="s">
        <v>3202</v>
      </c>
      <c r="AR240">
        <v>12784</v>
      </c>
      <c r="AT240">
        <v>12994</v>
      </c>
      <c r="AV240" t="s">
        <v>3203</v>
      </c>
      <c r="AX240">
        <v>9020</v>
      </c>
      <c r="AZ240">
        <v>13809</v>
      </c>
      <c r="BB240" t="s">
        <v>3204</v>
      </c>
      <c r="BD240">
        <v>7670</v>
      </c>
      <c r="BF240">
        <v>7676</v>
      </c>
      <c r="BH240" t="s">
        <v>3205</v>
      </c>
      <c r="BJ240">
        <v>8875</v>
      </c>
      <c r="BL240">
        <v>11902</v>
      </c>
    </row>
    <row r="241" spans="1:64">
      <c r="A241">
        <f t="shared" si="37"/>
        <v>7.357</v>
      </c>
      <c r="B241">
        <f t="shared" si="38"/>
        <v>12.848</v>
      </c>
      <c r="C241">
        <f t="shared" si="39"/>
        <v>7.728</v>
      </c>
      <c r="D241">
        <f t="shared" si="40"/>
        <v>7.679</v>
      </c>
      <c r="E241">
        <f t="shared" si="41"/>
        <v>13.017</v>
      </c>
      <c r="F241">
        <f t="shared" si="42"/>
        <v>7.745</v>
      </c>
      <c r="G241">
        <f t="shared" si="43"/>
        <v>3.606</v>
      </c>
      <c r="H241">
        <f t="shared" si="44"/>
        <v>9.131</v>
      </c>
      <c r="I241">
        <f t="shared" si="45"/>
        <v>8.952</v>
      </c>
      <c r="J241">
        <f t="shared" si="46"/>
        <v>13.042</v>
      </c>
      <c r="K241">
        <f t="shared" si="47"/>
        <v>14.269</v>
      </c>
      <c r="L241">
        <f t="shared" si="48"/>
        <v>14.109</v>
      </c>
      <c r="N241">
        <v>7357</v>
      </c>
      <c r="O241">
        <v>12848</v>
      </c>
      <c r="P241">
        <v>7728</v>
      </c>
      <c r="Q241">
        <v>7679</v>
      </c>
      <c r="R241">
        <v>13017</v>
      </c>
      <c r="S241">
        <v>7745</v>
      </c>
      <c r="T241">
        <v>3606</v>
      </c>
      <c r="U241">
        <v>9131</v>
      </c>
      <c r="V241">
        <v>8952</v>
      </c>
      <c r="W241">
        <v>13042</v>
      </c>
      <c r="X241">
        <v>14269</v>
      </c>
      <c r="Y241">
        <v>14109</v>
      </c>
      <c r="AA241" t="s">
        <v>3206</v>
      </c>
      <c r="AC241">
        <v>7308</v>
      </c>
      <c r="AE241">
        <v>7600</v>
      </c>
      <c r="AG241" t="s">
        <v>3207</v>
      </c>
      <c r="AI241">
        <v>3488</v>
      </c>
      <c r="AK241">
        <v>12191</v>
      </c>
      <c r="AP241" t="s">
        <v>3208</v>
      </c>
      <c r="AR241">
        <v>12807</v>
      </c>
      <c r="AT241">
        <v>12994</v>
      </c>
      <c r="AV241" t="s">
        <v>3209</v>
      </c>
      <c r="AX241">
        <v>9029</v>
      </c>
      <c r="AZ241">
        <v>13916</v>
      </c>
      <c r="BB241" t="s">
        <v>3210</v>
      </c>
      <c r="BD241">
        <v>7671</v>
      </c>
      <c r="BF241">
        <v>7678</v>
      </c>
      <c r="BH241" t="s">
        <v>3211</v>
      </c>
      <c r="BJ241">
        <v>8879</v>
      </c>
      <c r="BL241">
        <v>11928</v>
      </c>
    </row>
    <row r="242" spans="1:64">
      <c r="A242">
        <f t="shared" si="37"/>
        <v>7.386</v>
      </c>
      <c r="B242">
        <f t="shared" si="38"/>
        <v>12.861</v>
      </c>
      <c r="C242">
        <f t="shared" si="39"/>
        <v>7.739</v>
      </c>
      <c r="D242">
        <f t="shared" si="40"/>
        <v>7.685</v>
      </c>
      <c r="E242">
        <f t="shared" si="41"/>
        <v>13.02</v>
      </c>
      <c r="F242">
        <f t="shared" si="42"/>
        <v>7.746</v>
      </c>
      <c r="G242">
        <f t="shared" si="43"/>
        <v>3.624</v>
      </c>
      <c r="H242">
        <f t="shared" si="44"/>
        <v>9.138</v>
      </c>
      <c r="I242">
        <f t="shared" si="45"/>
        <v>8.99</v>
      </c>
      <c r="J242">
        <f t="shared" si="46"/>
        <v>13.076</v>
      </c>
      <c r="K242">
        <f t="shared" si="47"/>
        <v>14.346</v>
      </c>
      <c r="L242">
        <f t="shared" si="48"/>
        <v>14.23</v>
      </c>
      <c r="N242">
        <v>7386</v>
      </c>
      <c r="O242">
        <v>12861</v>
      </c>
      <c r="P242">
        <v>7739</v>
      </c>
      <c r="Q242">
        <v>7685</v>
      </c>
      <c r="R242">
        <v>13020</v>
      </c>
      <c r="S242">
        <v>7746</v>
      </c>
      <c r="T242">
        <v>3624</v>
      </c>
      <c r="U242">
        <v>9138</v>
      </c>
      <c r="V242">
        <v>8990</v>
      </c>
      <c r="W242">
        <v>13076</v>
      </c>
      <c r="X242">
        <v>14346</v>
      </c>
      <c r="Y242">
        <v>14230</v>
      </c>
      <c r="AA242" t="s">
        <v>3212</v>
      </c>
      <c r="AC242">
        <v>7320</v>
      </c>
      <c r="AE242">
        <v>7602</v>
      </c>
      <c r="AG242" t="s">
        <v>3213</v>
      </c>
      <c r="AI242">
        <v>3511</v>
      </c>
      <c r="AK242">
        <v>12226</v>
      </c>
      <c r="AP242" t="s">
        <v>3214</v>
      </c>
      <c r="AR242">
        <v>12818</v>
      </c>
      <c r="AT242">
        <v>13001</v>
      </c>
      <c r="AV242" t="s">
        <v>3215</v>
      </c>
      <c r="AX242">
        <v>9031</v>
      </c>
      <c r="AZ242">
        <v>14079</v>
      </c>
      <c r="BB242" t="s">
        <v>3216</v>
      </c>
      <c r="BD242">
        <v>7676</v>
      </c>
      <c r="BF242">
        <v>7692</v>
      </c>
      <c r="BH242" t="s">
        <v>3217</v>
      </c>
      <c r="BJ242">
        <v>8883</v>
      </c>
      <c r="BL242">
        <v>12142</v>
      </c>
    </row>
    <row r="243" spans="1:64">
      <c r="A243">
        <f t="shared" si="37"/>
        <v>7.39</v>
      </c>
      <c r="B243">
        <f t="shared" si="38"/>
        <v>12.879</v>
      </c>
      <c r="C243">
        <f t="shared" si="39"/>
        <v>7.745</v>
      </c>
      <c r="D243">
        <f t="shared" si="40"/>
        <v>7.693</v>
      </c>
      <c r="E243">
        <f t="shared" si="41"/>
        <v>13.033</v>
      </c>
      <c r="F243">
        <f t="shared" si="42"/>
        <v>7.749</v>
      </c>
      <c r="G243">
        <f t="shared" si="43"/>
        <v>3.632</v>
      </c>
      <c r="H243">
        <f t="shared" si="44"/>
        <v>9.15</v>
      </c>
      <c r="I243">
        <f t="shared" si="45"/>
        <v>8.997</v>
      </c>
      <c r="J243">
        <f t="shared" si="46"/>
        <v>13.151</v>
      </c>
      <c r="K243">
        <f t="shared" si="47"/>
        <v>14.358</v>
      </c>
      <c r="L243">
        <f t="shared" si="48"/>
        <v>14.253</v>
      </c>
      <c r="N243">
        <v>7390</v>
      </c>
      <c r="O243">
        <v>12879</v>
      </c>
      <c r="P243">
        <v>7745</v>
      </c>
      <c r="Q243">
        <v>7693</v>
      </c>
      <c r="R243">
        <v>13033</v>
      </c>
      <c r="S243">
        <v>7749</v>
      </c>
      <c r="T243">
        <v>3632</v>
      </c>
      <c r="U243">
        <v>9150</v>
      </c>
      <c r="V243">
        <v>8997</v>
      </c>
      <c r="W243">
        <v>13151</v>
      </c>
      <c r="X243">
        <v>14358</v>
      </c>
      <c r="Y243">
        <v>14253</v>
      </c>
      <c r="AA243" t="s">
        <v>3218</v>
      </c>
      <c r="AC243">
        <v>7322</v>
      </c>
      <c r="AE243">
        <v>7631</v>
      </c>
      <c r="AG243" t="s">
        <v>3219</v>
      </c>
      <c r="AI243">
        <v>3517</v>
      </c>
      <c r="AK243">
        <v>12333</v>
      </c>
      <c r="AP243" t="s">
        <v>3220</v>
      </c>
      <c r="AR243">
        <v>12819</v>
      </c>
      <c r="AT243">
        <v>13004</v>
      </c>
      <c r="AV243" t="s">
        <v>3221</v>
      </c>
      <c r="AX243">
        <v>9044</v>
      </c>
      <c r="AZ243">
        <v>14123</v>
      </c>
      <c r="BB243" t="s">
        <v>3222</v>
      </c>
      <c r="BD243">
        <v>7678</v>
      </c>
      <c r="BF243">
        <v>7698</v>
      </c>
      <c r="BH243" t="s">
        <v>3223</v>
      </c>
      <c r="BJ243">
        <v>8896</v>
      </c>
      <c r="BL243">
        <v>12284</v>
      </c>
    </row>
    <row r="244" spans="1:64">
      <c r="A244">
        <f t="shared" si="37"/>
        <v>7.405</v>
      </c>
      <c r="B244">
        <f t="shared" si="38"/>
        <v>12.882</v>
      </c>
      <c r="C244">
        <f t="shared" si="39"/>
        <v>7.746</v>
      </c>
      <c r="D244">
        <f t="shared" si="40"/>
        <v>7.695</v>
      </c>
      <c r="E244">
        <f t="shared" si="41"/>
        <v>13.034</v>
      </c>
      <c r="F244">
        <f t="shared" si="42"/>
        <v>7.759</v>
      </c>
      <c r="G244">
        <f t="shared" si="43"/>
        <v>3.648</v>
      </c>
      <c r="H244">
        <f t="shared" si="44"/>
        <v>9.173</v>
      </c>
      <c r="I244">
        <f t="shared" si="45"/>
        <v>9.042</v>
      </c>
      <c r="J244">
        <f t="shared" si="46"/>
        <v>13.583</v>
      </c>
      <c r="K244">
        <f t="shared" si="47"/>
        <v>14.474</v>
      </c>
      <c r="L244">
        <f t="shared" si="48"/>
        <v>14.411</v>
      </c>
      <c r="N244">
        <v>7405</v>
      </c>
      <c r="O244">
        <v>12882</v>
      </c>
      <c r="P244">
        <v>7746</v>
      </c>
      <c r="Q244">
        <v>7695</v>
      </c>
      <c r="R244">
        <v>13034</v>
      </c>
      <c r="S244">
        <v>7759</v>
      </c>
      <c r="T244">
        <v>3648</v>
      </c>
      <c r="U244">
        <v>9173</v>
      </c>
      <c r="V244">
        <v>9042</v>
      </c>
      <c r="W244">
        <v>13583</v>
      </c>
      <c r="X244">
        <v>14474</v>
      </c>
      <c r="Y244">
        <v>14411</v>
      </c>
      <c r="AA244" t="s">
        <v>3224</v>
      </c>
      <c r="AC244">
        <v>7322</v>
      </c>
      <c r="AE244">
        <v>7652</v>
      </c>
      <c r="AG244" t="s">
        <v>3225</v>
      </c>
      <c r="AI244">
        <v>3535</v>
      </c>
      <c r="AK244">
        <v>12495</v>
      </c>
      <c r="AP244" t="s">
        <v>3226</v>
      </c>
      <c r="AR244">
        <v>12823</v>
      </c>
      <c r="AT244">
        <v>13004</v>
      </c>
      <c r="AV244" t="s">
        <v>3227</v>
      </c>
      <c r="AX244">
        <v>9050</v>
      </c>
      <c r="AZ244">
        <v>14131</v>
      </c>
      <c r="BB244" t="s">
        <v>3228</v>
      </c>
      <c r="BD244">
        <v>7692</v>
      </c>
      <c r="BF244">
        <v>7702</v>
      </c>
      <c r="BH244" t="s">
        <v>3229</v>
      </c>
      <c r="BJ244">
        <v>8928</v>
      </c>
      <c r="BL244">
        <v>12542</v>
      </c>
    </row>
    <row r="245" spans="1:64">
      <c r="A245">
        <f t="shared" si="37"/>
        <v>7.413</v>
      </c>
      <c r="B245">
        <f t="shared" si="38"/>
        <v>12.885</v>
      </c>
      <c r="C245">
        <f t="shared" si="39"/>
        <v>7.749</v>
      </c>
      <c r="D245">
        <f t="shared" si="40"/>
        <v>7.697</v>
      </c>
      <c r="E245">
        <f t="shared" si="41"/>
        <v>13.057</v>
      </c>
      <c r="F245">
        <f t="shared" si="42"/>
        <v>7.762</v>
      </c>
      <c r="G245">
        <f t="shared" si="43"/>
        <v>3.661</v>
      </c>
      <c r="H245">
        <f t="shared" si="44"/>
        <v>9.187</v>
      </c>
      <c r="I245">
        <f t="shared" si="45"/>
        <v>9.083</v>
      </c>
      <c r="J245">
        <f t="shared" si="46"/>
        <v>13.689</v>
      </c>
      <c r="K245">
        <f t="shared" si="47"/>
        <v>14.526</v>
      </c>
      <c r="L245">
        <f t="shared" si="48"/>
        <v>14.419</v>
      </c>
      <c r="N245">
        <v>7413</v>
      </c>
      <c r="O245">
        <v>12885</v>
      </c>
      <c r="P245">
        <v>7749</v>
      </c>
      <c r="Q245">
        <v>7697</v>
      </c>
      <c r="R245">
        <v>13057</v>
      </c>
      <c r="S245">
        <v>7762</v>
      </c>
      <c r="T245">
        <v>3661</v>
      </c>
      <c r="U245">
        <v>9187</v>
      </c>
      <c r="V245">
        <v>9083</v>
      </c>
      <c r="W245">
        <v>13689</v>
      </c>
      <c r="X245">
        <v>14526</v>
      </c>
      <c r="Y245">
        <v>14419</v>
      </c>
      <c r="AA245" t="s">
        <v>3230</v>
      </c>
      <c r="AC245">
        <v>7324</v>
      </c>
      <c r="AE245">
        <v>7664</v>
      </c>
      <c r="AG245" t="s">
        <v>3231</v>
      </c>
      <c r="AI245">
        <v>3541</v>
      </c>
      <c r="AK245">
        <v>12581</v>
      </c>
      <c r="AP245" t="s">
        <v>3232</v>
      </c>
      <c r="AR245">
        <v>12825</v>
      </c>
      <c r="AT245">
        <v>13009</v>
      </c>
      <c r="AV245" t="s">
        <v>3233</v>
      </c>
      <c r="AX245">
        <v>9071</v>
      </c>
      <c r="AZ245">
        <v>14229</v>
      </c>
      <c r="BB245" t="s">
        <v>3234</v>
      </c>
      <c r="BD245">
        <v>7698</v>
      </c>
      <c r="BF245">
        <v>7714</v>
      </c>
      <c r="BH245" t="s">
        <v>3235</v>
      </c>
      <c r="BJ245">
        <v>8935</v>
      </c>
      <c r="BL245">
        <v>12570</v>
      </c>
    </row>
    <row r="246" spans="1:64">
      <c r="A246">
        <f t="shared" si="37"/>
        <v>7.427</v>
      </c>
      <c r="B246">
        <f t="shared" si="38"/>
        <v>12.899</v>
      </c>
      <c r="C246">
        <f t="shared" si="39"/>
        <v>7.759</v>
      </c>
      <c r="D246">
        <f t="shared" si="40"/>
        <v>7.698</v>
      </c>
      <c r="E246">
        <f t="shared" si="41"/>
        <v>13.059</v>
      </c>
      <c r="F246">
        <f t="shared" si="42"/>
        <v>7.78</v>
      </c>
      <c r="G246">
        <f t="shared" si="43"/>
        <v>3.671</v>
      </c>
      <c r="H246">
        <f t="shared" si="44"/>
        <v>9.198</v>
      </c>
      <c r="I246">
        <f t="shared" si="45"/>
        <v>9.101</v>
      </c>
      <c r="J246">
        <f t="shared" si="46"/>
        <v>13.709</v>
      </c>
      <c r="K246">
        <f t="shared" si="47"/>
        <v>14.527</v>
      </c>
      <c r="L246">
        <f t="shared" si="48"/>
        <v>14.885</v>
      </c>
      <c r="N246">
        <v>7427</v>
      </c>
      <c r="O246">
        <v>12899</v>
      </c>
      <c r="P246">
        <v>7759</v>
      </c>
      <c r="Q246">
        <v>7698</v>
      </c>
      <c r="R246">
        <v>13059</v>
      </c>
      <c r="S246">
        <v>7780</v>
      </c>
      <c r="T246">
        <v>3671</v>
      </c>
      <c r="U246">
        <v>9198</v>
      </c>
      <c r="V246">
        <v>9101</v>
      </c>
      <c r="W246">
        <v>13709</v>
      </c>
      <c r="X246">
        <v>14527</v>
      </c>
      <c r="Y246">
        <v>14885</v>
      </c>
      <c r="AA246" t="s">
        <v>3236</v>
      </c>
      <c r="AC246">
        <v>7327</v>
      </c>
      <c r="AE246">
        <v>7668</v>
      </c>
      <c r="AG246" t="s">
        <v>3237</v>
      </c>
      <c r="AI246">
        <v>3556</v>
      </c>
      <c r="AK246">
        <v>12778</v>
      </c>
      <c r="AP246" t="s">
        <v>3238</v>
      </c>
      <c r="AR246">
        <v>12846</v>
      </c>
      <c r="AT246">
        <v>13009</v>
      </c>
      <c r="AV246" t="s">
        <v>3239</v>
      </c>
      <c r="AX246">
        <v>9072</v>
      </c>
      <c r="AZ246">
        <v>14239</v>
      </c>
      <c r="BB246" t="s">
        <v>3240</v>
      </c>
      <c r="BD246">
        <v>7702</v>
      </c>
      <c r="BF246">
        <v>7727</v>
      </c>
      <c r="BH246" t="s">
        <v>3241</v>
      </c>
      <c r="BJ246">
        <v>8940</v>
      </c>
      <c r="BL246">
        <v>12581</v>
      </c>
    </row>
    <row r="247" spans="1:64">
      <c r="A247">
        <f t="shared" si="37"/>
        <v>7.452</v>
      </c>
      <c r="B247">
        <f t="shared" si="38"/>
        <v>12.907</v>
      </c>
      <c r="C247">
        <f t="shared" si="39"/>
        <v>7.762</v>
      </c>
      <c r="D247">
        <f t="shared" si="40"/>
        <v>7.7</v>
      </c>
      <c r="E247">
        <f t="shared" si="41"/>
        <v>13.067</v>
      </c>
      <c r="F247">
        <f t="shared" si="42"/>
        <v>7.792</v>
      </c>
      <c r="G247">
        <f t="shared" si="43"/>
        <v>3.688</v>
      </c>
      <c r="H247">
        <f t="shared" si="44"/>
        <v>9.227</v>
      </c>
      <c r="I247">
        <f t="shared" si="45"/>
        <v>9.11</v>
      </c>
      <c r="J247">
        <f t="shared" si="46"/>
        <v>13.842</v>
      </c>
      <c r="K247">
        <f t="shared" si="47"/>
        <v>14.542</v>
      </c>
      <c r="L247">
        <f t="shared" si="48"/>
        <v>15.019</v>
      </c>
      <c r="N247">
        <v>7452</v>
      </c>
      <c r="O247">
        <v>12907</v>
      </c>
      <c r="P247">
        <v>7762</v>
      </c>
      <c r="Q247">
        <v>7700</v>
      </c>
      <c r="R247">
        <v>13067</v>
      </c>
      <c r="S247">
        <v>7792</v>
      </c>
      <c r="T247">
        <v>3688</v>
      </c>
      <c r="U247">
        <v>9227</v>
      </c>
      <c r="V247">
        <v>9110</v>
      </c>
      <c r="W247">
        <v>13842</v>
      </c>
      <c r="X247">
        <v>14542</v>
      </c>
      <c r="Y247">
        <v>15019</v>
      </c>
      <c r="AA247" t="s">
        <v>3242</v>
      </c>
      <c r="AC247">
        <v>7336</v>
      </c>
      <c r="AE247">
        <v>7669</v>
      </c>
      <c r="AG247" t="s">
        <v>3243</v>
      </c>
      <c r="AI247">
        <v>3565</v>
      </c>
      <c r="AK247">
        <v>12783</v>
      </c>
      <c r="AP247" t="s">
        <v>3244</v>
      </c>
      <c r="AR247">
        <v>12847</v>
      </c>
      <c r="AT247">
        <v>13016</v>
      </c>
      <c r="AV247" t="s">
        <v>3245</v>
      </c>
      <c r="AX247">
        <v>9125</v>
      </c>
      <c r="AZ247">
        <v>14260</v>
      </c>
      <c r="BB247" t="s">
        <v>3246</v>
      </c>
      <c r="BD247">
        <v>7714</v>
      </c>
      <c r="BF247">
        <v>7728</v>
      </c>
      <c r="BH247" t="s">
        <v>3247</v>
      </c>
      <c r="BJ247">
        <v>8941</v>
      </c>
      <c r="BL247">
        <v>13057</v>
      </c>
    </row>
    <row r="248" spans="1:64">
      <c r="A248">
        <f t="shared" si="37"/>
        <v>7.458</v>
      </c>
      <c r="B248">
        <f t="shared" si="38"/>
        <v>12.912</v>
      </c>
      <c r="C248">
        <f t="shared" si="39"/>
        <v>7.78</v>
      </c>
      <c r="D248">
        <f t="shared" si="40"/>
        <v>7.703</v>
      </c>
      <c r="E248">
        <f t="shared" si="41"/>
        <v>13.072</v>
      </c>
      <c r="F248">
        <f t="shared" si="42"/>
        <v>7.797</v>
      </c>
      <c r="G248">
        <f t="shared" si="43"/>
        <v>3.699</v>
      </c>
      <c r="H248">
        <f t="shared" si="44"/>
        <v>9.234</v>
      </c>
      <c r="I248">
        <f t="shared" si="45"/>
        <v>9.135</v>
      </c>
      <c r="J248">
        <f t="shared" si="46"/>
        <v>13.843</v>
      </c>
      <c r="K248">
        <f t="shared" si="47"/>
        <v>14.643</v>
      </c>
      <c r="L248">
        <f t="shared" si="48"/>
        <v>15.138</v>
      </c>
      <c r="N248">
        <v>7458</v>
      </c>
      <c r="O248">
        <v>12912</v>
      </c>
      <c r="P248">
        <v>7780</v>
      </c>
      <c r="Q248">
        <v>7703</v>
      </c>
      <c r="R248">
        <v>13072</v>
      </c>
      <c r="S248">
        <v>7797</v>
      </c>
      <c r="T248">
        <v>3699</v>
      </c>
      <c r="U248">
        <v>9234</v>
      </c>
      <c r="V248">
        <v>9135</v>
      </c>
      <c r="W248">
        <v>13843</v>
      </c>
      <c r="X248">
        <v>14643</v>
      </c>
      <c r="Y248">
        <v>15138</v>
      </c>
      <c r="AA248" t="s">
        <v>3248</v>
      </c>
      <c r="AC248">
        <v>7338</v>
      </c>
      <c r="AE248">
        <v>7675</v>
      </c>
      <c r="AG248" t="s">
        <v>3249</v>
      </c>
      <c r="AI248">
        <v>3572</v>
      </c>
      <c r="AK248">
        <v>12919</v>
      </c>
      <c r="AP248" t="s">
        <v>3250</v>
      </c>
      <c r="AR248">
        <v>12848</v>
      </c>
      <c r="AT248">
        <v>13017</v>
      </c>
      <c r="AV248" t="s">
        <v>3251</v>
      </c>
      <c r="AX248">
        <v>9131</v>
      </c>
      <c r="AZ248">
        <v>14269</v>
      </c>
      <c r="BB248" t="s">
        <v>3252</v>
      </c>
      <c r="BD248">
        <v>7727</v>
      </c>
      <c r="BF248">
        <v>7739</v>
      </c>
      <c r="BH248" t="s">
        <v>3253</v>
      </c>
      <c r="BJ248">
        <v>8941</v>
      </c>
      <c r="BL248">
        <v>13522</v>
      </c>
    </row>
    <row r="249" spans="1:64">
      <c r="A249">
        <f t="shared" si="37"/>
        <v>7.465</v>
      </c>
      <c r="B249">
        <f t="shared" si="38"/>
        <v>12.913</v>
      </c>
      <c r="C249">
        <f t="shared" si="39"/>
        <v>7.792</v>
      </c>
      <c r="D249">
        <f t="shared" si="40"/>
        <v>7.718</v>
      </c>
      <c r="E249">
        <f t="shared" si="41"/>
        <v>13.075</v>
      </c>
      <c r="F249">
        <f t="shared" si="42"/>
        <v>7.822</v>
      </c>
      <c r="G249">
        <f t="shared" si="43"/>
        <v>3.703</v>
      </c>
      <c r="H249">
        <f t="shared" si="44"/>
        <v>9.242</v>
      </c>
      <c r="I249">
        <f t="shared" si="45"/>
        <v>9.141</v>
      </c>
      <c r="J249">
        <f t="shared" si="46"/>
        <v>13.989</v>
      </c>
      <c r="K249">
        <f t="shared" si="47"/>
        <v>14.655</v>
      </c>
      <c r="L249">
        <f t="shared" si="48"/>
        <v>15.339</v>
      </c>
      <c r="N249">
        <v>7465</v>
      </c>
      <c r="O249">
        <v>12913</v>
      </c>
      <c r="P249">
        <v>7792</v>
      </c>
      <c r="Q249">
        <v>7718</v>
      </c>
      <c r="R249">
        <v>13075</v>
      </c>
      <c r="S249">
        <v>7822</v>
      </c>
      <c r="T249">
        <v>3703</v>
      </c>
      <c r="U249">
        <v>9242</v>
      </c>
      <c r="V249">
        <v>9141</v>
      </c>
      <c r="W249">
        <v>13989</v>
      </c>
      <c r="X249">
        <v>14655</v>
      </c>
      <c r="Y249">
        <v>15339</v>
      </c>
      <c r="AA249" t="s">
        <v>3254</v>
      </c>
      <c r="AC249">
        <v>7357</v>
      </c>
      <c r="AE249">
        <v>7679</v>
      </c>
      <c r="AG249" t="s">
        <v>3255</v>
      </c>
      <c r="AI249">
        <v>3606</v>
      </c>
      <c r="AK249">
        <v>13042</v>
      </c>
      <c r="AP249" t="s">
        <v>3256</v>
      </c>
      <c r="AR249">
        <v>12861</v>
      </c>
      <c r="AT249">
        <v>13020</v>
      </c>
      <c r="AV249" t="s">
        <v>3257</v>
      </c>
      <c r="AX249">
        <v>9138</v>
      </c>
      <c r="AZ249">
        <v>14346</v>
      </c>
      <c r="BB249" t="s">
        <v>3258</v>
      </c>
      <c r="BD249">
        <v>7728</v>
      </c>
      <c r="BF249">
        <v>7745</v>
      </c>
      <c r="BH249" t="s">
        <v>3259</v>
      </c>
      <c r="BJ249">
        <v>8952</v>
      </c>
      <c r="BL249">
        <v>14109</v>
      </c>
    </row>
    <row r="250" spans="1:64">
      <c r="A250">
        <f t="shared" si="37"/>
        <v>7.465</v>
      </c>
      <c r="B250">
        <f t="shared" si="38"/>
        <v>12.935</v>
      </c>
      <c r="C250">
        <f t="shared" si="39"/>
        <v>7.794</v>
      </c>
      <c r="D250">
        <f t="shared" si="40"/>
        <v>7.722</v>
      </c>
      <c r="E250">
        <f t="shared" si="41"/>
        <v>13.078</v>
      </c>
      <c r="F250">
        <f t="shared" si="42"/>
        <v>7.829</v>
      </c>
      <c r="G250">
        <f t="shared" si="43"/>
        <v>3.729</v>
      </c>
      <c r="H250">
        <f t="shared" si="44"/>
        <v>9.254</v>
      </c>
      <c r="I250">
        <f t="shared" si="45"/>
        <v>9.159</v>
      </c>
      <c r="J250">
        <f t="shared" si="46"/>
        <v>14.04</v>
      </c>
      <c r="K250">
        <f t="shared" si="47"/>
        <v>14.88</v>
      </c>
      <c r="L250">
        <f t="shared" si="48"/>
        <v>15.375</v>
      </c>
      <c r="N250">
        <v>7465</v>
      </c>
      <c r="O250">
        <v>12935</v>
      </c>
      <c r="P250">
        <v>7794</v>
      </c>
      <c r="Q250">
        <v>7722</v>
      </c>
      <c r="R250">
        <v>13078</v>
      </c>
      <c r="S250">
        <v>7829</v>
      </c>
      <c r="T250">
        <v>3729</v>
      </c>
      <c r="U250">
        <v>9254</v>
      </c>
      <c r="V250">
        <v>9159</v>
      </c>
      <c r="W250">
        <v>14040</v>
      </c>
      <c r="X250">
        <v>14880</v>
      </c>
      <c r="Y250">
        <v>15375</v>
      </c>
      <c r="AA250" t="s">
        <v>3260</v>
      </c>
      <c r="AC250">
        <v>7386</v>
      </c>
      <c r="AE250">
        <v>7685</v>
      </c>
      <c r="AG250" t="s">
        <v>3261</v>
      </c>
      <c r="AI250">
        <v>3624</v>
      </c>
      <c r="AK250">
        <v>13076</v>
      </c>
      <c r="AP250" t="s">
        <v>3262</v>
      </c>
      <c r="AR250">
        <v>12879</v>
      </c>
      <c r="AT250">
        <v>13033</v>
      </c>
      <c r="AV250" t="s">
        <v>3263</v>
      </c>
      <c r="AX250">
        <v>9150</v>
      </c>
      <c r="AZ250">
        <v>14358</v>
      </c>
      <c r="BB250" t="s">
        <v>3264</v>
      </c>
      <c r="BD250">
        <v>7739</v>
      </c>
      <c r="BF250">
        <v>7746</v>
      </c>
      <c r="BH250" t="s">
        <v>3265</v>
      </c>
      <c r="BJ250">
        <v>8990</v>
      </c>
      <c r="BL250">
        <v>14230</v>
      </c>
    </row>
    <row r="251" spans="1:64">
      <c r="A251">
        <f t="shared" si="37"/>
        <v>7.467</v>
      </c>
      <c r="B251">
        <f t="shared" si="38"/>
        <v>12.94</v>
      </c>
      <c r="C251">
        <f t="shared" si="39"/>
        <v>7.797</v>
      </c>
      <c r="D251">
        <f t="shared" si="40"/>
        <v>7.732</v>
      </c>
      <c r="E251">
        <f t="shared" si="41"/>
        <v>13.098</v>
      </c>
      <c r="F251">
        <f t="shared" si="42"/>
        <v>7.843</v>
      </c>
      <c r="G251">
        <f t="shared" si="43"/>
        <v>3.739</v>
      </c>
      <c r="H251">
        <f t="shared" si="44"/>
        <v>9.269</v>
      </c>
      <c r="I251">
        <f t="shared" si="45"/>
        <v>9.163</v>
      </c>
      <c r="J251">
        <f t="shared" si="46"/>
        <v>14.136</v>
      </c>
      <c r="K251">
        <f t="shared" si="47"/>
        <v>14.881</v>
      </c>
      <c r="L251">
        <f t="shared" si="48"/>
        <v>15.542</v>
      </c>
      <c r="N251">
        <v>7467</v>
      </c>
      <c r="O251">
        <v>12940</v>
      </c>
      <c r="P251">
        <v>7797</v>
      </c>
      <c r="Q251">
        <v>7732</v>
      </c>
      <c r="R251">
        <v>13098</v>
      </c>
      <c r="S251">
        <v>7843</v>
      </c>
      <c r="T251">
        <v>3739</v>
      </c>
      <c r="U251">
        <v>9269</v>
      </c>
      <c r="V251">
        <v>9163</v>
      </c>
      <c r="W251">
        <v>14136</v>
      </c>
      <c r="X251">
        <v>14881</v>
      </c>
      <c r="Y251">
        <v>15542</v>
      </c>
      <c r="AA251" t="s">
        <v>3266</v>
      </c>
      <c r="AC251">
        <v>7390</v>
      </c>
      <c r="AE251">
        <v>7693</v>
      </c>
      <c r="AG251" t="s">
        <v>3267</v>
      </c>
      <c r="AI251">
        <v>3632</v>
      </c>
      <c r="AK251">
        <v>13151</v>
      </c>
      <c r="AP251" t="s">
        <v>3268</v>
      </c>
      <c r="AR251">
        <v>12882</v>
      </c>
      <c r="AT251">
        <v>13034</v>
      </c>
      <c r="AV251" t="s">
        <v>3269</v>
      </c>
      <c r="AX251">
        <v>9173</v>
      </c>
      <c r="AZ251">
        <v>14474</v>
      </c>
      <c r="BB251" t="s">
        <v>3270</v>
      </c>
      <c r="BD251">
        <v>7745</v>
      </c>
      <c r="BF251">
        <v>7749</v>
      </c>
      <c r="BH251" t="s">
        <v>3271</v>
      </c>
      <c r="BJ251">
        <v>8997</v>
      </c>
      <c r="BL251">
        <v>14253</v>
      </c>
    </row>
    <row r="252" spans="1:64">
      <c r="A252">
        <f t="shared" si="37"/>
        <v>7.474</v>
      </c>
      <c r="B252">
        <f t="shared" si="38"/>
        <v>12.957</v>
      </c>
      <c r="C252">
        <f t="shared" si="39"/>
        <v>7.822</v>
      </c>
      <c r="D252">
        <f t="shared" si="40"/>
        <v>7.741</v>
      </c>
      <c r="E252">
        <f t="shared" si="41"/>
        <v>13.105</v>
      </c>
      <c r="F252">
        <f t="shared" si="42"/>
        <v>7.843</v>
      </c>
      <c r="G252">
        <f t="shared" si="43"/>
        <v>3.746</v>
      </c>
      <c r="H252">
        <f t="shared" si="44"/>
        <v>9.28</v>
      </c>
      <c r="I252">
        <f t="shared" si="45"/>
        <v>9.185</v>
      </c>
      <c r="J252">
        <f t="shared" si="46"/>
        <v>14.161</v>
      </c>
      <c r="K252">
        <f t="shared" si="47"/>
        <v>15.047</v>
      </c>
      <c r="L252">
        <f t="shared" si="48"/>
        <v>15.905</v>
      </c>
      <c r="N252">
        <v>7474</v>
      </c>
      <c r="O252">
        <v>12957</v>
      </c>
      <c r="P252">
        <v>7822</v>
      </c>
      <c r="Q252">
        <v>7741</v>
      </c>
      <c r="R252">
        <v>13105</v>
      </c>
      <c r="S252">
        <v>7843</v>
      </c>
      <c r="T252">
        <v>3746</v>
      </c>
      <c r="U252">
        <v>9280</v>
      </c>
      <c r="V252">
        <v>9185</v>
      </c>
      <c r="W252">
        <v>14161</v>
      </c>
      <c r="X252">
        <v>15047</v>
      </c>
      <c r="Y252">
        <v>15905</v>
      </c>
      <c r="AA252" t="s">
        <v>3272</v>
      </c>
      <c r="AC252">
        <v>7405</v>
      </c>
      <c r="AE252">
        <v>7695</v>
      </c>
      <c r="AG252" t="s">
        <v>3273</v>
      </c>
      <c r="AI252">
        <v>3648</v>
      </c>
      <c r="AK252">
        <v>13583</v>
      </c>
      <c r="AP252" t="s">
        <v>3274</v>
      </c>
      <c r="AR252">
        <v>12885</v>
      </c>
      <c r="AT252">
        <v>13057</v>
      </c>
      <c r="AV252" t="s">
        <v>3275</v>
      </c>
      <c r="AX252">
        <v>9187</v>
      </c>
      <c r="AZ252">
        <v>14526</v>
      </c>
      <c r="BB252" t="s">
        <v>3276</v>
      </c>
      <c r="BD252">
        <v>7746</v>
      </c>
      <c r="BF252">
        <v>7759</v>
      </c>
      <c r="BH252" t="s">
        <v>3277</v>
      </c>
      <c r="BJ252">
        <v>9042</v>
      </c>
      <c r="BL252">
        <v>14411</v>
      </c>
    </row>
    <row r="253" spans="1:64">
      <c r="A253">
        <f t="shared" si="37"/>
        <v>7.478</v>
      </c>
      <c r="B253">
        <f t="shared" si="38"/>
        <v>12.959</v>
      </c>
      <c r="C253">
        <f t="shared" si="39"/>
        <v>7.822</v>
      </c>
      <c r="D253">
        <f t="shared" si="40"/>
        <v>7.742</v>
      </c>
      <c r="E253">
        <f t="shared" si="41"/>
        <v>13.111</v>
      </c>
      <c r="F253">
        <f t="shared" si="42"/>
        <v>7.865</v>
      </c>
      <c r="G253">
        <f t="shared" si="43"/>
        <v>3.751</v>
      </c>
      <c r="H253">
        <f t="shared" si="44"/>
        <v>9.304</v>
      </c>
      <c r="I253">
        <f t="shared" si="45"/>
        <v>9.186</v>
      </c>
      <c r="J253">
        <f t="shared" si="46"/>
        <v>14.17</v>
      </c>
      <c r="K253">
        <f t="shared" si="47"/>
        <v>15.104</v>
      </c>
      <c r="L253">
        <f t="shared" si="48"/>
        <v>16.256</v>
      </c>
      <c r="N253">
        <v>7478</v>
      </c>
      <c r="O253">
        <v>12959</v>
      </c>
      <c r="P253">
        <v>7822</v>
      </c>
      <c r="Q253">
        <v>7742</v>
      </c>
      <c r="R253">
        <v>13111</v>
      </c>
      <c r="S253">
        <v>7865</v>
      </c>
      <c r="T253">
        <v>3751</v>
      </c>
      <c r="U253">
        <v>9304</v>
      </c>
      <c r="V253">
        <v>9186</v>
      </c>
      <c r="W253">
        <v>14170</v>
      </c>
      <c r="X253">
        <v>15104</v>
      </c>
      <c r="Y253">
        <v>16256</v>
      </c>
      <c r="AA253" t="s">
        <v>3278</v>
      </c>
      <c r="AC253">
        <v>7413</v>
      </c>
      <c r="AE253">
        <v>7697</v>
      </c>
      <c r="AG253" t="s">
        <v>3279</v>
      </c>
      <c r="AI253">
        <v>3661</v>
      </c>
      <c r="AK253">
        <v>13689</v>
      </c>
      <c r="AP253" t="s">
        <v>3280</v>
      </c>
      <c r="AR253">
        <v>12899</v>
      </c>
      <c r="AT253">
        <v>13059</v>
      </c>
      <c r="AV253" t="s">
        <v>3281</v>
      </c>
      <c r="AX253">
        <v>9198</v>
      </c>
      <c r="AZ253">
        <v>14527</v>
      </c>
      <c r="BB253" t="s">
        <v>3282</v>
      </c>
      <c r="BD253">
        <v>7749</v>
      </c>
      <c r="BF253">
        <v>7762</v>
      </c>
      <c r="BH253" t="s">
        <v>3283</v>
      </c>
      <c r="BJ253">
        <v>9083</v>
      </c>
      <c r="BL253">
        <v>14419</v>
      </c>
    </row>
    <row r="254" spans="1:64">
      <c r="A254">
        <f t="shared" si="37"/>
        <v>7.53</v>
      </c>
      <c r="B254">
        <f t="shared" si="38"/>
        <v>12.961</v>
      </c>
      <c r="C254">
        <f t="shared" si="39"/>
        <v>7.829</v>
      </c>
      <c r="D254">
        <f t="shared" si="40"/>
        <v>7.753</v>
      </c>
      <c r="E254">
        <f t="shared" si="41"/>
        <v>13.125</v>
      </c>
      <c r="F254">
        <f t="shared" si="42"/>
        <v>7.88</v>
      </c>
      <c r="G254">
        <f t="shared" si="43"/>
        <v>3.757</v>
      </c>
      <c r="H254">
        <f t="shared" si="44"/>
        <v>9.331</v>
      </c>
      <c r="I254">
        <f t="shared" si="45"/>
        <v>9.187</v>
      </c>
      <c r="J254">
        <f t="shared" si="46"/>
        <v>14.192</v>
      </c>
      <c r="K254">
        <f t="shared" si="47"/>
        <v>15.107</v>
      </c>
      <c r="L254">
        <f t="shared" si="48"/>
        <v>16.267</v>
      </c>
      <c r="N254">
        <v>7530</v>
      </c>
      <c r="O254">
        <v>12961</v>
      </c>
      <c r="P254">
        <v>7829</v>
      </c>
      <c r="Q254">
        <v>7753</v>
      </c>
      <c r="R254">
        <v>13125</v>
      </c>
      <c r="S254">
        <v>7880</v>
      </c>
      <c r="T254">
        <v>3757</v>
      </c>
      <c r="U254">
        <v>9331</v>
      </c>
      <c r="V254">
        <v>9187</v>
      </c>
      <c r="W254">
        <v>14192</v>
      </c>
      <c r="X254">
        <v>15107</v>
      </c>
      <c r="Y254">
        <v>16267</v>
      </c>
      <c r="AA254" t="s">
        <v>3284</v>
      </c>
      <c r="AC254">
        <v>7427</v>
      </c>
      <c r="AE254">
        <v>7698</v>
      </c>
      <c r="AG254" t="s">
        <v>3285</v>
      </c>
      <c r="AI254">
        <v>3671</v>
      </c>
      <c r="AK254">
        <v>13709</v>
      </c>
      <c r="AP254" t="s">
        <v>3286</v>
      </c>
      <c r="AR254">
        <v>12907</v>
      </c>
      <c r="AT254">
        <v>13067</v>
      </c>
      <c r="AV254" t="s">
        <v>3287</v>
      </c>
      <c r="AX254">
        <v>9227</v>
      </c>
      <c r="AZ254">
        <v>14542</v>
      </c>
      <c r="BB254" t="s">
        <v>3288</v>
      </c>
      <c r="BD254">
        <v>7759</v>
      </c>
      <c r="BF254">
        <v>7780</v>
      </c>
      <c r="BH254" t="s">
        <v>3289</v>
      </c>
      <c r="BJ254">
        <v>9101</v>
      </c>
      <c r="BL254">
        <v>14885</v>
      </c>
    </row>
    <row r="255" spans="1:64">
      <c r="A255">
        <f t="shared" si="37"/>
        <v>7.533</v>
      </c>
      <c r="B255">
        <f t="shared" si="38"/>
        <v>12.967</v>
      </c>
      <c r="C255">
        <f t="shared" si="39"/>
        <v>7.843</v>
      </c>
      <c r="D255">
        <f t="shared" si="40"/>
        <v>7.753</v>
      </c>
      <c r="E255">
        <f t="shared" si="41"/>
        <v>13.151</v>
      </c>
      <c r="F255">
        <f t="shared" si="42"/>
        <v>7.883</v>
      </c>
      <c r="G255">
        <f t="shared" si="43"/>
        <v>3.773</v>
      </c>
      <c r="H255">
        <f t="shared" si="44"/>
        <v>9.339</v>
      </c>
      <c r="I255">
        <f t="shared" si="45"/>
        <v>9.227</v>
      </c>
      <c r="J255">
        <f t="shared" si="46"/>
        <v>14.339</v>
      </c>
      <c r="K255">
        <f t="shared" si="47"/>
        <v>15.129</v>
      </c>
      <c r="L255">
        <f t="shared" si="48"/>
        <v>16.896</v>
      </c>
      <c r="N255">
        <v>7533</v>
      </c>
      <c r="O255">
        <v>12967</v>
      </c>
      <c r="P255">
        <v>7843</v>
      </c>
      <c r="Q255">
        <v>7753</v>
      </c>
      <c r="R255">
        <v>13151</v>
      </c>
      <c r="S255">
        <v>7883</v>
      </c>
      <c r="T255">
        <v>3773</v>
      </c>
      <c r="U255">
        <v>9339</v>
      </c>
      <c r="V255">
        <v>9227</v>
      </c>
      <c r="W255">
        <v>14339</v>
      </c>
      <c r="X255">
        <v>15129</v>
      </c>
      <c r="Y255">
        <v>16896</v>
      </c>
      <c r="AA255" t="s">
        <v>3290</v>
      </c>
      <c r="AC255">
        <v>7452</v>
      </c>
      <c r="AE255">
        <v>7700</v>
      </c>
      <c r="AG255" t="s">
        <v>3291</v>
      </c>
      <c r="AI255">
        <v>3688</v>
      </c>
      <c r="AK255">
        <v>13842</v>
      </c>
      <c r="AP255" t="s">
        <v>3292</v>
      </c>
      <c r="AR255">
        <v>12912</v>
      </c>
      <c r="AT255">
        <v>13072</v>
      </c>
      <c r="AV255" t="s">
        <v>3293</v>
      </c>
      <c r="AX255">
        <v>9234</v>
      </c>
      <c r="AZ255">
        <v>14643</v>
      </c>
      <c r="BB255" t="s">
        <v>3294</v>
      </c>
      <c r="BD255">
        <v>7762</v>
      </c>
      <c r="BF255">
        <v>7792</v>
      </c>
      <c r="BH255" t="s">
        <v>3295</v>
      </c>
      <c r="BJ255">
        <v>9110</v>
      </c>
      <c r="BL255">
        <v>15019</v>
      </c>
    </row>
    <row r="256" spans="1:64">
      <c r="A256">
        <f t="shared" si="37"/>
        <v>7.557</v>
      </c>
      <c r="B256">
        <f t="shared" si="38"/>
        <v>12.971</v>
      </c>
      <c r="C256">
        <f t="shared" si="39"/>
        <v>7.843</v>
      </c>
      <c r="D256">
        <f t="shared" si="40"/>
        <v>7.77</v>
      </c>
      <c r="E256">
        <f t="shared" si="41"/>
        <v>13.154</v>
      </c>
      <c r="F256">
        <f t="shared" si="42"/>
        <v>7.886</v>
      </c>
      <c r="G256">
        <f t="shared" si="43"/>
        <v>3.781</v>
      </c>
      <c r="H256">
        <f t="shared" si="44"/>
        <v>9.346</v>
      </c>
      <c r="I256">
        <f t="shared" si="45"/>
        <v>9.265</v>
      </c>
      <c r="J256">
        <f t="shared" si="46"/>
        <v>14.374</v>
      </c>
      <c r="K256">
        <f t="shared" si="47"/>
        <v>15.273</v>
      </c>
      <c r="L256">
        <f t="shared" si="48"/>
        <v>17.598</v>
      </c>
      <c r="N256">
        <v>7557</v>
      </c>
      <c r="O256">
        <v>12971</v>
      </c>
      <c r="P256">
        <v>7843</v>
      </c>
      <c r="Q256">
        <v>7770</v>
      </c>
      <c r="R256">
        <v>13154</v>
      </c>
      <c r="S256">
        <v>7886</v>
      </c>
      <c r="T256">
        <v>3781</v>
      </c>
      <c r="U256">
        <v>9346</v>
      </c>
      <c r="V256">
        <v>9265</v>
      </c>
      <c r="W256">
        <v>14374</v>
      </c>
      <c r="X256">
        <v>15273</v>
      </c>
      <c r="Y256">
        <v>17598</v>
      </c>
      <c r="AA256" t="s">
        <v>3296</v>
      </c>
      <c r="AC256">
        <v>7458</v>
      </c>
      <c r="AE256">
        <v>7703</v>
      </c>
      <c r="AG256" t="s">
        <v>3297</v>
      </c>
      <c r="AI256">
        <v>3699</v>
      </c>
      <c r="AK256">
        <v>13843</v>
      </c>
      <c r="AP256" t="s">
        <v>3298</v>
      </c>
      <c r="AR256">
        <v>12913</v>
      </c>
      <c r="AT256">
        <v>13075</v>
      </c>
      <c r="AV256" t="s">
        <v>3299</v>
      </c>
      <c r="AX256">
        <v>9242</v>
      </c>
      <c r="AZ256">
        <v>14655</v>
      </c>
      <c r="BB256" t="s">
        <v>3300</v>
      </c>
      <c r="BD256">
        <v>7780</v>
      </c>
      <c r="BF256">
        <v>7797</v>
      </c>
      <c r="BH256" t="s">
        <v>3301</v>
      </c>
      <c r="BJ256">
        <v>9135</v>
      </c>
      <c r="BL256">
        <v>15138</v>
      </c>
    </row>
    <row r="257" spans="1:64">
      <c r="A257">
        <f t="shared" si="37"/>
        <v>7.563</v>
      </c>
      <c r="B257">
        <f t="shared" si="38"/>
        <v>12.978</v>
      </c>
      <c r="C257">
        <f t="shared" si="39"/>
        <v>7.865</v>
      </c>
      <c r="D257">
        <f t="shared" si="40"/>
        <v>7.787</v>
      </c>
      <c r="E257">
        <f t="shared" si="41"/>
        <v>13.19</v>
      </c>
      <c r="F257">
        <f t="shared" si="42"/>
        <v>7.887</v>
      </c>
      <c r="G257">
        <f t="shared" si="43"/>
        <v>3.782</v>
      </c>
      <c r="H257">
        <f t="shared" si="44"/>
        <v>9.368</v>
      </c>
      <c r="I257">
        <f t="shared" si="45"/>
        <v>9.281</v>
      </c>
      <c r="J257">
        <f t="shared" si="46"/>
        <v>14.53</v>
      </c>
      <c r="K257">
        <f t="shared" si="47"/>
        <v>15.299</v>
      </c>
      <c r="L257">
        <f t="shared" si="48"/>
        <v>18.272</v>
      </c>
      <c r="N257">
        <v>7563</v>
      </c>
      <c r="O257">
        <v>12978</v>
      </c>
      <c r="P257">
        <v>7865</v>
      </c>
      <c r="Q257">
        <v>7787</v>
      </c>
      <c r="R257">
        <v>13190</v>
      </c>
      <c r="S257">
        <v>7887</v>
      </c>
      <c r="T257">
        <v>3782</v>
      </c>
      <c r="U257">
        <v>9368</v>
      </c>
      <c r="V257">
        <v>9281</v>
      </c>
      <c r="W257">
        <v>14530</v>
      </c>
      <c r="X257">
        <v>15299</v>
      </c>
      <c r="Y257">
        <v>18272</v>
      </c>
      <c r="AA257" t="s">
        <v>3302</v>
      </c>
      <c r="AC257">
        <v>7465</v>
      </c>
      <c r="AE257">
        <v>7718</v>
      </c>
      <c r="AG257" t="s">
        <v>3303</v>
      </c>
      <c r="AI257">
        <v>3703</v>
      </c>
      <c r="AK257">
        <v>13989</v>
      </c>
      <c r="AP257" t="s">
        <v>3304</v>
      </c>
      <c r="AR257">
        <v>12935</v>
      </c>
      <c r="AT257">
        <v>13078</v>
      </c>
      <c r="AV257" t="s">
        <v>3305</v>
      </c>
      <c r="AX257">
        <v>9254</v>
      </c>
      <c r="AZ257">
        <v>14880</v>
      </c>
      <c r="BB257" t="s">
        <v>3306</v>
      </c>
      <c r="BD257">
        <v>7792</v>
      </c>
      <c r="BF257">
        <v>7822</v>
      </c>
      <c r="BH257" t="s">
        <v>3307</v>
      </c>
      <c r="BJ257">
        <v>9141</v>
      </c>
      <c r="BL257">
        <v>15339</v>
      </c>
    </row>
    <row r="258" spans="1:64">
      <c r="A258">
        <f t="shared" si="37"/>
        <v>7.568</v>
      </c>
      <c r="B258">
        <f t="shared" si="38"/>
        <v>12.984</v>
      </c>
      <c r="C258">
        <f t="shared" si="39"/>
        <v>7.88</v>
      </c>
      <c r="D258">
        <f t="shared" si="40"/>
        <v>7.787</v>
      </c>
      <c r="E258">
        <f t="shared" si="41"/>
        <v>13.193</v>
      </c>
      <c r="F258">
        <f t="shared" si="42"/>
        <v>7.917</v>
      </c>
      <c r="G258">
        <f t="shared" si="43"/>
        <v>3.787</v>
      </c>
      <c r="H258">
        <f t="shared" si="44"/>
        <v>9.37</v>
      </c>
      <c r="I258">
        <f t="shared" si="45"/>
        <v>9.319</v>
      </c>
      <c r="J258">
        <f t="shared" si="46"/>
        <v>14.584</v>
      </c>
      <c r="K258">
        <f t="shared" si="47"/>
        <v>15.338</v>
      </c>
      <c r="L258">
        <f t="shared" si="48"/>
        <v>18.69</v>
      </c>
      <c r="N258">
        <v>7568</v>
      </c>
      <c r="O258">
        <v>12984</v>
      </c>
      <c r="P258">
        <v>7880</v>
      </c>
      <c r="Q258">
        <v>7787</v>
      </c>
      <c r="R258">
        <v>13193</v>
      </c>
      <c r="S258">
        <v>7917</v>
      </c>
      <c r="T258">
        <v>3787</v>
      </c>
      <c r="U258">
        <v>9370</v>
      </c>
      <c r="V258">
        <v>9319</v>
      </c>
      <c r="W258">
        <v>14584</v>
      </c>
      <c r="X258">
        <v>15338</v>
      </c>
      <c r="Y258">
        <v>18690</v>
      </c>
      <c r="AA258" t="s">
        <v>3308</v>
      </c>
      <c r="AC258">
        <v>7465</v>
      </c>
      <c r="AE258">
        <v>7722</v>
      </c>
      <c r="AG258" t="s">
        <v>3309</v>
      </c>
      <c r="AI258">
        <v>3729</v>
      </c>
      <c r="AK258">
        <v>14040</v>
      </c>
      <c r="AP258" t="s">
        <v>3310</v>
      </c>
      <c r="AR258">
        <v>12940</v>
      </c>
      <c r="AT258">
        <v>13098</v>
      </c>
      <c r="AV258" t="s">
        <v>3311</v>
      </c>
      <c r="AX258">
        <v>9269</v>
      </c>
      <c r="AZ258">
        <v>14881</v>
      </c>
      <c r="BB258" t="s">
        <v>3312</v>
      </c>
      <c r="BD258">
        <v>7794</v>
      </c>
      <c r="BF258">
        <v>7829</v>
      </c>
      <c r="BH258" t="s">
        <v>3313</v>
      </c>
      <c r="BJ258">
        <v>9159</v>
      </c>
      <c r="BL258">
        <v>15375</v>
      </c>
    </row>
    <row r="259" spans="1:64">
      <c r="A259">
        <f t="shared" si="37"/>
        <v>7.578</v>
      </c>
      <c r="B259">
        <f t="shared" si="38"/>
        <v>12.986</v>
      </c>
      <c r="C259">
        <f t="shared" si="39"/>
        <v>7.883</v>
      </c>
      <c r="D259">
        <f t="shared" si="40"/>
        <v>7.794</v>
      </c>
      <c r="E259">
        <f t="shared" si="41"/>
        <v>13.201</v>
      </c>
      <c r="F259">
        <f t="shared" si="42"/>
        <v>7.93</v>
      </c>
      <c r="G259">
        <f t="shared" si="43"/>
        <v>3.799</v>
      </c>
      <c r="H259">
        <f t="shared" si="44"/>
        <v>9.374</v>
      </c>
      <c r="I259">
        <f t="shared" si="45"/>
        <v>9.327</v>
      </c>
      <c r="J259">
        <f t="shared" si="46"/>
        <v>14.713</v>
      </c>
      <c r="K259">
        <f t="shared" si="47"/>
        <v>15.365</v>
      </c>
      <c r="L259">
        <f t="shared" si="48"/>
        <v>18.905</v>
      </c>
      <c r="N259">
        <v>7578</v>
      </c>
      <c r="O259">
        <v>12986</v>
      </c>
      <c r="P259">
        <v>7883</v>
      </c>
      <c r="Q259">
        <v>7794</v>
      </c>
      <c r="R259">
        <v>13201</v>
      </c>
      <c r="S259">
        <v>7930</v>
      </c>
      <c r="T259">
        <v>3799</v>
      </c>
      <c r="U259">
        <v>9374</v>
      </c>
      <c r="V259">
        <v>9327</v>
      </c>
      <c r="W259">
        <v>14713</v>
      </c>
      <c r="X259">
        <v>15365</v>
      </c>
      <c r="Y259">
        <v>18905</v>
      </c>
      <c r="AA259" t="s">
        <v>3314</v>
      </c>
      <c r="AC259">
        <v>7467</v>
      </c>
      <c r="AE259">
        <v>7732</v>
      </c>
      <c r="AG259" t="s">
        <v>3315</v>
      </c>
      <c r="AI259">
        <v>3739</v>
      </c>
      <c r="AK259">
        <v>14136</v>
      </c>
      <c r="AP259" t="s">
        <v>3316</v>
      </c>
      <c r="AR259">
        <v>12957</v>
      </c>
      <c r="AT259">
        <v>13105</v>
      </c>
      <c r="AV259" t="s">
        <v>3317</v>
      </c>
      <c r="AX259">
        <v>9280</v>
      </c>
      <c r="AZ259">
        <v>15047</v>
      </c>
      <c r="BB259" t="s">
        <v>3318</v>
      </c>
      <c r="BD259">
        <v>7797</v>
      </c>
      <c r="BF259">
        <v>7843</v>
      </c>
      <c r="BH259" t="s">
        <v>3319</v>
      </c>
      <c r="BJ259">
        <v>9163</v>
      </c>
      <c r="BL259">
        <v>15542</v>
      </c>
    </row>
    <row r="260" spans="1:64">
      <c r="A260">
        <f t="shared" ref="A260:A323" si="49">N260/1000</f>
        <v>7.586</v>
      </c>
      <c r="B260">
        <f t="shared" ref="B260:B323" si="50">O260/1000</f>
        <v>12.994</v>
      </c>
      <c r="C260">
        <f t="shared" ref="C260:C323" si="51">P260/1000</f>
        <v>7.886</v>
      </c>
      <c r="D260">
        <f t="shared" ref="D260:D323" si="52">Q260/1000</f>
        <v>7.794</v>
      </c>
      <c r="E260">
        <f t="shared" ref="E260:E323" si="53">R260/1000</f>
        <v>13.205</v>
      </c>
      <c r="F260">
        <f t="shared" ref="F260:F323" si="54">S260/1000</f>
        <v>7.931</v>
      </c>
      <c r="G260">
        <f t="shared" ref="G260:G323" si="55">T260/1000</f>
        <v>3.799</v>
      </c>
      <c r="H260">
        <f t="shared" ref="H260:H323" si="56">U260/1000</f>
        <v>9.396</v>
      </c>
      <c r="I260">
        <f t="shared" ref="I260:I323" si="57">V260/1000</f>
        <v>9.351</v>
      </c>
      <c r="J260">
        <f t="shared" ref="J260:J323" si="58">W260/1000</f>
        <v>14.726</v>
      </c>
      <c r="K260">
        <f t="shared" ref="K260:K323" si="59">X260/1000</f>
        <v>15.393</v>
      </c>
      <c r="L260">
        <f t="shared" ref="L260:L323" si="60">Y260/1000</f>
        <v>19.046</v>
      </c>
      <c r="N260">
        <v>7586</v>
      </c>
      <c r="O260">
        <v>12994</v>
      </c>
      <c r="P260">
        <v>7886</v>
      </c>
      <c r="Q260">
        <v>7794</v>
      </c>
      <c r="R260">
        <v>13205</v>
      </c>
      <c r="S260">
        <v>7931</v>
      </c>
      <c r="T260">
        <v>3799</v>
      </c>
      <c r="U260">
        <v>9396</v>
      </c>
      <c r="V260">
        <v>9351</v>
      </c>
      <c r="W260">
        <v>14726</v>
      </c>
      <c r="X260">
        <v>15393</v>
      </c>
      <c r="Y260">
        <v>19046</v>
      </c>
      <c r="AA260" t="s">
        <v>3320</v>
      </c>
      <c r="AC260">
        <v>7474</v>
      </c>
      <c r="AE260">
        <v>7741</v>
      </c>
      <c r="AG260" t="s">
        <v>3321</v>
      </c>
      <c r="AI260">
        <v>3746</v>
      </c>
      <c r="AK260">
        <v>14161</v>
      </c>
      <c r="AP260" t="s">
        <v>3322</v>
      </c>
      <c r="AR260">
        <v>12959</v>
      </c>
      <c r="AT260">
        <v>13111</v>
      </c>
      <c r="AV260" t="s">
        <v>3323</v>
      </c>
      <c r="AX260">
        <v>9304</v>
      </c>
      <c r="AZ260">
        <v>15104</v>
      </c>
      <c r="BB260" t="s">
        <v>3324</v>
      </c>
      <c r="BD260">
        <v>7822</v>
      </c>
      <c r="BF260">
        <v>7843</v>
      </c>
      <c r="BH260" t="s">
        <v>3325</v>
      </c>
      <c r="BJ260">
        <v>9185</v>
      </c>
      <c r="BL260">
        <v>15905</v>
      </c>
    </row>
    <row r="261" spans="1:64">
      <c r="A261">
        <f t="shared" si="49"/>
        <v>7.591</v>
      </c>
      <c r="B261">
        <f t="shared" si="50"/>
        <v>12.994</v>
      </c>
      <c r="C261">
        <f t="shared" si="51"/>
        <v>7.887</v>
      </c>
      <c r="D261">
        <f t="shared" si="52"/>
        <v>7.795</v>
      </c>
      <c r="E261">
        <f t="shared" si="53"/>
        <v>13.215</v>
      </c>
      <c r="F261">
        <f t="shared" si="54"/>
        <v>7.931</v>
      </c>
      <c r="G261">
        <f t="shared" si="55"/>
        <v>3.822</v>
      </c>
      <c r="H261">
        <f t="shared" si="56"/>
        <v>9.402</v>
      </c>
      <c r="I261">
        <f t="shared" si="57"/>
        <v>9.379</v>
      </c>
      <c r="J261">
        <f t="shared" si="58"/>
        <v>14.736</v>
      </c>
      <c r="K261">
        <f t="shared" si="59"/>
        <v>15.532</v>
      </c>
      <c r="L261">
        <f t="shared" si="60"/>
        <v>19.719</v>
      </c>
      <c r="N261">
        <v>7591</v>
      </c>
      <c r="O261">
        <v>12994</v>
      </c>
      <c r="P261">
        <v>7887</v>
      </c>
      <c r="Q261">
        <v>7795</v>
      </c>
      <c r="R261">
        <v>13215</v>
      </c>
      <c r="S261">
        <v>7931</v>
      </c>
      <c r="T261">
        <v>3822</v>
      </c>
      <c r="U261">
        <v>9402</v>
      </c>
      <c r="V261">
        <v>9379</v>
      </c>
      <c r="W261">
        <v>14736</v>
      </c>
      <c r="X261">
        <v>15532</v>
      </c>
      <c r="Y261">
        <v>19719</v>
      </c>
      <c r="AA261" t="s">
        <v>3326</v>
      </c>
      <c r="AC261">
        <v>7478</v>
      </c>
      <c r="AE261">
        <v>7742</v>
      </c>
      <c r="AG261" t="s">
        <v>3327</v>
      </c>
      <c r="AI261">
        <v>3751</v>
      </c>
      <c r="AK261">
        <v>14170</v>
      </c>
      <c r="AP261" t="s">
        <v>3328</v>
      </c>
      <c r="AR261">
        <v>12961</v>
      </c>
      <c r="AT261">
        <v>13125</v>
      </c>
      <c r="AV261" t="s">
        <v>3329</v>
      </c>
      <c r="AX261">
        <v>9331</v>
      </c>
      <c r="AZ261">
        <v>15107</v>
      </c>
      <c r="BB261" t="s">
        <v>3330</v>
      </c>
      <c r="BD261">
        <v>7822</v>
      </c>
      <c r="BF261">
        <v>7865</v>
      </c>
      <c r="BH261" t="s">
        <v>3331</v>
      </c>
      <c r="BJ261">
        <v>9186</v>
      </c>
      <c r="BL261">
        <v>16256</v>
      </c>
    </row>
    <row r="262" spans="1:64">
      <c r="A262">
        <f t="shared" si="49"/>
        <v>7.596</v>
      </c>
      <c r="B262">
        <f t="shared" si="50"/>
        <v>13.001</v>
      </c>
      <c r="C262">
        <f t="shared" si="51"/>
        <v>7.917</v>
      </c>
      <c r="D262">
        <f t="shared" si="52"/>
        <v>7.801</v>
      </c>
      <c r="E262">
        <f t="shared" si="53"/>
        <v>13.218</v>
      </c>
      <c r="F262">
        <f t="shared" si="54"/>
        <v>7.956</v>
      </c>
      <c r="G262">
        <f t="shared" si="55"/>
        <v>3.829</v>
      </c>
      <c r="H262">
        <f t="shared" si="56"/>
        <v>9.428</v>
      </c>
      <c r="I262">
        <f t="shared" si="57"/>
        <v>9.387</v>
      </c>
      <c r="J262">
        <f t="shared" si="58"/>
        <v>15.014</v>
      </c>
      <c r="K262">
        <f t="shared" si="59"/>
        <v>15.549</v>
      </c>
      <c r="L262">
        <f t="shared" si="60"/>
        <v>19.79</v>
      </c>
      <c r="N262">
        <v>7596</v>
      </c>
      <c r="O262">
        <v>13001</v>
      </c>
      <c r="P262">
        <v>7917</v>
      </c>
      <c r="Q262">
        <v>7801</v>
      </c>
      <c r="R262">
        <v>13218</v>
      </c>
      <c r="S262">
        <v>7956</v>
      </c>
      <c r="T262">
        <v>3829</v>
      </c>
      <c r="U262">
        <v>9428</v>
      </c>
      <c r="V262">
        <v>9387</v>
      </c>
      <c r="W262">
        <v>15014</v>
      </c>
      <c r="X262">
        <v>15549</v>
      </c>
      <c r="Y262">
        <v>19790</v>
      </c>
      <c r="AA262" t="s">
        <v>3332</v>
      </c>
      <c r="AC262">
        <v>7530</v>
      </c>
      <c r="AE262">
        <v>7753</v>
      </c>
      <c r="AG262" t="s">
        <v>3333</v>
      </c>
      <c r="AI262">
        <v>3757</v>
      </c>
      <c r="AK262">
        <v>14192</v>
      </c>
      <c r="AP262" t="s">
        <v>3334</v>
      </c>
      <c r="AR262">
        <v>12967</v>
      </c>
      <c r="AT262">
        <v>13151</v>
      </c>
      <c r="AV262" t="s">
        <v>3335</v>
      </c>
      <c r="AX262">
        <v>9339</v>
      </c>
      <c r="AZ262">
        <v>15129</v>
      </c>
      <c r="BB262" t="s">
        <v>3336</v>
      </c>
      <c r="BD262">
        <v>7829</v>
      </c>
      <c r="BF262">
        <v>7880</v>
      </c>
      <c r="BH262" t="s">
        <v>3337</v>
      </c>
      <c r="BJ262">
        <v>9187</v>
      </c>
      <c r="BL262">
        <v>16267</v>
      </c>
    </row>
    <row r="263" spans="1:64">
      <c r="A263">
        <f t="shared" si="49"/>
        <v>7.6</v>
      </c>
      <c r="B263">
        <f t="shared" si="50"/>
        <v>13.004</v>
      </c>
      <c r="C263">
        <f t="shared" si="51"/>
        <v>7.93</v>
      </c>
      <c r="D263">
        <f t="shared" si="52"/>
        <v>7.807</v>
      </c>
      <c r="E263">
        <f t="shared" si="53"/>
        <v>13.236</v>
      </c>
      <c r="F263">
        <f t="shared" si="54"/>
        <v>7.969</v>
      </c>
      <c r="G263">
        <f t="shared" si="55"/>
        <v>3.832</v>
      </c>
      <c r="H263">
        <f t="shared" si="56"/>
        <v>9.44</v>
      </c>
      <c r="I263">
        <f t="shared" si="57"/>
        <v>9.419</v>
      </c>
      <c r="J263">
        <f t="shared" si="58"/>
        <v>15.033</v>
      </c>
      <c r="K263">
        <f t="shared" si="59"/>
        <v>15.8</v>
      </c>
      <c r="L263">
        <f t="shared" si="60"/>
        <v>19.796</v>
      </c>
      <c r="N263">
        <v>7600</v>
      </c>
      <c r="O263">
        <v>13004</v>
      </c>
      <c r="P263">
        <v>7930</v>
      </c>
      <c r="Q263">
        <v>7807</v>
      </c>
      <c r="R263">
        <v>13236</v>
      </c>
      <c r="S263">
        <v>7969</v>
      </c>
      <c r="T263">
        <v>3832</v>
      </c>
      <c r="U263">
        <v>9440</v>
      </c>
      <c r="V263">
        <v>9419</v>
      </c>
      <c r="W263">
        <v>15033</v>
      </c>
      <c r="X263">
        <v>15800</v>
      </c>
      <c r="Y263">
        <v>19796</v>
      </c>
      <c r="AA263" t="s">
        <v>3338</v>
      </c>
      <c r="AC263">
        <v>7533</v>
      </c>
      <c r="AE263">
        <v>7753</v>
      </c>
      <c r="AG263" t="s">
        <v>3339</v>
      </c>
      <c r="AI263">
        <v>3773</v>
      </c>
      <c r="AK263">
        <v>14339</v>
      </c>
      <c r="AP263" t="s">
        <v>3340</v>
      </c>
      <c r="AR263">
        <v>12971</v>
      </c>
      <c r="AT263">
        <v>13154</v>
      </c>
      <c r="AV263" t="s">
        <v>3341</v>
      </c>
      <c r="AX263">
        <v>9346</v>
      </c>
      <c r="AZ263">
        <v>15273</v>
      </c>
      <c r="BB263" t="s">
        <v>3342</v>
      </c>
      <c r="BD263">
        <v>7843</v>
      </c>
      <c r="BF263">
        <v>7883</v>
      </c>
      <c r="BH263" t="s">
        <v>3343</v>
      </c>
      <c r="BJ263">
        <v>9227</v>
      </c>
      <c r="BL263">
        <v>16896</v>
      </c>
    </row>
    <row r="264" spans="1:64">
      <c r="A264">
        <f t="shared" si="49"/>
        <v>7.602</v>
      </c>
      <c r="B264">
        <f t="shared" si="50"/>
        <v>13.004</v>
      </c>
      <c r="C264">
        <f t="shared" si="51"/>
        <v>7.931</v>
      </c>
      <c r="D264">
        <f t="shared" si="52"/>
        <v>7.819</v>
      </c>
      <c r="E264">
        <f t="shared" si="53"/>
        <v>13.272</v>
      </c>
      <c r="F264">
        <f t="shared" si="54"/>
        <v>7.994</v>
      </c>
      <c r="G264">
        <f t="shared" si="55"/>
        <v>3.859</v>
      </c>
      <c r="H264">
        <f t="shared" si="56"/>
        <v>9.453</v>
      </c>
      <c r="I264">
        <f t="shared" si="57"/>
        <v>9.446</v>
      </c>
      <c r="J264">
        <f t="shared" si="58"/>
        <v>15.187</v>
      </c>
      <c r="K264">
        <f t="shared" si="59"/>
        <v>16.018</v>
      </c>
      <c r="L264">
        <f t="shared" si="60"/>
        <v>19.997</v>
      </c>
      <c r="N264">
        <v>7602</v>
      </c>
      <c r="O264">
        <v>13004</v>
      </c>
      <c r="P264">
        <v>7931</v>
      </c>
      <c r="Q264">
        <v>7819</v>
      </c>
      <c r="R264">
        <v>13272</v>
      </c>
      <c r="S264">
        <v>7994</v>
      </c>
      <c r="T264">
        <v>3859</v>
      </c>
      <c r="U264">
        <v>9453</v>
      </c>
      <c r="V264">
        <v>9446</v>
      </c>
      <c r="W264">
        <v>15187</v>
      </c>
      <c r="X264">
        <v>16018</v>
      </c>
      <c r="Y264">
        <v>19997</v>
      </c>
      <c r="AA264" t="s">
        <v>3344</v>
      </c>
      <c r="AC264">
        <v>7557</v>
      </c>
      <c r="AE264">
        <v>7770</v>
      </c>
      <c r="AG264" t="s">
        <v>3345</v>
      </c>
      <c r="AI264">
        <v>3781</v>
      </c>
      <c r="AK264">
        <v>14374</v>
      </c>
      <c r="AP264" t="s">
        <v>3346</v>
      </c>
      <c r="AR264">
        <v>12978</v>
      </c>
      <c r="AT264">
        <v>13190</v>
      </c>
      <c r="AV264" t="s">
        <v>3347</v>
      </c>
      <c r="AX264">
        <v>9368</v>
      </c>
      <c r="AZ264">
        <v>15299</v>
      </c>
      <c r="BB264" t="s">
        <v>3348</v>
      </c>
      <c r="BD264">
        <v>7843</v>
      </c>
      <c r="BF264">
        <v>7886</v>
      </c>
      <c r="BH264" t="s">
        <v>3349</v>
      </c>
      <c r="BJ264">
        <v>9265</v>
      </c>
      <c r="BL264">
        <v>17598</v>
      </c>
    </row>
    <row r="265" spans="1:64">
      <c r="A265">
        <f t="shared" si="49"/>
        <v>7.631</v>
      </c>
      <c r="B265">
        <f t="shared" si="50"/>
        <v>13.009</v>
      </c>
      <c r="C265">
        <f t="shared" si="51"/>
        <v>7.931</v>
      </c>
      <c r="D265">
        <f t="shared" si="52"/>
        <v>7.825</v>
      </c>
      <c r="E265">
        <f t="shared" si="53"/>
        <v>13.284</v>
      </c>
      <c r="F265">
        <f t="shared" si="54"/>
        <v>8.016</v>
      </c>
      <c r="G265">
        <f t="shared" si="55"/>
        <v>3.874</v>
      </c>
      <c r="H265">
        <f t="shared" si="56"/>
        <v>9.498</v>
      </c>
      <c r="I265">
        <f t="shared" si="57"/>
        <v>9.53</v>
      </c>
      <c r="J265">
        <f t="shared" si="58"/>
        <v>15.246</v>
      </c>
      <c r="K265">
        <f t="shared" si="59"/>
        <v>16.073</v>
      </c>
      <c r="L265">
        <f t="shared" si="60"/>
        <v>20.313</v>
      </c>
      <c r="N265">
        <v>7631</v>
      </c>
      <c r="O265">
        <v>13009</v>
      </c>
      <c r="P265">
        <v>7931</v>
      </c>
      <c r="Q265">
        <v>7825</v>
      </c>
      <c r="R265">
        <v>13284</v>
      </c>
      <c r="S265">
        <v>8016</v>
      </c>
      <c r="T265">
        <v>3874</v>
      </c>
      <c r="U265">
        <v>9498</v>
      </c>
      <c r="V265">
        <v>9530</v>
      </c>
      <c r="W265">
        <v>15246</v>
      </c>
      <c r="X265">
        <v>16073</v>
      </c>
      <c r="Y265">
        <v>20313</v>
      </c>
      <c r="AA265" t="s">
        <v>3350</v>
      </c>
      <c r="AC265">
        <v>7563</v>
      </c>
      <c r="AE265">
        <v>7787</v>
      </c>
      <c r="AG265" t="s">
        <v>3351</v>
      </c>
      <c r="AI265">
        <v>3782</v>
      </c>
      <c r="AK265">
        <v>14530</v>
      </c>
      <c r="AP265" t="s">
        <v>3352</v>
      </c>
      <c r="AR265">
        <v>12984</v>
      </c>
      <c r="AT265">
        <v>13193</v>
      </c>
      <c r="AV265" t="s">
        <v>3353</v>
      </c>
      <c r="AX265">
        <v>9370</v>
      </c>
      <c r="AZ265">
        <v>15338</v>
      </c>
      <c r="BB265" t="s">
        <v>3354</v>
      </c>
      <c r="BD265">
        <v>7865</v>
      </c>
      <c r="BF265">
        <v>7887</v>
      </c>
      <c r="BH265" t="s">
        <v>3355</v>
      </c>
      <c r="BJ265">
        <v>9281</v>
      </c>
      <c r="BL265">
        <v>18272</v>
      </c>
    </row>
    <row r="266" spans="1:64">
      <c r="A266">
        <f t="shared" si="49"/>
        <v>7.652</v>
      </c>
      <c r="B266">
        <f t="shared" si="50"/>
        <v>13.009</v>
      </c>
      <c r="C266">
        <f t="shared" si="51"/>
        <v>7.956</v>
      </c>
      <c r="D266">
        <f t="shared" si="52"/>
        <v>7.834</v>
      </c>
      <c r="E266">
        <f t="shared" si="53"/>
        <v>13.307</v>
      </c>
      <c r="F266">
        <f t="shared" si="54"/>
        <v>8.03</v>
      </c>
      <c r="G266">
        <f t="shared" si="55"/>
        <v>3.875</v>
      </c>
      <c r="H266">
        <f t="shared" si="56"/>
        <v>9.504</v>
      </c>
      <c r="I266">
        <f t="shared" si="57"/>
        <v>9.576</v>
      </c>
      <c r="J266">
        <f t="shared" si="58"/>
        <v>15.265</v>
      </c>
      <c r="K266">
        <f t="shared" si="59"/>
        <v>16.074</v>
      </c>
      <c r="L266">
        <f t="shared" si="60"/>
        <v>20.674</v>
      </c>
      <c r="N266">
        <v>7652</v>
      </c>
      <c r="O266">
        <v>13009</v>
      </c>
      <c r="P266">
        <v>7956</v>
      </c>
      <c r="Q266">
        <v>7834</v>
      </c>
      <c r="R266">
        <v>13307</v>
      </c>
      <c r="S266">
        <v>8030</v>
      </c>
      <c r="T266">
        <v>3875</v>
      </c>
      <c r="U266">
        <v>9504</v>
      </c>
      <c r="V266">
        <v>9576</v>
      </c>
      <c r="W266">
        <v>15265</v>
      </c>
      <c r="X266">
        <v>16074</v>
      </c>
      <c r="Y266">
        <v>20674</v>
      </c>
      <c r="AA266" t="s">
        <v>3356</v>
      </c>
      <c r="AC266">
        <v>7568</v>
      </c>
      <c r="AE266">
        <v>7787</v>
      </c>
      <c r="AG266" t="s">
        <v>3357</v>
      </c>
      <c r="AI266">
        <v>3787</v>
      </c>
      <c r="AK266">
        <v>14584</v>
      </c>
      <c r="AP266" t="s">
        <v>3358</v>
      </c>
      <c r="AR266">
        <v>12986</v>
      </c>
      <c r="AT266">
        <v>13201</v>
      </c>
      <c r="AV266" t="s">
        <v>3359</v>
      </c>
      <c r="AX266">
        <v>9374</v>
      </c>
      <c r="AZ266">
        <v>15365</v>
      </c>
      <c r="BB266" t="s">
        <v>3360</v>
      </c>
      <c r="BD266">
        <v>7880</v>
      </c>
      <c r="BF266">
        <v>7917</v>
      </c>
      <c r="BH266" t="s">
        <v>3361</v>
      </c>
      <c r="BJ266">
        <v>9319</v>
      </c>
      <c r="BL266">
        <v>18690</v>
      </c>
    </row>
    <row r="267" spans="1:64">
      <c r="A267">
        <f t="shared" si="49"/>
        <v>7.664</v>
      </c>
      <c r="B267">
        <f t="shared" si="50"/>
        <v>13.016</v>
      </c>
      <c r="C267">
        <f t="shared" si="51"/>
        <v>7.969</v>
      </c>
      <c r="D267">
        <f t="shared" si="52"/>
        <v>7.834</v>
      </c>
      <c r="E267">
        <f t="shared" si="53"/>
        <v>13.327</v>
      </c>
      <c r="F267">
        <f t="shared" si="54"/>
        <v>8.052</v>
      </c>
      <c r="G267">
        <f t="shared" si="55"/>
        <v>3.876</v>
      </c>
      <c r="H267">
        <f t="shared" si="56"/>
        <v>9.518</v>
      </c>
      <c r="I267">
        <f t="shared" si="57"/>
        <v>9.616</v>
      </c>
      <c r="J267">
        <f t="shared" si="58"/>
        <v>15.458</v>
      </c>
      <c r="K267">
        <f t="shared" si="59"/>
        <v>16.159</v>
      </c>
      <c r="L267">
        <f t="shared" si="60"/>
        <v>21.311</v>
      </c>
      <c r="N267">
        <v>7664</v>
      </c>
      <c r="O267">
        <v>13016</v>
      </c>
      <c r="P267">
        <v>7969</v>
      </c>
      <c r="Q267">
        <v>7834</v>
      </c>
      <c r="R267">
        <v>13327</v>
      </c>
      <c r="S267">
        <v>8052</v>
      </c>
      <c r="T267">
        <v>3876</v>
      </c>
      <c r="U267">
        <v>9518</v>
      </c>
      <c r="V267">
        <v>9616</v>
      </c>
      <c r="W267">
        <v>15458</v>
      </c>
      <c r="X267">
        <v>16159</v>
      </c>
      <c r="Y267">
        <v>21311</v>
      </c>
      <c r="AA267" t="s">
        <v>3362</v>
      </c>
      <c r="AC267">
        <v>7578</v>
      </c>
      <c r="AE267">
        <v>7794</v>
      </c>
      <c r="AG267" t="s">
        <v>3363</v>
      </c>
      <c r="AI267">
        <v>3799</v>
      </c>
      <c r="AK267">
        <v>14713</v>
      </c>
      <c r="AP267" t="s">
        <v>3364</v>
      </c>
      <c r="AR267">
        <v>12994</v>
      </c>
      <c r="AT267">
        <v>13205</v>
      </c>
      <c r="AV267" t="s">
        <v>3365</v>
      </c>
      <c r="AX267">
        <v>9396</v>
      </c>
      <c r="AZ267">
        <v>15393</v>
      </c>
      <c r="BB267" t="s">
        <v>3366</v>
      </c>
      <c r="BD267">
        <v>7883</v>
      </c>
      <c r="BF267">
        <v>7930</v>
      </c>
      <c r="BH267" t="s">
        <v>3367</v>
      </c>
      <c r="BJ267">
        <v>9327</v>
      </c>
      <c r="BL267">
        <v>18905</v>
      </c>
    </row>
    <row r="268" spans="1:64">
      <c r="A268">
        <f t="shared" si="49"/>
        <v>7.668</v>
      </c>
      <c r="B268">
        <f t="shared" si="50"/>
        <v>13.017</v>
      </c>
      <c r="C268">
        <f t="shared" si="51"/>
        <v>7.994</v>
      </c>
      <c r="D268">
        <f t="shared" si="52"/>
        <v>7.849</v>
      </c>
      <c r="E268">
        <f t="shared" si="53"/>
        <v>13.337</v>
      </c>
      <c r="F268">
        <f t="shared" si="54"/>
        <v>8.062</v>
      </c>
      <c r="G268">
        <f t="shared" si="55"/>
        <v>3.905</v>
      </c>
      <c r="H268">
        <f t="shared" si="56"/>
        <v>9.524</v>
      </c>
      <c r="I268">
        <f t="shared" si="57"/>
        <v>9.626</v>
      </c>
      <c r="J268">
        <f t="shared" si="58"/>
        <v>15.52</v>
      </c>
      <c r="K268">
        <f t="shared" si="59"/>
        <v>16.185</v>
      </c>
      <c r="L268">
        <f t="shared" si="60"/>
        <v>21.557</v>
      </c>
      <c r="N268">
        <v>7668</v>
      </c>
      <c r="O268">
        <v>13017</v>
      </c>
      <c r="P268">
        <v>7994</v>
      </c>
      <c r="Q268">
        <v>7849</v>
      </c>
      <c r="R268">
        <v>13337</v>
      </c>
      <c r="S268">
        <v>8062</v>
      </c>
      <c r="T268">
        <v>3905</v>
      </c>
      <c r="U268">
        <v>9524</v>
      </c>
      <c r="V268">
        <v>9626</v>
      </c>
      <c r="W268">
        <v>15520</v>
      </c>
      <c r="X268">
        <v>16185</v>
      </c>
      <c r="Y268">
        <v>21557</v>
      </c>
      <c r="AA268" t="s">
        <v>3368</v>
      </c>
      <c r="AC268">
        <v>7586</v>
      </c>
      <c r="AE268">
        <v>7794</v>
      </c>
      <c r="AG268" t="s">
        <v>3369</v>
      </c>
      <c r="AI268">
        <v>3799</v>
      </c>
      <c r="AK268">
        <v>14726</v>
      </c>
      <c r="AP268" t="s">
        <v>3370</v>
      </c>
      <c r="AR268">
        <v>12994</v>
      </c>
      <c r="AT268">
        <v>13215</v>
      </c>
      <c r="AV268" t="s">
        <v>3371</v>
      </c>
      <c r="AX268">
        <v>9402</v>
      </c>
      <c r="AZ268">
        <v>15532</v>
      </c>
      <c r="BB268" t="s">
        <v>3372</v>
      </c>
      <c r="BD268">
        <v>7886</v>
      </c>
      <c r="BF268">
        <v>7931</v>
      </c>
      <c r="BH268" t="s">
        <v>3373</v>
      </c>
      <c r="BJ268">
        <v>9351</v>
      </c>
      <c r="BL268">
        <v>19046</v>
      </c>
    </row>
    <row r="269" spans="1:64">
      <c r="A269">
        <f t="shared" si="49"/>
        <v>7.669</v>
      </c>
      <c r="B269">
        <f t="shared" si="50"/>
        <v>13.02</v>
      </c>
      <c r="C269">
        <f t="shared" si="51"/>
        <v>8.01</v>
      </c>
      <c r="D269">
        <f t="shared" si="52"/>
        <v>7.851</v>
      </c>
      <c r="E269">
        <f t="shared" si="53"/>
        <v>13.338</v>
      </c>
      <c r="F269">
        <f t="shared" si="54"/>
        <v>8.062</v>
      </c>
      <c r="G269">
        <f t="shared" si="55"/>
        <v>3.908</v>
      </c>
      <c r="H269">
        <f t="shared" si="56"/>
        <v>9.528</v>
      </c>
      <c r="I269">
        <f t="shared" si="57"/>
        <v>9.655</v>
      </c>
      <c r="J269">
        <f t="shared" si="58"/>
        <v>15.777</v>
      </c>
      <c r="K269">
        <f t="shared" si="59"/>
        <v>16.241</v>
      </c>
      <c r="L269">
        <f t="shared" si="60"/>
        <v>21.603</v>
      </c>
      <c r="N269">
        <v>7669</v>
      </c>
      <c r="O269">
        <v>13020</v>
      </c>
      <c r="P269">
        <v>8010</v>
      </c>
      <c r="Q269">
        <v>7851</v>
      </c>
      <c r="R269">
        <v>13338</v>
      </c>
      <c r="S269">
        <v>8062</v>
      </c>
      <c r="T269">
        <v>3908</v>
      </c>
      <c r="U269">
        <v>9528</v>
      </c>
      <c r="V269">
        <v>9655</v>
      </c>
      <c r="W269">
        <v>15777</v>
      </c>
      <c r="X269">
        <v>16241</v>
      </c>
      <c r="Y269">
        <v>21603</v>
      </c>
      <c r="AA269" t="s">
        <v>3374</v>
      </c>
      <c r="AC269">
        <v>7591</v>
      </c>
      <c r="AE269">
        <v>7795</v>
      </c>
      <c r="AG269" t="s">
        <v>3375</v>
      </c>
      <c r="AI269">
        <v>3822</v>
      </c>
      <c r="AK269">
        <v>14736</v>
      </c>
      <c r="AP269" t="s">
        <v>3376</v>
      </c>
      <c r="AR269">
        <v>13001</v>
      </c>
      <c r="AT269">
        <v>13218</v>
      </c>
      <c r="AV269" t="s">
        <v>3377</v>
      </c>
      <c r="AX269">
        <v>9428</v>
      </c>
      <c r="AZ269">
        <v>15549</v>
      </c>
      <c r="BB269" t="s">
        <v>3378</v>
      </c>
      <c r="BD269">
        <v>7887</v>
      </c>
      <c r="BF269">
        <v>7931</v>
      </c>
      <c r="BH269" t="s">
        <v>3379</v>
      </c>
      <c r="BJ269">
        <v>9379</v>
      </c>
      <c r="BL269">
        <v>19719</v>
      </c>
    </row>
    <row r="270" spans="1:64">
      <c r="A270">
        <f t="shared" si="49"/>
        <v>7.675</v>
      </c>
      <c r="B270">
        <f t="shared" si="50"/>
        <v>13.033</v>
      </c>
      <c r="C270">
        <f t="shared" si="51"/>
        <v>8.016</v>
      </c>
      <c r="D270">
        <f t="shared" si="52"/>
        <v>7.866</v>
      </c>
      <c r="E270">
        <f t="shared" si="53"/>
        <v>13.341</v>
      </c>
      <c r="F270">
        <f t="shared" si="54"/>
        <v>8.064</v>
      </c>
      <c r="G270">
        <f t="shared" si="55"/>
        <v>3.909</v>
      </c>
      <c r="H270">
        <f t="shared" si="56"/>
        <v>9.542</v>
      </c>
      <c r="I270">
        <f t="shared" si="57"/>
        <v>9.662</v>
      </c>
      <c r="J270">
        <f t="shared" si="58"/>
        <v>15.838</v>
      </c>
      <c r="K270">
        <f t="shared" si="59"/>
        <v>16.274</v>
      </c>
      <c r="L270">
        <f t="shared" si="60"/>
        <v>22.11</v>
      </c>
      <c r="N270">
        <v>7675</v>
      </c>
      <c r="O270">
        <v>13033</v>
      </c>
      <c r="P270">
        <v>8016</v>
      </c>
      <c r="Q270">
        <v>7866</v>
      </c>
      <c r="R270">
        <v>13341</v>
      </c>
      <c r="S270">
        <v>8064</v>
      </c>
      <c r="T270">
        <v>3909</v>
      </c>
      <c r="U270">
        <v>9542</v>
      </c>
      <c r="V270">
        <v>9662</v>
      </c>
      <c r="W270">
        <v>15838</v>
      </c>
      <c r="X270">
        <v>16274</v>
      </c>
      <c r="Y270">
        <v>22110</v>
      </c>
      <c r="AA270" t="s">
        <v>3380</v>
      </c>
      <c r="AC270">
        <v>7596</v>
      </c>
      <c r="AE270">
        <v>7801</v>
      </c>
      <c r="AG270" t="s">
        <v>3381</v>
      </c>
      <c r="AI270">
        <v>3829</v>
      </c>
      <c r="AK270">
        <v>15014</v>
      </c>
      <c r="AP270" t="s">
        <v>3382</v>
      </c>
      <c r="AR270">
        <v>13004</v>
      </c>
      <c r="AT270">
        <v>13236</v>
      </c>
      <c r="AV270" t="s">
        <v>3383</v>
      </c>
      <c r="AX270">
        <v>9440</v>
      </c>
      <c r="AZ270">
        <v>15800</v>
      </c>
      <c r="BB270" t="s">
        <v>3384</v>
      </c>
      <c r="BD270">
        <v>7917</v>
      </c>
      <c r="BF270">
        <v>7956</v>
      </c>
      <c r="BH270" t="s">
        <v>3385</v>
      </c>
      <c r="BJ270">
        <v>9387</v>
      </c>
      <c r="BL270">
        <v>19790</v>
      </c>
    </row>
    <row r="271" spans="1:64">
      <c r="A271">
        <f t="shared" si="49"/>
        <v>7.679</v>
      </c>
      <c r="B271">
        <f t="shared" si="50"/>
        <v>13.034</v>
      </c>
      <c r="C271">
        <f t="shared" si="51"/>
        <v>8.03</v>
      </c>
      <c r="D271">
        <f t="shared" si="52"/>
        <v>7.873</v>
      </c>
      <c r="E271">
        <f t="shared" si="53"/>
        <v>13.344</v>
      </c>
      <c r="F271">
        <f t="shared" si="54"/>
        <v>8.065</v>
      </c>
      <c r="G271">
        <f t="shared" si="55"/>
        <v>3.912</v>
      </c>
      <c r="H271">
        <f t="shared" si="56"/>
        <v>9.548</v>
      </c>
      <c r="I271">
        <f t="shared" si="57"/>
        <v>9.675</v>
      </c>
      <c r="J271">
        <f t="shared" si="58"/>
        <v>16.028</v>
      </c>
      <c r="K271">
        <f t="shared" si="59"/>
        <v>16.447</v>
      </c>
      <c r="L271">
        <f t="shared" si="60"/>
        <v>22.999</v>
      </c>
      <c r="N271">
        <v>7679</v>
      </c>
      <c r="O271">
        <v>13034</v>
      </c>
      <c r="P271">
        <v>8030</v>
      </c>
      <c r="Q271">
        <v>7873</v>
      </c>
      <c r="R271">
        <v>13344</v>
      </c>
      <c r="S271">
        <v>8065</v>
      </c>
      <c r="T271">
        <v>3912</v>
      </c>
      <c r="U271">
        <v>9548</v>
      </c>
      <c r="V271">
        <v>9675</v>
      </c>
      <c r="W271">
        <v>16028</v>
      </c>
      <c r="X271">
        <v>16447</v>
      </c>
      <c r="Y271">
        <v>22999</v>
      </c>
      <c r="AA271" t="s">
        <v>3386</v>
      </c>
      <c r="AC271">
        <v>7600</v>
      </c>
      <c r="AE271">
        <v>7807</v>
      </c>
      <c r="AG271" t="s">
        <v>3387</v>
      </c>
      <c r="AI271">
        <v>3832</v>
      </c>
      <c r="AK271">
        <v>15033</v>
      </c>
      <c r="AP271" t="s">
        <v>3388</v>
      </c>
      <c r="AR271">
        <v>13004</v>
      </c>
      <c r="AT271">
        <v>13272</v>
      </c>
      <c r="AV271" t="s">
        <v>3389</v>
      </c>
      <c r="AX271">
        <v>9453</v>
      </c>
      <c r="AZ271">
        <v>16018</v>
      </c>
      <c r="BB271" t="s">
        <v>3390</v>
      </c>
      <c r="BD271">
        <v>7930</v>
      </c>
      <c r="BF271">
        <v>7969</v>
      </c>
      <c r="BH271" t="s">
        <v>3391</v>
      </c>
      <c r="BJ271">
        <v>9419</v>
      </c>
      <c r="BL271">
        <v>19796</v>
      </c>
    </row>
    <row r="272" spans="1:64">
      <c r="A272">
        <f t="shared" si="49"/>
        <v>7.685</v>
      </c>
      <c r="B272">
        <f t="shared" si="50"/>
        <v>13.057</v>
      </c>
      <c r="C272">
        <f t="shared" si="51"/>
        <v>8.052</v>
      </c>
      <c r="D272">
        <f t="shared" si="52"/>
        <v>7.876</v>
      </c>
      <c r="E272">
        <f t="shared" si="53"/>
        <v>13.358</v>
      </c>
      <c r="F272">
        <f t="shared" si="54"/>
        <v>8.067</v>
      </c>
      <c r="G272">
        <f t="shared" si="55"/>
        <v>3.917</v>
      </c>
      <c r="H272">
        <f t="shared" si="56"/>
        <v>9.548</v>
      </c>
      <c r="I272">
        <f t="shared" si="57"/>
        <v>9.694</v>
      </c>
      <c r="J272">
        <f t="shared" si="58"/>
        <v>16.028</v>
      </c>
      <c r="K272">
        <f t="shared" si="59"/>
        <v>16.537</v>
      </c>
      <c r="L272">
        <f t="shared" si="60"/>
        <v>23.193</v>
      </c>
      <c r="N272">
        <v>7685</v>
      </c>
      <c r="O272">
        <v>13057</v>
      </c>
      <c r="P272">
        <v>8052</v>
      </c>
      <c r="Q272">
        <v>7876</v>
      </c>
      <c r="R272">
        <v>13358</v>
      </c>
      <c r="S272">
        <v>8067</v>
      </c>
      <c r="T272">
        <v>3917</v>
      </c>
      <c r="U272">
        <v>9548</v>
      </c>
      <c r="V272">
        <v>9694</v>
      </c>
      <c r="W272">
        <v>16028</v>
      </c>
      <c r="X272">
        <v>16537</v>
      </c>
      <c r="Y272">
        <v>23193</v>
      </c>
      <c r="AA272" t="s">
        <v>3392</v>
      </c>
      <c r="AC272">
        <v>7602</v>
      </c>
      <c r="AE272">
        <v>7819</v>
      </c>
      <c r="AG272" t="s">
        <v>3393</v>
      </c>
      <c r="AI272">
        <v>3859</v>
      </c>
      <c r="AK272">
        <v>15187</v>
      </c>
      <c r="AP272" t="s">
        <v>3394</v>
      </c>
      <c r="AR272">
        <v>13009</v>
      </c>
      <c r="AT272">
        <v>13284</v>
      </c>
      <c r="AV272" t="s">
        <v>3395</v>
      </c>
      <c r="AX272">
        <v>9498</v>
      </c>
      <c r="AZ272">
        <v>16073</v>
      </c>
      <c r="BB272" t="s">
        <v>3396</v>
      </c>
      <c r="BD272">
        <v>7931</v>
      </c>
      <c r="BF272">
        <v>7994</v>
      </c>
      <c r="BH272" t="s">
        <v>3397</v>
      </c>
      <c r="BJ272">
        <v>9446</v>
      </c>
      <c r="BL272">
        <v>19997</v>
      </c>
    </row>
    <row r="273" spans="1:64">
      <c r="A273">
        <f t="shared" si="49"/>
        <v>7.693</v>
      </c>
      <c r="B273">
        <f t="shared" si="50"/>
        <v>13.059</v>
      </c>
      <c r="C273">
        <f t="shared" si="51"/>
        <v>8.062</v>
      </c>
      <c r="D273">
        <f t="shared" si="52"/>
        <v>7.887</v>
      </c>
      <c r="E273">
        <f t="shared" si="53"/>
        <v>13.363</v>
      </c>
      <c r="F273">
        <f t="shared" si="54"/>
        <v>8.071</v>
      </c>
      <c r="G273">
        <f t="shared" si="55"/>
        <v>3.92</v>
      </c>
      <c r="H273">
        <f t="shared" si="56"/>
        <v>9.572</v>
      </c>
      <c r="I273">
        <f t="shared" si="57"/>
        <v>9.722</v>
      </c>
      <c r="J273">
        <f t="shared" si="58"/>
        <v>16.051</v>
      </c>
      <c r="K273">
        <f t="shared" si="59"/>
        <v>16.538</v>
      </c>
      <c r="L273">
        <f t="shared" si="60"/>
        <v>23.303</v>
      </c>
      <c r="N273">
        <v>7693</v>
      </c>
      <c r="O273">
        <v>13059</v>
      </c>
      <c r="P273">
        <v>8062</v>
      </c>
      <c r="Q273">
        <v>7887</v>
      </c>
      <c r="R273">
        <v>13363</v>
      </c>
      <c r="S273">
        <v>8071</v>
      </c>
      <c r="T273">
        <v>3920</v>
      </c>
      <c r="U273">
        <v>9572</v>
      </c>
      <c r="V273">
        <v>9722</v>
      </c>
      <c r="W273">
        <v>16051</v>
      </c>
      <c r="X273">
        <v>16538</v>
      </c>
      <c r="Y273">
        <v>23303</v>
      </c>
      <c r="AA273" t="s">
        <v>3398</v>
      </c>
      <c r="AC273">
        <v>7631</v>
      </c>
      <c r="AE273">
        <v>7825</v>
      </c>
      <c r="AG273" t="s">
        <v>3399</v>
      </c>
      <c r="AI273">
        <v>3874</v>
      </c>
      <c r="AK273">
        <v>15246</v>
      </c>
      <c r="AP273" t="s">
        <v>3400</v>
      </c>
      <c r="AR273">
        <v>13009</v>
      </c>
      <c r="AT273">
        <v>13307</v>
      </c>
      <c r="AV273" t="s">
        <v>3401</v>
      </c>
      <c r="AX273">
        <v>9504</v>
      </c>
      <c r="AZ273">
        <v>16074</v>
      </c>
      <c r="BB273" t="s">
        <v>3402</v>
      </c>
      <c r="BD273">
        <v>7931</v>
      </c>
      <c r="BF273">
        <v>8016</v>
      </c>
      <c r="BH273" t="s">
        <v>3403</v>
      </c>
      <c r="BJ273">
        <v>9530</v>
      </c>
      <c r="BL273">
        <v>20313</v>
      </c>
    </row>
    <row r="274" spans="1:64">
      <c r="A274">
        <f t="shared" si="49"/>
        <v>7.695</v>
      </c>
      <c r="B274">
        <f t="shared" si="50"/>
        <v>13.067</v>
      </c>
      <c r="C274">
        <f t="shared" si="51"/>
        <v>8.062</v>
      </c>
      <c r="D274">
        <f t="shared" si="52"/>
        <v>7.888</v>
      </c>
      <c r="E274">
        <f t="shared" si="53"/>
        <v>13.379</v>
      </c>
      <c r="F274">
        <f t="shared" si="54"/>
        <v>8.076</v>
      </c>
      <c r="G274">
        <f t="shared" si="55"/>
        <v>3.955</v>
      </c>
      <c r="H274">
        <f t="shared" si="56"/>
        <v>9.581</v>
      </c>
      <c r="I274">
        <f t="shared" si="57"/>
        <v>9.735</v>
      </c>
      <c r="J274">
        <f t="shared" si="58"/>
        <v>16.247</v>
      </c>
      <c r="K274">
        <f t="shared" si="59"/>
        <v>16.781</v>
      </c>
      <c r="L274">
        <f t="shared" si="60"/>
        <v>23.402</v>
      </c>
      <c r="N274">
        <v>7695</v>
      </c>
      <c r="O274">
        <v>13067</v>
      </c>
      <c r="P274">
        <v>8062</v>
      </c>
      <c r="Q274">
        <v>7888</v>
      </c>
      <c r="R274">
        <v>13379</v>
      </c>
      <c r="S274">
        <v>8076</v>
      </c>
      <c r="T274">
        <v>3955</v>
      </c>
      <c r="U274">
        <v>9581</v>
      </c>
      <c r="V274">
        <v>9735</v>
      </c>
      <c r="W274">
        <v>16247</v>
      </c>
      <c r="X274">
        <v>16781</v>
      </c>
      <c r="Y274">
        <v>23402</v>
      </c>
      <c r="AA274" t="s">
        <v>3404</v>
      </c>
      <c r="AC274">
        <v>7652</v>
      </c>
      <c r="AE274">
        <v>7834</v>
      </c>
      <c r="AG274" t="s">
        <v>3405</v>
      </c>
      <c r="AI274">
        <v>3875</v>
      </c>
      <c r="AK274">
        <v>15265</v>
      </c>
      <c r="AP274" t="s">
        <v>3406</v>
      </c>
      <c r="AR274">
        <v>13016</v>
      </c>
      <c r="AT274">
        <v>13327</v>
      </c>
      <c r="AV274" t="s">
        <v>3407</v>
      </c>
      <c r="AX274">
        <v>9518</v>
      </c>
      <c r="AZ274">
        <v>16159</v>
      </c>
      <c r="BB274" t="s">
        <v>3408</v>
      </c>
      <c r="BD274">
        <v>7956</v>
      </c>
      <c r="BF274">
        <v>8030</v>
      </c>
      <c r="BH274" t="s">
        <v>3409</v>
      </c>
      <c r="BJ274">
        <v>9576</v>
      </c>
      <c r="BL274">
        <v>20674</v>
      </c>
    </row>
    <row r="275" spans="1:64">
      <c r="A275">
        <f t="shared" si="49"/>
        <v>7.697</v>
      </c>
      <c r="B275">
        <f t="shared" si="50"/>
        <v>13.072</v>
      </c>
      <c r="C275">
        <f t="shared" si="51"/>
        <v>8.064</v>
      </c>
      <c r="D275">
        <f t="shared" si="52"/>
        <v>7.899</v>
      </c>
      <c r="E275">
        <f t="shared" si="53"/>
        <v>13.386</v>
      </c>
      <c r="F275">
        <f t="shared" si="54"/>
        <v>8.089</v>
      </c>
      <c r="G275">
        <f t="shared" si="55"/>
        <v>3.98</v>
      </c>
      <c r="H275">
        <f t="shared" si="56"/>
        <v>9.59</v>
      </c>
      <c r="I275">
        <f t="shared" si="57"/>
        <v>9.744</v>
      </c>
      <c r="J275">
        <f t="shared" si="58"/>
        <v>16.555</v>
      </c>
      <c r="K275">
        <f t="shared" si="59"/>
        <v>16.849</v>
      </c>
      <c r="L275">
        <f t="shared" si="60"/>
        <v>23.495</v>
      </c>
      <c r="N275">
        <v>7697</v>
      </c>
      <c r="O275">
        <v>13072</v>
      </c>
      <c r="P275">
        <v>8064</v>
      </c>
      <c r="Q275">
        <v>7899</v>
      </c>
      <c r="R275">
        <v>13386</v>
      </c>
      <c r="S275">
        <v>8089</v>
      </c>
      <c r="T275">
        <v>3980</v>
      </c>
      <c r="U275">
        <v>9590</v>
      </c>
      <c r="V275">
        <v>9744</v>
      </c>
      <c r="W275">
        <v>16555</v>
      </c>
      <c r="X275">
        <v>16849</v>
      </c>
      <c r="Y275">
        <v>23495</v>
      </c>
      <c r="AA275" t="s">
        <v>3410</v>
      </c>
      <c r="AC275">
        <v>7664</v>
      </c>
      <c r="AE275">
        <v>7834</v>
      </c>
      <c r="AG275" t="s">
        <v>3411</v>
      </c>
      <c r="AI275">
        <v>3876</v>
      </c>
      <c r="AK275">
        <v>15458</v>
      </c>
      <c r="AP275" t="s">
        <v>3412</v>
      </c>
      <c r="AR275">
        <v>13017</v>
      </c>
      <c r="AT275">
        <v>13337</v>
      </c>
      <c r="AV275" t="s">
        <v>3413</v>
      </c>
      <c r="AX275">
        <v>9524</v>
      </c>
      <c r="AZ275">
        <v>16185</v>
      </c>
      <c r="BB275" t="s">
        <v>3414</v>
      </c>
      <c r="BD275">
        <v>7969</v>
      </c>
      <c r="BF275">
        <v>8052</v>
      </c>
      <c r="BH275" t="s">
        <v>3415</v>
      </c>
      <c r="BJ275">
        <v>9616</v>
      </c>
      <c r="BL275">
        <v>21311</v>
      </c>
    </row>
    <row r="276" spans="1:64">
      <c r="A276">
        <f t="shared" si="49"/>
        <v>7.698</v>
      </c>
      <c r="B276">
        <f t="shared" si="50"/>
        <v>13.075</v>
      </c>
      <c r="C276">
        <f t="shared" si="51"/>
        <v>8.065</v>
      </c>
      <c r="D276">
        <f t="shared" si="52"/>
        <v>7.912</v>
      </c>
      <c r="E276">
        <f t="shared" si="53"/>
        <v>13.388</v>
      </c>
      <c r="F276">
        <f t="shared" si="54"/>
        <v>8.094</v>
      </c>
      <c r="G276">
        <f t="shared" si="55"/>
        <v>3.988</v>
      </c>
      <c r="H276">
        <f t="shared" si="56"/>
        <v>9.607</v>
      </c>
      <c r="I276">
        <f t="shared" si="57"/>
        <v>9.746</v>
      </c>
      <c r="J276">
        <f t="shared" si="58"/>
        <v>16.861</v>
      </c>
      <c r="K276">
        <f t="shared" si="59"/>
        <v>16.969</v>
      </c>
      <c r="L276">
        <f t="shared" si="60"/>
        <v>25.315</v>
      </c>
      <c r="N276">
        <v>7698</v>
      </c>
      <c r="O276">
        <v>13075</v>
      </c>
      <c r="P276">
        <v>8065</v>
      </c>
      <c r="Q276">
        <v>7912</v>
      </c>
      <c r="R276">
        <v>13388</v>
      </c>
      <c r="S276">
        <v>8094</v>
      </c>
      <c r="T276">
        <v>3988</v>
      </c>
      <c r="U276">
        <v>9607</v>
      </c>
      <c r="V276">
        <v>9746</v>
      </c>
      <c r="W276">
        <v>16861</v>
      </c>
      <c r="X276">
        <v>16969</v>
      </c>
      <c r="Y276">
        <v>25315</v>
      </c>
      <c r="AA276" t="s">
        <v>3416</v>
      </c>
      <c r="AC276">
        <v>7668</v>
      </c>
      <c r="AE276">
        <v>7849</v>
      </c>
      <c r="AG276" t="s">
        <v>3417</v>
      </c>
      <c r="AI276">
        <v>3905</v>
      </c>
      <c r="AK276">
        <v>15520</v>
      </c>
      <c r="AP276" t="s">
        <v>3418</v>
      </c>
      <c r="AR276">
        <v>13020</v>
      </c>
      <c r="AT276">
        <v>13338</v>
      </c>
      <c r="AV276" t="s">
        <v>3419</v>
      </c>
      <c r="AX276">
        <v>9528</v>
      </c>
      <c r="AZ276">
        <v>16241</v>
      </c>
      <c r="BB276" t="s">
        <v>3420</v>
      </c>
      <c r="BD276">
        <v>7994</v>
      </c>
      <c r="BF276">
        <v>8062</v>
      </c>
      <c r="BH276" t="s">
        <v>3421</v>
      </c>
      <c r="BJ276">
        <v>9626</v>
      </c>
      <c r="BL276">
        <v>21557</v>
      </c>
    </row>
    <row r="277" spans="1:64">
      <c r="A277">
        <f t="shared" si="49"/>
        <v>7.7</v>
      </c>
      <c r="B277">
        <f t="shared" si="50"/>
        <v>13.078</v>
      </c>
      <c r="C277">
        <f t="shared" si="51"/>
        <v>8.067</v>
      </c>
      <c r="D277">
        <f t="shared" si="52"/>
        <v>7.917</v>
      </c>
      <c r="E277">
        <f t="shared" si="53"/>
        <v>13.396</v>
      </c>
      <c r="F277">
        <f t="shared" si="54"/>
        <v>8.095</v>
      </c>
      <c r="G277">
        <f t="shared" si="55"/>
        <v>3.999</v>
      </c>
      <c r="H277">
        <f t="shared" si="56"/>
        <v>9.624</v>
      </c>
      <c r="I277">
        <f t="shared" si="57"/>
        <v>9.783</v>
      </c>
      <c r="J277">
        <f t="shared" si="58"/>
        <v>16.871</v>
      </c>
      <c r="K277">
        <f t="shared" si="59"/>
        <v>16.98</v>
      </c>
      <c r="L277">
        <f t="shared" si="60"/>
        <v>25.348</v>
      </c>
      <c r="N277">
        <v>7700</v>
      </c>
      <c r="O277">
        <v>13078</v>
      </c>
      <c r="P277">
        <v>8067</v>
      </c>
      <c r="Q277">
        <v>7917</v>
      </c>
      <c r="R277">
        <v>13396</v>
      </c>
      <c r="S277">
        <v>8095</v>
      </c>
      <c r="T277">
        <v>3999</v>
      </c>
      <c r="U277">
        <v>9624</v>
      </c>
      <c r="V277">
        <v>9783</v>
      </c>
      <c r="W277">
        <v>16871</v>
      </c>
      <c r="X277">
        <v>16980</v>
      </c>
      <c r="Y277">
        <v>25348</v>
      </c>
      <c r="AA277" t="s">
        <v>3422</v>
      </c>
      <c r="AC277">
        <v>7669</v>
      </c>
      <c r="AE277">
        <v>7851</v>
      </c>
      <c r="AG277" t="s">
        <v>3423</v>
      </c>
      <c r="AI277">
        <v>3908</v>
      </c>
      <c r="AK277">
        <v>15777</v>
      </c>
      <c r="AP277" t="s">
        <v>3424</v>
      </c>
      <c r="AR277">
        <v>13033</v>
      </c>
      <c r="AT277">
        <v>13341</v>
      </c>
      <c r="AV277" t="s">
        <v>3425</v>
      </c>
      <c r="AX277">
        <v>9542</v>
      </c>
      <c r="AZ277">
        <v>16274</v>
      </c>
      <c r="BB277" t="s">
        <v>3426</v>
      </c>
      <c r="BD277">
        <v>8010</v>
      </c>
      <c r="BF277">
        <v>8062</v>
      </c>
      <c r="BH277" t="s">
        <v>3427</v>
      </c>
      <c r="BJ277">
        <v>9655</v>
      </c>
      <c r="BL277">
        <v>21603</v>
      </c>
    </row>
    <row r="278" spans="1:64">
      <c r="A278">
        <f t="shared" si="49"/>
        <v>7.703</v>
      </c>
      <c r="B278">
        <f t="shared" si="50"/>
        <v>13.098</v>
      </c>
      <c r="C278">
        <f t="shared" si="51"/>
        <v>8.071</v>
      </c>
      <c r="D278">
        <f t="shared" si="52"/>
        <v>7.934</v>
      </c>
      <c r="E278">
        <f t="shared" si="53"/>
        <v>13.44</v>
      </c>
      <c r="F278">
        <f t="shared" si="54"/>
        <v>8.113</v>
      </c>
      <c r="G278">
        <f t="shared" si="55"/>
        <v>4.007</v>
      </c>
      <c r="H278">
        <f t="shared" si="56"/>
        <v>9.637</v>
      </c>
      <c r="I278">
        <f t="shared" si="57"/>
        <v>9.817</v>
      </c>
      <c r="J278">
        <f t="shared" si="58"/>
        <v>16.935</v>
      </c>
      <c r="K278">
        <f t="shared" si="59"/>
        <v>17.61</v>
      </c>
      <c r="L278">
        <f t="shared" si="60"/>
        <v>25.842</v>
      </c>
      <c r="N278">
        <v>7703</v>
      </c>
      <c r="O278">
        <v>13098</v>
      </c>
      <c r="P278">
        <v>8071</v>
      </c>
      <c r="Q278">
        <v>7934</v>
      </c>
      <c r="R278">
        <v>13440</v>
      </c>
      <c r="S278">
        <v>8113</v>
      </c>
      <c r="T278">
        <v>4007</v>
      </c>
      <c r="U278">
        <v>9637</v>
      </c>
      <c r="V278">
        <v>9817</v>
      </c>
      <c r="W278">
        <v>16935</v>
      </c>
      <c r="X278">
        <v>17610</v>
      </c>
      <c r="Y278">
        <v>25842</v>
      </c>
      <c r="AA278" t="s">
        <v>3428</v>
      </c>
      <c r="AC278">
        <v>7675</v>
      </c>
      <c r="AE278">
        <v>7866</v>
      </c>
      <c r="AG278" t="s">
        <v>3429</v>
      </c>
      <c r="AI278">
        <v>3909</v>
      </c>
      <c r="AK278">
        <v>15838</v>
      </c>
      <c r="AP278" t="s">
        <v>3430</v>
      </c>
      <c r="AR278">
        <v>13034</v>
      </c>
      <c r="AT278">
        <v>13344</v>
      </c>
      <c r="AV278" t="s">
        <v>3431</v>
      </c>
      <c r="AX278">
        <v>9548</v>
      </c>
      <c r="AZ278">
        <v>16447</v>
      </c>
      <c r="BB278" t="s">
        <v>3432</v>
      </c>
      <c r="BD278">
        <v>8016</v>
      </c>
      <c r="BF278">
        <v>8064</v>
      </c>
      <c r="BH278" t="s">
        <v>3433</v>
      </c>
      <c r="BJ278">
        <v>9662</v>
      </c>
      <c r="BL278">
        <v>22110</v>
      </c>
    </row>
    <row r="279" spans="1:64">
      <c r="A279">
        <f t="shared" si="49"/>
        <v>7.718</v>
      </c>
      <c r="B279">
        <f t="shared" si="50"/>
        <v>13.105</v>
      </c>
      <c r="C279">
        <f t="shared" si="51"/>
        <v>8.076</v>
      </c>
      <c r="D279">
        <f t="shared" si="52"/>
        <v>7.937</v>
      </c>
      <c r="E279">
        <f t="shared" si="53"/>
        <v>13.471</v>
      </c>
      <c r="F279">
        <f t="shared" si="54"/>
        <v>8.124</v>
      </c>
      <c r="G279">
        <f t="shared" si="55"/>
        <v>4.034</v>
      </c>
      <c r="H279">
        <f t="shared" si="56"/>
        <v>9.652</v>
      </c>
      <c r="I279">
        <f t="shared" si="57"/>
        <v>9.836</v>
      </c>
      <c r="J279">
        <f t="shared" si="58"/>
        <v>17.065</v>
      </c>
      <c r="K279">
        <f t="shared" si="59"/>
        <v>17.658</v>
      </c>
      <c r="L279">
        <f t="shared" si="60"/>
        <v>26.291</v>
      </c>
      <c r="N279">
        <v>7718</v>
      </c>
      <c r="O279">
        <v>13105</v>
      </c>
      <c r="P279">
        <v>8076</v>
      </c>
      <c r="Q279">
        <v>7937</v>
      </c>
      <c r="R279">
        <v>13471</v>
      </c>
      <c r="S279">
        <v>8124</v>
      </c>
      <c r="T279">
        <v>4034</v>
      </c>
      <c r="U279">
        <v>9652</v>
      </c>
      <c r="V279">
        <v>9836</v>
      </c>
      <c r="W279">
        <v>17065</v>
      </c>
      <c r="X279">
        <v>17658</v>
      </c>
      <c r="Y279">
        <v>26291</v>
      </c>
      <c r="AA279" t="s">
        <v>3434</v>
      </c>
      <c r="AC279">
        <v>7679</v>
      </c>
      <c r="AE279">
        <v>7873</v>
      </c>
      <c r="AG279" t="s">
        <v>3435</v>
      </c>
      <c r="AI279">
        <v>3912</v>
      </c>
      <c r="AK279">
        <v>16028</v>
      </c>
      <c r="AP279" t="s">
        <v>3436</v>
      </c>
      <c r="AR279">
        <v>13057</v>
      </c>
      <c r="AT279">
        <v>13358</v>
      </c>
      <c r="AV279" t="s">
        <v>3437</v>
      </c>
      <c r="AX279">
        <v>9548</v>
      </c>
      <c r="AZ279">
        <v>16537</v>
      </c>
      <c r="BB279" t="s">
        <v>3438</v>
      </c>
      <c r="BD279">
        <v>8030</v>
      </c>
      <c r="BF279">
        <v>8065</v>
      </c>
      <c r="BH279" t="s">
        <v>3439</v>
      </c>
      <c r="BJ279">
        <v>9675</v>
      </c>
      <c r="BL279">
        <v>22999</v>
      </c>
    </row>
    <row r="280" spans="1:64">
      <c r="A280">
        <f t="shared" si="49"/>
        <v>7.722</v>
      </c>
      <c r="B280">
        <f t="shared" si="50"/>
        <v>13.111</v>
      </c>
      <c r="C280">
        <f t="shared" si="51"/>
        <v>8.089</v>
      </c>
      <c r="D280">
        <f t="shared" si="52"/>
        <v>7.942</v>
      </c>
      <c r="E280">
        <f t="shared" si="53"/>
        <v>13.472</v>
      </c>
      <c r="F280">
        <f t="shared" si="54"/>
        <v>8.132</v>
      </c>
      <c r="G280">
        <f t="shared" si="55"/>
        <v>4.042</v>
      </c>
      <c r="H280">
        <f t="shared" si="56"/>
        <v>9.654</v>
      </c>
      <c r="I280">
        <f t="shared" si="57"/>
        <v>9.862</v>
      </c>
      <c r="J280">
        <f t="shared" si="58"/>
        <v>17.857</v>
      </c>
      <c r="K280">
        <f t="shared" si="59"/>
        <v>17.726</v>
      </c>
      <c r="L280">
        <f t="shared" si="60"/>
        <v>26.61</v>
      </c>
      <c r="N280">
        <v>7722</v>
      </c>
      <c r="O280">
        <v>13111</v>
      </c>
      <c r="P280">
        <v>8089</v>
      </c>
      <c r="Q280">
        <v>7942</v>
      </c>
      <c r="R280">
        <v>13472</v>
      </c>
      <c r="S280">
        <v>8132</v>
      </c>
      <c r="T280">
        <v>4042</v>
      </c>
      <c r="U280">
        <v>9654</v>
      </c>
      <c r="V280">
        <v>9862</v>
      </c>
      <c r="W280">
        <v>17857</v>
      </c>
      <c r="X280">
        <v>17726</v>
      </c>
      <c r="Y280">
        <v>26610</v>
      </c>
      <c r="AA280" t="s">
        <v>3440</v>
      </c>
      <c r="AC280">
        <v>7685</v>
      </c>
      <c r="AE280">
        <v>7876</v>
      </c>
      <c r="AG280" t="s">
        <v>3441</v>
      </c>
      <c r="AI280">
        <v>3917</v>
      </c>
      <c r="AK280">
        <v>16028</v>
      </c>
      <c r="AP280" t="s">
        <v>3442</v>
      </c>
      <c r="AR280">
        <v>13059</v>
      </c>
      <c r="AT280">
        <v>13363</v>
      </c>
      <c r="AV280" t="s">
        <v>3443</v>
      </c>
      <c r="AX280">
        <v>9572</v>
      </c>
      <c r="AZ280">
        <v>16538</v>
      </c>
      <c r="BB280" t="s">
        <v>3444</v>
      </c>
      <c r="BD280">
        <v>8052</v>
      </c>
      <c r="BF280">
        <v>8067</v>
      </c>
      <c r="BH280" t="s">
        <v>3445</v>
      </c>
      <c r="BJ280">
        <v>9694</v>
      </c>
      <c r="BL280">
        <v>23193</v>
      </c>
    </row>
    <row r="281" spans="1:64">
      <c r="A281">
        <f t="shared" si="49"/>
        <v>7.732</v>
      </c>
      <c r="B281">
        <f t="shared" si="50"/>
        <v>13.125</v>
      </c>
      <c r="C281">
        <f t="shared" si="51"/>
        <v>8.094</v>
      </c>
      <c r="D281">
        <f t="shared" si="52"/>
        <v>7.943</v>
      </c>
      <c r="E281">
        <f t="shared" si="53"/>
        <v>13.494</v>
      </c>
      <c r="F281">
        <f t="shared" si="54"/>
        <v>8.137</v>
      </c>
      <c r="G281">
        <f t="shared" si="55"/>
        <v>4.042</v>
      </c>
      <c r="H281">
        <f t="shared" si="56"/>
        <v>9.683</v>
      </c>
      <c r="I281">
        <f t="shared" si="57"/>
        <v>9.912</v>
      </c>
      <c r="J281">
        <f t="shared" si="58"/>
        <v>17.956</v>
      </c>
      <c r="K281">
        <f t="shared" si="59"/>
        <v>17.77</v>
      </c>
      <c r="L281">
        <f t="shared" si="60"/>
        <v>26.661</v>
      </c>
      <c r="N281">
        <v>7732</v>
      </c>
      <c r="O281">
        <v>13125</v>
      </c>
      <c r="P281">
        <v>8094</v>
      </c>
      <c r="Q281">
        <v>7943</v>
      </c>
      <c r="R281">
        <v>13494</v>
      </c>
      <c r="S281">
        <v>8137</v>
      </c>
      <c r="T281">
        <v>4042</v>
      </c>
      <c r="U281">
        <v>9683</v>
      </c>
      <c r="V281">
        <v>9912</v>
      </c>
      <c r="W281">
        <v>17956</v>
      </c>
      <c r="X281">
        <v>17770</v>
      </c>
      <c r="Y281">
        <v>26661</v>
      </c>
      <c r="AA281" t="s">
        <v>3446</v>
      </c>
      <c r="AC281">
        <v>7693</v>
      </c>
      <c r="AE281">
        <v>7887</v>
      </c>
      <c r="AG281" t="s">
        <v>3447</v>
      </c>
      <c r="AI281">
        <v>3920</v>
      </c>
      <c r="AK281">
        <v>16051</v>
      </c>
      <c r="AP281" t="s">
        <v>3448</v>
      </c>
      <c r="AR281">
        <v>13067</v>
      </c>
      <c r="AT281">
        <v>13379</v>
      </c>
      <c r="AV281" t="s">
        <v>3449</v>
      </c>
      <c r="AX281">
        <v>9581</v>
      </c>
      <c r="AZ281">
        <v>16781</v>
      </c>
      <c r="BB281" t="s">
        <v>3450</v>
      </c>
      <c r="BD281">
        <v>8062</v>
      </c>
      <c r="BF281">
        <v>8071</v>
      </c>
      <c r="BH281" t="s">
        <v>3451</v>
      </c>
      <c r="BJ281">
        <v>9722</v>
      </c>
      <c r="BL281">
        <v>23303</v>
      </c>
    </row>
    <row r="282" spans="1:64">
      <c r="A282">
        <f t="shared" si="49"/>
        <v>7.741</v>
      </c>
      <c r="B282">
        <f t="shared" si="50"/>
        <v>13.151</v>
      </c>
      <c r="C282">
        <f t="shared" si="51"/>
        <v>8.095</v>
      </c>
      <c r="D282">
        <f t="shared" si="52"/>
        <v>7.951</v>
      </c>
      <c r="E282">
        <f t="shared" si="53"/>
        <v>13.496</v>
      </c>
      <c r="F282">
        <f t="shared" si="54"/>
        <v>8.154</v>
      </c>
      <c r="G282">
        <f t="shared" si="55"/>
        <v>4.05</v>
      </c>
      <c r="H282">
        <f t="shared" si="56"/>
        <v>9.688</v>
      </c>
      <c r="I282">
        <f t="shared" si="57"/>
        <v>9.919</v>
      </c>
      <c r="J282">
        <f t="shared" si="58"/>
        <v>18.26</v>
      </c>
      <c r="K282">
        <f t="shared" si="59"/>
        <v>17.782</v>
      </c>
      <c r="L282">
        <f t="shared" si="60"/>
        <v>26.789</v>
      </c>
      <c r="N282">
        <v>7741</v>
      </c>
      <c r="O282">
        <v>13151</v>
      </c>
      <c r="P282">
        <v>8095</v>
      </c>
      <c r="Q282">
        <v>7951</v>
      </c>
      <c r="R282">
        <v>13496</v>
      </c>
      <c r="S282">
        <v>8154</v>
      </c>
      <c r="T282">
        <v>4050</v>
      </c>
      <c r="U282">
        <v>9688</v>
      </c>
      <c r="V282">
        <v>9919</v>
      </c>
      <c r="W282">
        <v>18260</v>
      </c>
      <c r="X282">
        <v>17782</v>
      </c>
      <c r="Y282">
        <v>26789</v>
      </c>
      <c r="AA282" t="s">
        <v>3452</v>
      </c>
      <c r="AC282">
        <v>7695</v>
      </c>
      <c r="AE282">
        <v>7888</v>
      </c>
      <c r="AG282" t="s">
        <v>3453</v>
      </c>
      <c r="AI282">
        <v>3955</v>
      </c>
      <c r="AK282">
        <v>16247</v>
      </c>
      <c r="AP282" t="s">
        <v>3454</v>
      </c>
      <c r="AR282">
        <v>13072</v>
      </c>
      <c r="AT282">
        <v>13386</v>
      </c>
      <c r="AV282" t="s">
        <v>3455</v>
      </c>
      <c r="AX282">
        <v>9590</v>
      </c>
      <c r="AZ282">
        <v>16849</v>
      </c>
      <c r="BB282" t="s">
        <v>3456</v>
      </c>
      <c r="BD282">
        <v>8062</v>
      </c>
      <c r="BF282">
        <v>8076</v>
      </c>
      <c r="BH282" t="s">
        <v>3457</v>
      </c>
      <c r="BJ282">
        <v>9735</v>
      </c>
      <c r="BL282">
        <v>23402</v>
      </c>
    </row>
    <row r="283" spans="1:64">
      <c r="A283">
        <f t="shared" si="49"/>
        <v>7.742</v>
      </c>
      <c r="B283">
        <f t="shared" si="50"/>
        <v>13.154</v>
      </c>
      <c r="C283">
        <f t="shared" si="51"/>
        <v>8.113</v>
      </c>
      <c r="D283">
        <f t="shared" si="52"/>
        <v>7.962</v>
      </c>
      <c r="E283">
        <f t="shared" si="53"/>
        <v>13.499</v>
      </c>
      <c r="F283">
        <f t="shared" si="54"/>
        <v>8.158</v>
      </c>
      <c r="G283">
        <f t="shared" si="55"/>
        <v>4.061</v>
      </c>
      <c r="H283">
        <f t="shared" si="56"/>
        <v>9.741</v>
      </c>
      <c r="I283">
        <f t="shared" si="57"/>
        <v>10.03</v>
      </c>
      <c r="J283">
        <f t="shared" si="58"/>
        <v>18.41</v>
      </c>
      <c r="K283">
        <f t="shared" si="59"/>
        <v>18.043</v>
      </c>
      <c r="L283">
        <f t="shared" si="60"/>
        <v>28.229</v>
      </c>
      <c r="N283">
        <v>7742</v>
      </c>
      <c r="O283">
        <v>13154</v>
      </c>
      <c r="P283">
        <v>8113</v>
      </c>
      <c r="Q283">
        <v>7962</v>
      </c>
      <c r="R283">
        <v>13499</v>
      </c>
      <c r="S283">
        <v>8158</v>
      </c>
      <c r="T283">
        <v>4061</v>
      </c>
      <c r="U283">
        <v>9741</v>
      </c>
      <c r="V283">
        <v>10030</v>
      </c>
      <c r="W283">
        <v>18410</v>
      </c>
      <c r="X283">
        <v>18043</v>
      </c>
      <c r="Y283">
        <v>28229</v>
      </c>
      <c r="AA283" t="s">
        <v>3458</v>
      </c>
      <c r="AC283">
        <v>7697</v>
      </c>
      <c r="AE283">
        <v>7899</v>
      </c>
      <c r="AG283" t="s">
        <v>3459</v>
      </c>
      <c r="AI283">
        <v>3980</v>
      </c>
      <c r="AK283">
        <v>16555</v>
      </c>
      <c r="AP283" t="s">
        <v>3460</v>
      </c>
      <c r="AR283">
        <v>13075</v>
      </c>
      <c r="AT283">
        <v>13388</v>
      </c>
      <c r="AV283" t="s">
        <v>3461</v>
      </c>
      <c r="AX283">
        <v>9607</v>
      </c>
      <c r="AZ283">
        <v>16969</v>
      </c>
      <c r="BB283" t="s">
        <v>3462</v>
      </c>
      <c r="BD283">
        <v>8064</v>
      </c>
      <c r="BF283">
        <v>8089</v>
      </c>
      <c r="BH283" t="s">
        <v>3463</v>
      </c>
      <c r="BJ283">
        <v>9744</v>
      </c>
      <c r="BL283">
        <v>23495</v>
      </c>
    </row>
    <row r="284" spans="1:64">
      <c r="A284">
        <f t="shared" si="49"/>
        <v>7.753</v>
      </c>
      <c r="B284">
        <f t="shared" si="50"/>
        <v>13.19</v>
      </c>
      <c r="C284">
        <f t="shared" si="51"/>
        <v>8.124</v>
      </c>
      <c r="D284">
        <f t="shared" si="52"/>
        <v>7.968</v>
      </c>
      <c r="E284">
        <f t="shared" si="53"/>
        <v>13.516</v>
      </c>
      <c r="F284">
        <f t="shared" si="54"/>
        <v>8.167</v>
      </c>
      <c r="G284">
        <f t="shared" si="55"/>
        <v>4.107</v>
      </c>
      <c r="H284">
        <f t="shared" si="56"/>
        <v>9.76</v>
      </c>
      <c r="I284">
        <f t="shared" si="57"/>
        <v>10.085</v>
      </c>
      <c r="J284">
        <f t="shared" si="58"/>
        <v>18.499</v>
      </c>
      <c r="K284">
        <f t="shared" si="59"/>
        <v>18.392</v>
      </c>
      <c r="L284">
        <f t="shared" si="60"/>
        <v>28.383</v>
      </c>
      <c r="N284">
        <v>7753</v>
      </c>
      <c r="O284">
        <v>13190</v>
      </c>
      <c r="P284">
        <v>8124</v>
      </c>
      <c r="Q284">
        <v>7968</v>
      </c>
      <c r="R284">
        <v>13516</v>
      </c>
      <c r="S284">
        <v>8167</v>
      </c>
      <c r="T284">
        <v>4107</v>
      </c>
      <c r="U284">
        <v>9760</v>
      </c>
      <c r="V284">
        <v>10085</v>
      </c>
      <c r="W284">
        <v>18499</v>
      </c>
      <c r="X284">
        <v>18392</v>
      </c>
      <c r="Y284">
        <v>28383</v>
      </c>
      <c r="AA284" t="s">
        <v>3464</v>
      </c>
      <c r="AC284">
        <v>7698</v>
      </c>
      <c r="AE284">
        <v>7912</v>
      </c>
      <c r="AG284" t="s">
        <v>3465</v>
      </c>
      <c r="AI284">
        <v>3988</v>
      </c>
      <c r="AK284">
        <v>16861</v>
      </c>
      <c r="AP284" t="s">
        <v>3466</v>
      </c>
      <c r="AR284">
        <v>13078</v>
      </c>
      <c r="AT284">
        <v>13396</v>
      </c>
      <c r="AV284" t="s">
        <v>3467</v>
      </c>
      <c r="AX284">
        <v>9624</v>
      </c>
      <c r="AZ284">
        <v>16980</v>
      </c>
      <c r="BB284" t="s">
        <v>3468</v>
      </c>
      <c r="BD284">
        <v>8065</v>
      </c>
      <c r="BF284">
        <v>8094</v>
      </c>
      <c r="BH284" t="s">
        <v>3469</v>
      </c>
      <c r="BJ284">
        <v>9746</v>
      </c>
      <c r="BL284">
        <v>25315</v>
      </c>
    </row>
    <row r="285" spans="1:64">
      <c r="A285">
        <f t="shared" si="49"/>
        <v>7.753</v>
      </c>
      <c r="B285">
        <f t="shared" si="50"/>
        <v>13.193</v>
      </c>
      <c r="C285">
        <f t="shared" si="51"/>
        <v>8.132</v>
      </c>
      <c r="D285">
        <f t="shared" si="52"/>
        <v>7.972</v>
      </c>
      <c r="E285">
        <f t="shared" si="53"/>
        <v>13.525</v>
      </c>
      <c r="F285">
        <f t="shared" si="54"/>
        <v>8.173</v>
      </c>
      <c r="G285">
        <f t="shared" si="55"/>
        <v>4.11</v>
      </c>
      <c r="H285">
        <f t="shared" si="56"/>
        <v>9.767</v>
      </c>
      <c r="I285">
        <f t="shared" si="57"/>
        <v>10.092</v>
      </c>
      <c r="J285">
        <f t="shared" si="58"/>
        <v>18.729</v>
      </c>
      <c r="K285">
        <f t="shared" si="59"/>
        <v>18.834</v>
      </c>
      <c r="L285">
        <f t="shared" si="60"/>
        <v>28.916</v>
      </c>
      <c r="N285">
        <v>7753</v>
      </c>
      <c r="O285">
        <v>13193</v>
      </c>
      <c r="P285">
        <v>8132</v>
      </c>
      <c r="Q285">
        <v>7972</v>
      </c>
      <c r="R285">
        <v>13525</v>
      </c>
      <c r="S285">
        <v>8173</v>
      </c>
      <c r="T285">
        <v>4110</v>
      </c>
      <c r="U285">
        <v>9767</v>
      </c>
      <c r="V285">
        <v>10092</v>
      </c>
      <c r="W285">
        <v>18729</v>
      </c>
      <c r="X285">
        <v>18834</v>
      </c>
      <c r="Y285">
        <v>28916</v>
      </c>
      <c r="AA285" t="s">
        <v>3470</v>
      </c>
      <c r="AC285">
        <v>7700</v>
      </c>
      <c r="AE285">
        <v>7917</v>
      </c>
      <c r="AG285" t="s">
        <v>3471</v>
      </c>
      <c r="AI285">
        <v>3999</v>
      </c>
      <c r="AK285">
        <v>16871</v>
      </c>
      <c r="AP285" t="s">
        <v>3472</v>
      </c>
      <c r="AR285">
        <v>13098</v>
      </c>
      <c r="AT285">
        <v>13440</v>
      </c>
      <c r="AV285" t="s">
        <v>3473</v>
      </c>
      <c r="AX285">
        <v>9637</v>
      </c>
      <c r="AZ285">
        <v>17610</v>
      </c>
      <c r="BB285" t="s">
        <v>3474</v>
      </c>
      <c r="BD285">
        <v>8067</v>
      </c>
      <c r="BF285">
        <v>8095</v>
      </c>
      <c r="BH285" t="s">
        <v>3475</v>
      </c>
      <c r="BJ285">
        <v>9783</v>
      </c>
      <c r="BL285">
        <v>25348</v>
      </c>
    </row>
    <row r="286" spans="1:64">
      <c r="A286">
        <f t="shared" si="49"/>
        <v>7.77</v>
      </c>
      <c r="B286">
        <f t="shared" si="50"/>
        <v>13.201</v>
      </c>
      <c r="C286">
        <f t="shared" si="51"/>
        <v>8.137</v>
      </c>
      <c r="D286">
        <f t="shared" si="52"/>
        <v>7.987</v>
      </c>
      <c r="E286">
        <f t="shared" si="53"/>
        <v>13.527</v>
      </c>
      <c r="F286">
        <f t="shared" si="54"/>
        <v>8.178</v>
      </c>
      <c r="G286">
        <f t="shared" si="55"/>
        <v>4.121</v>
      </c>
      <c r="H286">
        <f t="shared" si="56"/>
        <v>9.777</v>
      </c>
      <c r="I286">
        <f t="shared" si="57"/>
        <v>10.112</v>
      </c>
      <c r="J286">
        <f t="shared" si="58"/>
        <v>18.752</v>
      </c>
      <c r="K286">
        <f t="shared" si="59"/>
        <v>19.008</v>
      </c>
      <c r="L286">
        <f t="shared" si="60"/>
        <v>29.36</v>
      </c>
      <c r="N286">
        <v>7770</v>
      </c>
      <c r="O286">
        <v>13201</v>
      </c>
      <c r="P286">
        <v>8137</v>
      </c>
      <c r="Q286">
        <v>7987</v>
      </c>
      <c r="R286">
        <v>13527</v>
      </c>
      <c r="S286">
        <v>8178</v>
      </c>
      <c r="T286">
        <v>4121</v>
      </c>
      <c r="U286">
        <v>9777</v>
      </c>
      <c r="V286">
        <v>10112</v>
      </c>
      <c r="W286">
        <v>18752</v>
      </c>
      <c r="X286">
        <v>19008</v>
      </c>
      <c r="Y286">
        <v>29360</v>
      </c>
      <c r="AA286" t="s">
        <v>3476</v>
      </c>
      <c r="AC286">
        <v>7703</v>
      </c>
      <c r="AE286">
        <v>7934</v>
      </c>
      <c r="AG286" t="s">
        <v>3477</v>
      </c>
      <c r="AI286">
        <v>4007</v>
      </c>
      <c r="AK286">
        <v>16935</v>
      </c>
      <c r="AP286" t="s">
        <v>3478</v>
      </c>
      <c r="AR286">
        <v>13105</v>
      </c>
      <c r="AT286">
        <v>13471</v>
      </c>
      <c r="AV286" t="s">
        <v>3479</v>
      </c>
      <c r="AX286">
        <v>9652</v>
      </c>
      <c r="AZ286">
        <v>17658</v>
      </c>
      <c r="BB286" t="s">
        <v>3480</v>
      </c>
      <c r="BD286">
        <v>8071</v>
      </c>
      <c r="BF286">
        <v>8113</v>
      </c>
      <c r="BH286" t="s">
        <v>3481</v>
      </c>
      <c r="BJ286">
        <v>9817</v>
      </c>
      <c r="BL286">
        <v>25842</v>
      </c>
    </row>
    <row r="287" spans="1:64">
      <c r="A287">
        <f t="shared" si="49"/>
        <v>7.787</v>
      </c>
      <c r="B287">
        <f t="shared" si="50"/>
        <v>13.205</v>
      </c>
      <c r="C287">
        <f t="shared" si="51"/>
        <v>8.154</v>
      </c>
      <c r="D287">
        <f t="shared" si="52"/>
        <v>8</v>
      </c>
      <c r="E287">
        <f t="shared" si="53"/>
        <v>13.531</v>
      </c>
      <c r="F287">
        <f t="shared" si="54"/>
        <v>8.181</v>
      </c>
      <c r="G287">
        <f t="shared" si="55"/>
        <v>4.152</v>
      </c>
      <c r="H287">
        <f t="shared" si="56"/>
        <v>9.783</v>
      </c>
      <c r="I287">
        <f t="shared" si="57"/>
        <v>10.12</v>
      </c>
      <c r="J287">
        <f t="shared" si="58"/>
        <v>19.307</v>
      </c>
      <c r="K287">
        <f t="shared" si="59"/>
        <v>19.159</v>
      </c>
      <c r="L287">
        <f t="shared" si="60"/>
        <v>30.271</v>
      </c>
      <c r="N287">
        <v>7787</v>
      </c>
      <c r="O287">
        <v>13205</v>
      </c>
      <c r="P287">
        <v>8154</v>
      </c>
      <c r="Q287">
        <v>8000</v>
      </c>
      <c r="R287">
        <v>13531</v>
      </c>
      <c r="S287">
        <v>8181</v>
      </c>
      <c r="T287">
        <v>4152</v>
      </c>
      <c r="U287">
        <v>9783</v>
      </c>
      <c r="V287">
        <v>10120</v>
      </c>
      <c r="W287">
        <v>19307</v>
      </c>
      <c r="X287">
        <v>19159</v>
      </c>
      <c r="Y287">
        <v>30271</v>
      </c>
      <c r="AA287" t="s">
        <v>3482</v>
      </c>
      <c r="AC287">
        <v>7718</v>
      </c>
      <c r="AE287">
        <v>7937</v>
      </c>
      <c r="AG287" t="s">
        <v>3483</v>
      </c>
      <c r="AI287">
        <v>4034</v>
      </c>
      <c r="AK287">
        <v>17065</v>
      </c>
      <c r="AP287" t="s">
        <v>3484</v>
      </c>
      <c r="AR287">
        <v>13111</v>
      </c>
      <c r="AT287">
        <v>13472</v>
      </c>
      <c r="AV287" t="s">
        <v>3485</v>
      </c>
      <c r="AX287">
        <v>9654</v>
      </c>
      <c r="AZ287">
        <v>17726</v>
      </c>
      <c r="BB287" t="s">
        <v>3486</v>
      </c>
      <c r="BD287">
        <v>8076</v>
      </c>
      <c r="BF287">
        <v>8124</v>
      </c>
      <c r="BH287" t="s">
        <v>3487</v>
      </c>
      <c r="BJ287">
        <v>9836</v>
      </c>
      <c r="BL287">
        <v>26291</v>
      </c>
    </row>
    <row r="288" spans="1:64">
      <c r="A288">
        <f t="shared" si="49"/>
        <v>7.787</v>
      </c>
      <c r="B288">
        <f t="shared" si="50"/>
        <v>13.215</v>
      </c>
      <c r="C288">
        <f t="shared" si="51"/>
        <v>8.158</v>
      </c>
      <c r="D288">
        <f t="shared" si="52"/>
        <v>8.002</v>
      </c>
      <c r="E288">
        <f t="shared" si="53"/>
        <v>13.538</v>
      </c>
      <c r="F288">
        <f t="shared" si="54"/>
        <v>8.187</v>
      </c>
      <c r="G288">
        <f t="shared" si="55"/>
        <v>4.173</v>
      </c>
      <c r="H288">
        <f t="shared" si="56"/>
        <v>9.783</v>
      </c>
      <c r="I288">
        <f t="shared" si="57"/>
        <v>10.146</v>
      </c>
      <c r="J288">
        <f t="shared" si="58"/>
        <v>19.493</v>
      </c>
      <c r="K288">
        <f t="shared" si="59"/>
        <v>19.602</v>
      </c>
      <c r="L288">
        <f t="shared" si="60"/>
        <v>30.586</v>
      </c>
      <c r="N288">
        <v>7787</v>
      </c>
      <c r="O288">
        <v>13215</v>
      </c>
      <c r="P288">
        <v>8158</v>
      </c>
      <c r="Q288">
        <v>8002</v>
      </c>
      <c r="R288">
        <v>13538</v>
      </c>
      <c r="S288">
        <v>8187</v>
      </c>
      <c r="T288">
        <v>4173</v>
      </c>
      <c r="U288">
        <v>9783</v>
      </c>
      <c r="V288">
        <v>10146</v>
      </c>
      <c r="W288">
        <v>19493</v>
      </c>
      <c r="X288">
        <v>19602</v>
      </c>
      <c r="Y288">
        <v>30586</v>
      </c>
      <c r="AA288" t="s">
        <v>3488</v>
      </c>
      <c r="AC288">
        <v>7722</v>
      </c>
      <c r="AE288">
        <v>7942</v>
      </c>
      <c r="AG288" t="s">
        <v>3489</v>
      </c>
      <c r="AI288">
        <v>4042</v>
      </c>
      <c r="AK288">
        <v>17857</v>
      </c>
      <c r="AP288" t="s">
        <v>3490</v>
      </c>
      <c r="AR288">
        <v>13125</v>
      </c>
      <c r="AT288">
        <v>13494</v>
      </c>
      <c r="AV288" t="s">
        <v>3491</v>
      </c>
      <c r="AX288">
        <v>9683</v>
      </c>
      <c r="AZ288">
        <v>17770</v>
      </c>
      <c r="BB288" t="s">
        <v>3492</v>
      </c>
      <c r="BD288">
        <v>8089</v>
      </c>
      <c r="BF288">
        <v>8132</v>
      </c>
      <c r="BH288" t="s">
        <v>3493</v>
      </c>
      <c r="BJ288">
        <v>9862</v>
      </c>
      <c r="BL288">
        <v>26610</v>
      </c>
    </row>
    <row r="289" spans="1:64">
      <c r="A289">
        <f t="shared" si="49"/>
        <v>7.794</v>
      </c>
      <c r="B289">
        <f t="shared" si="50"/>
        <v>13.218</v>
      </c>
      <c r="C289">
        <f t="shared" si="51"/>
        <v>8.167</v>
      </c>
      <c r="D289">
        <f t="shared" si="52"/>
        <v>8.008</v>
      </c>
      <c r="E289">
        <f t="shared" si="53"/>
        <v>13.582</v>
      </c>
      <c r="F289">
        <f t="shared" si="54"/>
        <v>8.192</v>
      </c>
      <c r="G289">
        <f t="shared" si="55"/>
        <v>4.184</v>
      </c>
      <c r="H289">
        <f t="shared" si="56"/>
        <v>9.807</v>
      </c>
      <c r="I289">
        <f t="shared" si="57"/>
        <v>10.17</v>
      </c>
      <c r="J289">
        <f t="shared" si="58"/>
        <v>20.753</v>
      </c>
      <c r="K289">
        <f t="shared" si="59"/>
        <v>20.476</v>
      </c>
      <c r="L289">
        <f t="shared" si="60"/>
        <v>31.164</v>
      </c>
      <c r="N289">
        <v>7794</v>
      </c>
      <c r="O289">
        <v>13218</v>
      </c>
      <c r="P289">
        <v>8167</v>
      </c>
      <c r="Q289">
        <v>8008</v>
      </c>
      <c r="R289">
        <v>13582</v>
      </c>
      <c r="S289">
        <v>8192</v>
      </c>
      <c r="T289">
        <v>4184</v>
      </c>
      <c r="U289">
        <v>9807</v>
      </c>
      <c r="V289">
        <v>10170</v>
      </c>
      <c r="W289">
        <v>20753</v>
      </c>
      <c r="X289">
        <v>20476</v>
      </c>
      <c r="Y289">
        <v>31164</v>
      </c>
      <c r="AA289" t="s">
        <v>3494</v>
      </c>
      <c r="AC289">
        <v>7732</v>
      </c>
      <c r="AE289">
        <v>7943</v>
      </c>
      <c r="AG289" t="s">
        <v>3495</v>
      </c>
      <c r="AI289">
        <v>4042</v>
      </c>
      <c r="AK289">
        <v>17956</v>
      </c>
      <c r="AP289" t="s">
        <v>3496</v>
      </c>
      <c r="AR289">
        <v>13151</v>
      </c>
      <c r="AT289">
        <v>13496</v>
      </c>
      <c r="AV289" t="s">
        <v>3497</v>
      </c>
      <c r="AX289">
        <v>9688</v>
      </c>
      <c r="AZ289">
        <v>17782</v>
      </c>
      <c r="BB289" t="s">
        <v>3498</v>
      </c>
      <c r="BD289">
        <v>8094</v>
      </c>
      <c r="BF289">
        <v>8137</v>
      </c>
      <c r="BH289" t="s">
        <v>3499</v>
      </c>
      <c r="BJ289">
        <v>9912</v>
      </c>
      <c r="BL289">
        <v>26661</v>
      </c>
    </row>
    <row r="290" spans="1:64">
      <c r="A290">
        <f t="shared" si="49"/>
        <v>7.794</v>
      </c>
      <c r="B290">
        <f t="shared" si="50"/>
        <v>13.236</v>
      </c>
      <c r="C290">
        <f t="shared" si="51"/>
        <v>8.173</v>
      </c>
      <c r="D290">
        <f t="shared" si="52"/>
        <v>8.018</v>
      </c>
      <c r="E290">
        <f t="shared" si="53"/>
        <v>13.587</v>
      </c>
      <c r="F290">
        <f t="shared" si="54"/>
        <v>8.195</v>
      </c>
      <c r="G290">
        <f t="shared" si="55"/>
        <v>4.222</v>
      </c>
      <c r="H290">
        <f t="shared" si="56"/>
        <v>9.827</v>
      </c>
      <c r="I290">
        <f t="shared" si="57"/>
        <v>10.192</v>
      </c>
      <c r="J290">
        <f t="shared" si="58"/>
        <v>21.052</v>
      </c>
      <c r="K290">
        <f t="shared" si="59"/>
        <v>20.599</v>
      </c>
      <c r="L290">
        <f t="shared" si="60"/>
        <v>32.063</v>
      </c>
      <c r="N290">
        <v>7794</v>
      </c>
      <c r="O290">
        <v>13236</v>
      </c>
      <c r="P290">
        <v>8173</v>
      </c>
      <c r="Q290">
        <v>8018</v>
      </c>
      <c r="R290">
        <v>13587</v>
      </c>
      <c r="S290">
        <v>8195</v>
      </c>
      <c r="T290">
        <v>4222</v>
      </c>
      <c r="U290">
        <v>9827</v>
      </c>
      <c r="V290">
        <v>10192</v>
      </c>
      <c r="W290">
        <v>21052</v>
      </c>
      <c r="X290">
        <v>20599</v>
      </c>
      <c r="Y290">
        <v>32063</v>
      </c>
      <c r="AA290" t="s">
        <v>3500</v>
      </c>
      <c r="AC290">
        <v>7741</v>
      </c>
      <c r="AE290">
        <v>7951</v>
      </c>
      <c r="AG290" t="s">
        <v>3501</v>
      </c>
      <c r="AI290">
        <v>4050</v>
      </c>
      <c r="AK290">
        <v>18260</v>
      </c>
      <c r="AP290" t="s">
        <v>3502</v>
      </c>
      <c r="AR290">
        <v>13154</v>
      </c>
      <c r="AT290">
        <v>13499</v>
      </c>
      <c r="AV290" t="s">
        <v>3503</v>
      </c>
      <c r="AX290">
        <v>9741</v>
      </c>
      <c r="AZ290">
        <v>18043</v>
      </c>
      <c r="BB290" t="s">
        <v>3504</v>
      </c>
      <c r="BD290">
        <v>8095</v>
      </c>
      <c r="BF290">
        <v>8154</v>
      </c>
      <c r="BH290" t="s">
        <v>3505</v>
      </c>
      <c r="BJ290">
        <v>9919</v>
      </c>
      <c r="BL290">
        <v>26789</v>
      </c>
    </row>
    <row r="291" spans="1:64">
      <c r="A291">
        <f t="shared" si="49"/>
        <v>7.795</v>
      </c>
      <c r="B291">
        <f t="shared" si="50"/>
        <v>13.272</v>
      </c>
      <c r="C291">
        <f t="shared" si="51"/>
        <v>8.178</v>
      </c>
      <c r="D291">
        <f t="shared" si="52"/>
        <v>8.041</v>
      </c>
      <c r="E291">
        <f t="shared" si="53"/>
        <v>13.593</v>
      </c>
      <c r="F291">
        <f t="shared" si="54"/>
        <v>8.198</v>
      </c>
      <c r="G291">
        <f t="shared" si="55"/>
        <v>4.259</v>
      </c>
      <c r="H291">
        <f t="shared" si="56"/>
        <v>9.834</v>
      </c>
      <c r="I291">
        <f t="shared" si="57"/>
        <v>10.206</v>
      </c>
      <c r="J291">
        <f t="shared" si="58"/>
        <v>21.115</v>
      </c>
      <c r="K291">
        <f t="shared" si="59"/>
        <v>21.101</v>
      </c>
      <c r="L291">
        <f t="shared" si="60"/>
        <v>32.1</v>
      </c>
      <c r="N291">
        <v>7795</v>
      </c>
      <c r="O291">
        <v>13272</v>
      </c>
      <c r="P291">
        <v>8178</v>
      </c>
      <c r="Q291">
        <v>8041</v>
      </c>
      <c r="R291">
        <v>13593</v>
      </c>
      <c r="S291">
        <v>8198</v>
      </c>
      <c r="T291">
        <v>4259</v>
      </c>
      <c r="U291">
        <v>9834</v>
      </c>
      <c r="V291">
        <v>10206</v>
      </c>
      <c r="W291">
        <v>21115</v>
      </c>
      <c r="X291">
        <v>21101</v>
      </c>
      <c r="Y291">
        <v>32100</v>
      </c>
      <c r="AA291" t="s">
        <v>3506</v>
      </c>
      <c r="AC291">
        <v>7742</v>
      </c>
      <c r="AE291">
        <v>7962</v>
      </c>
      <c r="AG291" t="s">
        <v>3507</v>
      </c>
      <c r="AI291">
        <v>4061</v>
      </c>
      <c r="AK291">
        <v>18410</v>
      </c>
      <c r="AP291" t="s">
        <v>3508</v>
      </c>
      <c r="AR291">
        <v>13190</v>
      </c>
      <c r="AT291">
        <v>13516</v>
      </c>
      <c r="AV291" t="s">
        <v>3509</v>
      </c>
      <c r="AX291">
        <v>9760</v>
      </c>
      <c r="AZ291">
        <v>18392</v>
      </c>
      <c r="BB291" t="s">
        <v>3510</v>
      </c>
      <c r="BD291">
        <v>8113</v>
      </c>
      <c r="BF291">
        <v>8158</v>
      </c>
      <c r="BH291" t="s">
        <v>3511</v>
      </c>
      <c r="BJ291">
        <v>10030</v>
      </c>
      <c r="BL291">
        <v>28229</v>
      </c>
    </row>
    <row r="292" spans="1:64">
      <c r="A292">
        <f t="shared" si="49"/>
        <v>7.801</v>
      </c>
      <c r="B292">
        <f t="shared" si="50"/>
        <v>13.284</v>
      </c>
      <c r="C292">
        <f t="shared" si="51"/>
        <v>8.181</v>
      </c>
      <c r="D292">
        <f t="shared" si="52"/>
        <v>8.066</v>
      </c>
      <c r="E292">
        <f t="shared" si="53"/>
        <v>13.601</v>
      </c>
      <c r="F292">
        <f t="shared" si="54"/>
        <v>8.206</v>
      </c>
      <c r="G292">
        <f t="shared" si="55"/>
        <v>4.51</v>
      </c>
      <c r="H292">
        <f t="shared" si="56"/>
        <v>9.901</v>
      </c>
      <c r="I292">
        <f t="shared" si="57"/>
        <v>10.237</v>
      </c>
      <c r="J292">
        <f t="shared" si="58"/>
        <v>22.576</v>
      </c>
      <c r="K292">
        <f t="shared" si="59"/>
        <v>21.699</v>
      </c>
      <c r="L292">
        <f t="shared" si="60"/>
        <v>32.196</v>
      </c>
      <c r="N292">
        <v>7801</v>
      </c>
      <c r="O292">
        <v>13284</v>
      </c>
      <c r="P292">
        <v>8181</v>
      </c>
      <c r="Q292">
        <v>8066</v>
      </c>
      <c r="R292">
        <v>13601</v>
      </c>
      <c r="S292">
        <v>8206</v>
      </c>
      <c r="T292">
        <v>4510</v>
      </c>
      <c r="U292">
        <v>9901</v>
      </c>
      <c r="V292">
        <v>10237</v>
      </c>
      <c r="W292">
        <v>22576</v>
      </c>
      <c r="X292">
        <v>21699</v>
      </c>
      <c r="Y292">
        <v>32196</v>
      </c>
      <c r="AA292" t="s">
        <v>3512</v>
      </c>
      <c r="AC292">
        <v>7753</v>
      </c>
      <c r="AE292">
        <v>7968</v>
      </c>
      <c r="AG292" t="s">
        <v>3513</v>
      </c>
      <c r="AI292">
        <v>4107</v>
      </c>
      <c r="AK292">
        <v>18499</v>
      </c>
      <c r="AP292" t="s">
        <v>3514</v>
      </c>
      <c r="AR292">
        <v>13193</v>
      </c>
      <c r="AT292">
        <v>13525</v>
      </c>
      <c r="AV292" t="s">
        <v>3515</v>
      </c>
      <c r="AX292">
        <v>9767</v>
      </c>
      <c r="AZ292">
        <v>18834</v>
      </c>
      <c r="BB292" t="s">
        <v>3516</v>
      </c>
      <c r="BD292">
        <v>8124</v>
      </c>
      <c r="BF292">
        <v>8167</v>
      </c>
      <c r="BH292" t="s">
        <v>3517</v>
      </c>
      <c r="BJ292">
        <v>10085</v>
      </c>
      <c r="BL292">
        <v>28383</v>
      </c>
    </row>
    <row r="293" spans="1:64">
      <c r="A293">
        <f t="shared" si="49"/>
        <v>7.807</v>
      </c>
      <c r="B293">
        <f t="shared" si="50"/>
        <v>13.307</v>
      </c>
      <c r="C293">
        <f t="shared" si="51"/>
        <v>8.187</v>
      </c>
      <c r="D293">
        <f t="shared" si="52"/>
        <v>8.087</v>
      </c>
      <c r="E293">
        <f t="shared" si="53"/>
        <v>13.603</v>
      </c>
      <c r="F293">
        <f t="shared" si="54"/>
        <v>8.235</v>
      </c>
      <c r="G293">
        <f t="shared" si="55"/>
        <v>4.551</v>
      </c>
      <c r="H293">
        <f t="shared" si="56"/>
        <v>9.932</v>
      </c>
      <c r="I293">
        <f t="shared" si="57"/>
        <v>10.239</v>
      </c>
      <c r="J293">
        <f t="shared" si="58"/>
        <v>23.561</v>
      </c>
      <c r="K293">
        <f t="shared" si="59"/>
        <v>21.795</v>
      </c>
      <c r="L293">
        <f t="shared" si="60"/>
        <v>32.797</v>
      </c>
      <c r="N293">
        <v>7807</v>
      </c>
      <c r="O293">
        <v>13307</v>
      </c>
      <c r="P293">
        <v>8187</v>
      </c>
      <c r="Q293">
        <v>8087</v>
      </c>
      <c r="R293">
        <v>13603</v>
      </c>
      <c r="S293">
        <v>8235</v>
      </c>
      <c r="T293">
        <v>4551</v>
      </c>
      <c r="U293">
        <v>9932</v>
      </c>
      <c r="V293">
        <v>10239</v>
      </c>
      <c r="W293">
        <v>23561</v>
      </c>
      <c r="X293">
        <v>21795</v>
      </c>
      <c r="Y293">
        <v>32797</v>
      </c>
      <c r="AA293" t="s">
        <v>3518</v>
      </c>
      <c r="AC293">
        <v>7753</v>
      </c>
      <c r="AE293">
        <v>7972</v>
      </c>
      <c r="AG293" t="s">
        <v>3519</v>
      </c>
      <c r="AI293">
        <v>4110</v>
      </c>
      <c r="AK293">
        <v>18729</v>
      </c>
      <c r="AP293" t="s">
        <v>3520</v>
      </c>
      <c r="AR293">
        <v>13201</v>
      </c>
      <c r="AT293">
        <v>13527</v>
      </c>
      <c r="AV293" t="s">
        <v>3521</v>
      </c>
      <c r="AX293">
        <v>9777</v>
      </c>
      <c r="AZ293">
        <v>19008</v>
      </c>
      <c r="BB293" t="s">
        <v>3522</v>
      </c>
      <c r="BD293">
        <v>8132</v>
      </c>
      <c r="BF293">
        <v>8173</v>
      </c>
      <c r="BH293" t="s">
        <v>3523</v>
      </c>
      <c r="BJ293">
        <v>10092</v>
      </c>
      <c r="BL293">
        <v>28916</v>
      </c>
    </row>
    <row r="294" spans="1:64">
      <c r="A294">
        <f t="shared" si="49"/>
        <v>7.819</v>
      </c>
      <c r="B294">
        <f t="shared" si="50"/>
        <v>13.327</v>
      </c>
      <c r="C294">
        <f t="shared" si="51"/>
        <v>8.192</v>
      </c>
      <c r="D294">
        <f t="shared" si="52"/>
        <v>8.103</v>
      </c>
      <c r="E294">
        <f t="shared" si="53"/>
        <v>13.616</v>
      </c>
      <c r="F294">
        <f t="shared" si="54"/>
        <v>8.238</v>
      </c>
      <c r="G294">
        <f t="shared" si="55"/>
        <v>4.614</v>
      </c>
      <c r="H294">
        <f t="shared" si="56"/>
        <v>9.945</v>
      </c>
      <c r="I294">
        <f t="shared" si="57"/>
        <v>10.26</v>
      </c>
      <c r="J294">
        <f t="shared" si="58"/>
        <v>23.789</v>
      </c>
      <c r="K294">
        <f t="shared" si="59"/>
        <v>21.931</v>
      </c>
      <c r="L294">
        <f t="shared" si="60"/>
        <v>33.177</v>
      </c>
      <c r="N294">
        <v>7819</v>
      </c>
      <c r="O294">
        <v>13327</v>
      </c>
      <c r="P294">
        <v>8192</v>
      </c>
      <c r="Q294">
        <v>8103</v>
      </c>
      <c r="R294">
        <v>13616</v>
      </c>
      <c r="S294">
        <v>8238</v>
      </c>
      <c r="T294">
        <v>4614</v>
      </c>
      <c r="U294">
        <v>9945</v>
      </c>
      <c r="V294">
        <v>10260</v>
      </c>
      <c r="W294">
        <v>23789</v>
      </c>
      <c r="X294">
        <v>21931</v>
      </c>
      <c r="Y294">
        <v>33177</v>
      </c>
      <c r="AA294" t="s">
        <v>3524</v>
      </c>
      <c r="AC294">
        <v>7770</v>
      </c>
      <c r="AE294">
        <v>7987</v>
      </c>
      <c r="AG294" t="s">
        <v>3525</v>
      </c>
      <c r="AI294">
        <v>4121</v>
      </c>
      <c r="AK294">
        <v>18752</v>
      </c>
      <c r="AP294" t="s">
        <v>3526</v>
      </c>
      <c r="AR294">
        <v>13205</v>
      </c>
      <c r="AT294">
        <v>13531</v>
      </c>
      <c r="AV294" t="s">
        <v>3527</v>
      </c>
      <c r="AX294">
        <v>9783</v>
      </c>
      <c r="AZ294">
        <v>19159</v>
      </c>
      <c r="BB294" t="s">
        <v>3528</v>
      </c>
      <c r="BD294">
        <v>8137</v>
      </c>
      <c r="BF294">
        <v>8178</v>
      </c>
      <c r="BH294" t="s">
        <v>3529</v>
      </c>
      <c r="BJ294">
        <v>10112</v>
      </c>
      <c r="BL294">
        <v>29360</v>
      </c>
    </row>
    <row r="295" spans="1:64">
      <c r="A295">
        <f t="shared" si="49"/>
        <v>7.825</v>
      </c>
      <c r="B295">
        <f t="shared" si="50"/>
        <v>13.337</v>
      </c>
      <c r="C295">
        <f t="shared" si="51"/>
        <v>8.195</v>
      </c>
      <c r="D295">
        <f t="shared" si="52"/>
        <v>8.107</v>
      </c>
      <c r="E295">
        <f t="shared" si="53"/>
        <v>13.623</v>
      </c>
      <c r="F295">
        <f t="shared" si="54"/>
        <v>8.242</v>
      </c>
      <c r="G295">
        <f t="shared" si="55"/>
        <v>5.786</v>
      </c>
      <c r="H295">
        <f t="shared" si="56"/>
        <v>10.008</v>
      </c>
      <c r="I295">
        <f t="shared" si="57"/>
        <v>10.298</v>
      </c>
      <c r="J295">
        <f t="shared" si="58"/>
        <v>23.941</v>
      </c>
      <c r="K295">
        <f t="shared" si="59"/>
        <v>22.063</v>
      </c>
      <c r="L295">
        <f t="shared" si="60"/>
        <v>33.348</v>
      </c>
      <c r="N295">
        <v>7825</v>
      </c>
      <c r="O295">
        <v>13337</v>
      </c>
      <c r="P295">
        <v>8195</v>
      </c>
      <c r="Q295">
        <v>8107</v>
      </c>
      <c r="R295">
        <v>13623</v>
      </c>
      <c r="S295">
        <v>8242</v>
      </c>
      <c r="T295">
        <v>5786</v>
      </c>
      <c r="U295">
        <v>10008</v>
      </c>
      <c r="V295">
        <v>10298</v>
      </c>
      <c r="W295">
        <v>23941</v>
      </c>
      <c r="X295">
        <v>22063</v>
      </c>
      <c r="Y295">
        <v>33348</v>
      </c>
      <c r="AA295" t="s">
        <v>3530</v>
      </c>
      <c r="AC295">
        <v>7787</v>
      </c>
      <c r="AE295">
        <v>8000</v>
      </c>
      <c r="AG295" t="s">
        <v>3531</v>
      </c>
      <c r="AI295">
        <v>4152</v>
      </c>
      <c r="AK295">
        <v>19307</v>
      </c>
      <c r="AP295" t="s">
        <v>3532</v>
      </c>
      <c r="AR295">
        <v>13215</v>
      </c>
      <c r="AT295">
        <v>13538</v>
      </c>
      <c r="AV295" t="s">
        <v>3533</v>
      </c>
      <c r="AX295">
        <v>9783</v>
      </c>
      <c r="AZ295">
        <v>19602</v>
      </c>
      <c r="BB295" t="s">
        <v>3534</v>
      </c>
      <c r="BD295">
        <v>8154</v>
      </c>
      <c r="BF295">
        <v>8181</v>
      </c>
      <c r="BH295" t="s">
        <v>3535</v>
      </c>
      <c r="BJ295">
        <v>10120</v>
      </c>
      <c r="BL295">
        <v>30271</v>
      </c>
    </row>
    <row r="296" spans="1:64">
      <c r="A296">
        <f t="shared" si="49"/>
        <v>7.834</v>
      </c>
      <c r="B296">
        <f t="shared" si="50"/>
        <v>13.338</v>
      </c>
      <c r="C296">
        <f t="shared" si="51"/>
        <v>8.198</v>
      </c>
      <c r="D296">
        <f t="shared" si="52"/>
        <v>8.119</v>
      </c>
      <c r="E296">
        <f t="shared" si="53"/>
        <v>13.632</v>
      </c>
      <c r="F296">
        <f t="shared" si="54"/>
        <v>8.263</v>
      </c>
      <c r="G296">
        <f t="shared" si="55"/>
        <v>5.84</v>
      </c>
      <c r="H296">
        <f t="shared" si="56"/>
        <v>10.02</v>
      </c>
      <c r="I296">
        <f t="shared" si="57"/>
        <v>10.3</v>
      </c>
      <c r="J296">
        <f t="shared" si="58"/>
        <v>25.82</v>
      </c>
      <c r="K296">
        <f t="shared" si="59"/>
        <v>22.576</v>
      </c>
      <c r="L296">
        <f t="shared" si="60"/>
        <v>34.396</v>
      </c>
      <c r="N296">
        <v>7834</v>
      </c>
      <c r="O296">
        <v>13338</v>
      </c>
      <c r="P296">
        <v>8198</v>
      </c>
      <c r="Q296">
        <v>8119</v>
      </c>
      <c r="R296">
        <v>13632</v>
      </c>
      <c r="S296">
        <v>8263</v>
      </c>
      <c r="T296">
        <v>5840</v>
      </c>
      <c r="U296">
        <v>10020</v>
      </c>
      <c r="V296">
        <v>10300</v>
      </c>
      <c r="W296">
        <v>25820</v>
      </c>
      <c r="X296">
        <v>22576</v>
      </c>
      <c r="Y296">
        <v>34396</v>
      </c>
      <c r="AA296" t="s">
        <v>3536</v>
      </c>
      <c r="AC296">
        <v>7787</v>
      </c>
      <c r="AE296">
        <v>8002</v>
      </c>
      <c r="AG296" t="s">
        <v>3537</v>
      </c>
      <c r="AI296">
        <v>4173</v>
      </c>
      <c r="AK296">
        <v>19493</v>
      </c>
      <c r="AP296" t="s">
        <v>3538</v>
      </c>
      <c r="AR296">
        <v>13218</v>
      </c>
      <c r="AT296">
        <v>13582</v>
      </c>
      <c r="AV296" t="s">
        <v>3539</v>
      </c>
      <c r="AX296">
        <v>9807</v>
      </c>
      <c r="AZ296">
        <v>20476</v>
      </c>
      <c r="BB296" t="s">
        <v>3540</v>
      </c>
      <c r="BD296">
        <v>8158</v>
      </c>
      <c r="BF296">
        <v>8187</v>
      </c>
      <c r="BH296" t="s">
        <v>3541</v>
      </c>
      <c r="BJ296">
        <v>10146</v>
      </c>
      <c r="BL296">
        <v>30586</v>
      </c>
    </row>
    <row r="297" spans="1:64">
      <c r="A297">
        <f t="shared" si="49"/>
        <v>7.834</v>
      </c>
      <c r="B297">
        <f t="shared" si="50"/>
        <v>13.341</v>
      </c>
      <c r="C297">
        <f t="shared" si="51"/>
        <v>8.198</v>
      </c>
      <c r="D297">
        <f t="shared" si="52"/>
        <v>8.134</v>
      </c>
      <c r="E297">
        <f t="shared" si="53"/>
        <v>13.645</v>
      </c>
      <c r="F297">
        <f t="shared" si="54"/>
        <v>8.283</v>
      </c>
      <c r="G297">
        <f t="shared" si="55"/>
        <v>5.922</v>
      </c>
      <c r="H297">
        <f t="shared" si="56"/>
        <v>10.051</v>
      </c>
      <c r="I297">
        <f t="shared" si="57"/>
        <v>10.304</v>
      </c>
      <c r="J297">
        <f t="shared" si="58"/>
        <v>25.88</v>
      </c>
      <c r="K297">
        <f t="shared" si="59"/>
        <v>22.615</v>
      </c>
      <c r="L297">
        <f t="shared" si="60"/>
        <v>34.422</v>
      </c>
      <c r="N297">
        <v>7834</v>
      </c>
      <c r="O297">
        <v>13341</v>
      </c>
      <c r="P297">
        <v>8198</v>
      </c>
      <c r="Q297">
        <v>8134</v>
      </c>
      <c r="R297">
        <v>13645</v>
      </c>
      <c r="S297">
        <v>8283</v>
      </c>
      <c r="T297">
        <v>5922</v>
      </c>
      <c r="U297">
        <v>10051</v>
      </c>
      <c r="V297">
        <v>10304</v>
      </c>
      <c r="W297">
        <v>25880</v>
      </c>
      <c r="X297">
        <v>22615</v>
      </c>
      <c r="Y297">
        <v>34422</v>
      </c>
      <c r="AA297" t="s">
        <v>3542</v>
      </c>
      <c r="AC297">
        <v>7794</v>
      </c>
      <c r="AE297">
        <v>8008</v>
      </c>
      <c r="AG297" t="s">
        <v>3543</v>
      </c>
      <c r="AI297">
        <v>4184</v>
      </c>
      <c r="AK297">
        <v>20753</v>
      </c>
      <c r="AP297" t="s">
        <v>3544</v>
      </c>
      <c r="AR297">
        <v>13236</v>
      </c>
      <c r="AT297">
        <v>13587</v>
      </c>
      <c r="AV297" t="s">
        <v>3545</v>
      </c>
      <c r="AX297">
        <v>9827</v>
      </c>
      <c r="AZ297">
        <v>20599</v>
      </c>
      <c r="BB297" t="s">
        <v>3546</v>
      </c>
      <c r="BD297">
        <v>8167</v>
      </c>
      <c r="BF297">
        <v>8192</v>
      </c>
      <c r="BH297" t="s">
        <v>3547</v>
      </c>
      <c r="BJ297">
        <v>10170</v>
      </c>
      <c r="BL297">
        <v>31164</v>
      </c>
    </row>
    <row r="298" spans="1:64">
      <c r="A298">
        <f t="shared" si="49"/>
        <v>7.849</v>
      </c>
      <c r="B298">
        <f t="shared" si="50"/>
        <v>13.344</v>
      </c>
      <c r="C298">
        <f t="shared" si="51"/>
        <v>8.204</v>
      </c>
      <c r="D298">
        <f t="shared" si="52"/>
        <v>8.159</v>
      </c>
      <c r="E298">
        <f t="shared" si="53"/>
        <v>13.647</v>
      </c>
      <c r="F298">
        <f t="shared" si="54"/>
        <v>8.295</v>
      </c>
      <c r="G298">
        <f t="shared" si="55"/>
        <v>5.972</v>
      </c>
      <c r="H298">
        <f t="shared" si="56"/>
        <v>10.078</v>
      </c>
      <c r="I298">
        <f t="shared" si="57"/>
        <v>10.318</v>
      </c>
      <c r="J298">
        <f t="shared" si="58"/>
        <v>26.128</v>
      </c>
      <c r="K298">
        <f t="shared" si="59"/>
        <v>22.868</v>
      </c>
      <c r="L298">
        <f t="shared" si="60"/>
        <v>34.617</v>
      </c>
      <c r="N298">
        <v>7849</v>
      </c>
      <c r="O298">
        <v>13344</v>
      </c>
      <c r="P298">
        <v>8204</v>
      </c>
      <c r="Q298">
        <v>8159</v>
      </c>
      <c r="R298">
        <v>13647</v>
      </c>
      <c r="S298">
        <v>8295</v>
      </c>
      <c r="T298">
        <v>5972</v>
      </c>
      <c r="U298">
        <v>10078</v>
      </c>
      <c r="V298">
        <v>10318</v>
      </c>
      <c r="W298">
        <v>26128</v>
      </c>
      <c r="X298">
        <v>22868</v>
      </c>
      <c r="Y298">
        <v>34617</v>
      </c>
      <c r="AA298" t="s">
        <v>3548</v>
      </c>
      <c r="AC298">
        <v>7794</v>
      </c>
      <c r="AE298">
        <v>8018</v>
      </c>
      <c r="AG298" t="s">
        <v>3549</v>
      </c>
      <c r="AI298">
        <v>4222</v>
      </c>
      <c r="AK298">
        <v>21052</v>
      </c>
      <c r="AP298" t="s">
        <v>3550</v>
      </c>
      <c r="AR298">
        <v>13272</v>
      </c>
      <c r="AT298">
        <v>13593</v>
      </c>
      <c r="AV298" t="s">
        <v>3551</v>
      </c>
      <c r="AX298">
        <v>9834</v>
      </c>
      <c r="AZ298">
        <v>21101</v>
      </c>
      <c r="BB298" t="s">
        <v>3552</v>
      </c>
      <c r="BD298">
        <v>8173</v>
      </c>
      <c r="BF298">
        <v>8195</v>
      </c>
      <c r="BH298" t="s">
        <v>3553</v>
      </c>
      <c r="BJ298">
        <v>10192</v>
      </c>
      <c r="BL298">
        <v>32063</v>
      </c>
    </row>
    <row r="299" spans="1:64">
      <c r="A299">
        <f t="shared" si="49"/>
        <v>7.851</v>
      </c>
      <c r="B299">
        <f t="shared" si="50"/>
        <v>13.358</v>
      </c>
      <c r="C299">
        <f t="shared" si="51"/>
        <v>8.206</v>
      </c>
      <c r="D299">
        <f t="shared" si="52"/>
        <v>8.171</v>
      </c>
      <c r="E299">
        <f t="shared" si="53"/>
        <v>13.65</v>
      </c>
      <c r="F299">
        <f t="shared" si="54"/>
        <v>8.302</v>
      </c>
      <c r="G299">
        <f t="shared" si="55"/>
        <v>5.98</v>
      </c>
      <c r="H299">
        <f t="shared" si="56"/>
        <v>10.08</v>
      </c>
      <c r="I299">
        <f t="shared" si="57"/>
        <v>10.353</v>
      </c>
      <c r="J299">
        <f t="shared" si="58"/>
        <v>26.948</v>
      </c>
      <c r="K299">
        <f t="shared" si="59"/>
        <v>22.9</v>
      </c>
      <c r="L299">
        <f t="shared" si="60"/>
        <v>34.866</v>
      </c>
      <c r="N299">
        <v>7851</v>
      </c>
      <c r="O299">
        <v>13358</v>
      </c>
      <c r="P299">
        <v>8206</v>
      </c>
      <c r="Q299">
        <v>8171</v>
      </c>
      <c r="R299">
        <v>13650</v>
      </c>
      <c r="S299">
        <v>8302</v>
      </c>
      <c r="T299">
        <v>5980</v>
      </c>
      <c r="U299">
        <v>10080</v>
      </c>
      <c r="V299">
        <v>10353</v>
      </c>
      <c r="W299">
        <v>26948</v>
      </c>
      <c r="X299">
        <v>22900</v>
      </c>
      <c r="Y299">
        <v>34866</v>
      </c>
      <c r="AA299" t="s">
        <v>3554</v>
      </c>
      <c r="AC299">
        <v>7795</v>
      </c>
      <c r="AE299">
        <v>8041</v>
      </c>
      <c r="AG299" t="s">
        <v>3555</v>
      </c>
      <c r="AI299">
        <v>4259</v>
      </c>
      <c r="AK299">
        <v>21115</v>
      </c>
      <c r="AP299" t="s">
        <v>3556</v>
      </c>
      <c r="AR299">
        <v>13284</v>
      </c>
      <c r="AT299">
        <v>13601</v>
      </c>
      <c r="AV299" t="s">
        <v>3557</v>
      </c>
      <c r="AX299">
        <v>9901</v>
      </c>
      <c r="AZ299">
        <v>21699</v>
      </c>
      <c r="BB299" t="s">
        <v>3558</v>
      </c>
      <c r="BD299">
        <v>8178</v>
      </c>
      <c r="BF299">
        <v>8198</v>
      </c>
      <c r="BH299" t="s">
        <v>3559</v>
      </c>
      <c r="BJ299">
        <v>10206</v>
      </c>
      <c r="BL299">
        <v>32100</v>
      </c>
    </row>
    <row r="300" spans="1:64">
      <c r="A300">
        <f t="shared" si="49"/>
        <v>7.866</v>
      </c>
      <c r="B300">
        <f t="shared" si="50"/>
        <v>13.363</v>
      </c>
      <c r="C300">
        <f t="shared" si="51"/>
        <v>8.235</v>
      </c>
      <c r="D300">
        <f t="shared" si="52"/>
        <v>8.191</v>
      </c>
      <c r="E300">
        <f t="shared" si="53"/>
        <v>13.652</v>
      </c>
      <c r="F300">
        <f t="shared" si="54"/>
        <v>8.302</v>
      </c>
      <c r="G300">
        <f t="shared" si="55"/>
        <v>6.007</v>
      </c>
      <c r="H300">
        <f t="shared" si="56"/>
        <v>10.086</v>
      </c>
      <c r="I300">
        <f t="shared" si="57"/>
        <v>10.392</v>
      </c>
      <c r="J300">
        <f t="shared" si="58"/>
        <v>27.538</v>
      </c>
      <c r="K300">
        <f t="shared" si="59"/>
        <v>23.118</v>
      </c>
      <c r="L300">
        <f t="shared" si="60"/>
        <v>35.003</v>
      </c>
      <c r="N300">
        <v>7866</v>
      </c>
      <c r="O300">
        <v>13363</v>
      </c>
      <c r="P300">
        <v>8235</v>
      </c>
      <c r="Q300">
        <v>8191</v>
      </c>
      <c r="R300">
        <v>13652</v>
      </c>
      <c r="S300">
        <v>8302</v>
      </c>
      <c r="T300">
        <v>6007</v>
      </c>
      <c r="U300">
        <v>10086</v>
      </c>
      <c r="V300">
        <v>10392</v>
      </c>
      <c r="W300">
        <v>27538</v>
      </c>
      <c r="X300">
        <v>23118</v>
      </c>
      <c r="Y300">
        <v>35003</v>
      </c>
      <c r="AA300" t="s">
        <v>3560</v>
      </c>
      <c r="AC300">
        <v>7801</v>
      </c>
      <c r="AE300">
        <v>8066</v>
      </c>
      <c r="AG300" t="s">
        <v>3561</v>
      </c>
      <c r="AI300">
        <v>4510</v>
      </c>
      <c r="AK300">
        <v>22576</v>
      </c>
      <c r="AP300" t="s">
        <v>3562</v>
      </c>
      <c r="AR300">
        <v>13307</v>
      </c>
      <c r="AT300">
        <v>13603</v>
      </c>
      <c r="AV300" t="s">
        <v>3563</v>
      </c>
      <c r="AX300">
        <v>9932</v>
      </c>
      <c r="AZ300">
        <v>21795</v>
      </c>
      <c r="BB300" t="s">
        <v>3564</v>
      </c>
      <c r="BD300">
        <v>8181</v>
      </c>
      <c r="BF300">
        <v>8206</v>
      </c>
      <c r="BH300" t="s">
        <v>3565</v>
      </c>
      <c r="BJ300">
        <v>10237</v>
      </c>
      <c r="BL300">
        <v>32196</v>
      </c>
    </row>
    <row r="301" spans="1:64">
      <c r="A301">
        <f t="shared" si="49"/>
        <v>7.873</v>
      </c>
      <c r="B301">
        <f t="shared" si="50"/>
        <v>13.379</v>
      </c>
      <c r="C301">
        <f t="shared" si="51"/>
        <v>8.235</v>
      </c>
      <c r="D301">
        <f t="shared" si="52"/>
        <v>8.211</v>
      </c>
      <c r="E301">
        <f t="shared" si="53"/>
        <v>13.662</v>
      </c>
      <c r="F301">
        <f t="shared" si="54"/>
        <v>8.302</v>
      </c>
      <c r="G301">
        <f t="shared" si="55"/>
        <v>6.013</v>
      </c>
      <c r="H301">
        <f t="shared" si="56"/>
        <v>10.116</v>
      </c>
      <c r="I301">
        <f t="shared" si="57"/>
        <v>10.409</v>
      </c>
      <c r="J301">
        <f t="shared" si="58"/>
        <v>27.781</v>
      </c>
      <c r="K301">
        <f t="shared" si="59"/>
        <v>23.424</v>
      </c>
      <c r="L301">
        <f t="shared" si="60"/>
        <v>36.359</v>
      </c>
      <c r="N301">
        <v>7873</v>
      </c>
      <c r="O301">
        <v>13379</v>
      </c>
      <c r="P301">
        <v>8235</v>
      </c>
      <c r="Q301">
        <v>8211</v>
      </c>
      <c r="R301">
        <v>13662</v>
      </c>
      <c r="S301">
        <v>8302</v>
      </c>
      <c r="T301">
        <v>6013</v>
      </c>
      <c r="U301">
        <v>10116</v>
      </c>
      <c r="V301">
        <v>10409</v>
      </c>
      <c r="W301">
        <v>27781</v>
      </c>
      <c r="X301">
        <v>23424</v>
      </c>
      <c r="Y301">
        <v>36359</v>
      </c>
      <c r="AA301" t="s">
        <v>3566</v>
      </c>
      <c r="AC301">
        <v>7807</v>
      </c>
      <c r="AE301">
        <v>8087</v>
      </c>
      <c r="AG301" t="s">
        <v>3567</v>
      </c>
      <c r="AI301">
        <v>4551</v>
      </c>
      <c r="AK301">
        <v>23561</v>
      </c>
      <c r="AP301" t="s">
        <v>3568</v>
      </c>
      <c r="AR301">
        <v>13327</v>
      </c>
      <c r="AT301">
        <v>13616</v>
      </c>
      <c r="AV301" t="s">
        <v>3569</v>
      </c>
      <c r="AX301">
        <v>9945</v>
      </c>
      <c r="AZ301">
        <v>21931</v>
      </c>
      <c r="BB301" t="s">
        <v>3570</v>
      </c>
      <c r="BD301">
        <v>8187</v>
      </c>
      <c r="BF301">
        <v>8235</v>
      </c>
      <c r="BH301" t="s">
        <v>3571</v>
      </c>
      <c r="BJ301">
        <v>10239</v>
      </c>
      <c r="BL301">
        <v>32797</v>
      </c>
    </row>
    <row r="302" spans="1:64">
      <c r="A302">
        <f t="shared" si="49"/>
        <v>7.876</v>
      </c>
      <c r="B302">
        <f t="shared" si="50"/>
        <v>13.386</v>
      </c>
      <c r="C302">
        <f t="shared" si="51"/>
        <v>8.238</v>
      </c>
      <c r="D302">
        <f t="shared" si="52"/>
        <v>8.213</v>
      </c>
      <c r="E302">
        <f t="shared" si="53"/>
        <v>13.69</v>
      </c>
      <c r="F302">
        <f t="shared" si="54"/>
        <v>8.311</v>
      </c>
      <c r="G302">
        <f t="shared" si="55"/>
        <v>6.023</v>
      </c>
      <c r="H302">
        <f t="shared" si="56"/>
        <v>10.141</v>
      </c>
      <c r="I302">
        <f t="shared" si="57"/>
        <v>10.451</v>
      </c>
      <c r="J302">
        <f t="shared" si="58"/>
        <v>28.968</v>
      </c>
      <c r="K302">
        <f t="shared" si="59"/>
        <v>23.621</v>
      </c>
      <c r="L302">
        <f t="shared" si="60"/>
        <v>36.571</v>
      </c>
      <c r="N302">
        <v>7876</v>
      </c>
      <c r="O302">
        <v>13386</v>
      </c>
      <c r="P302">
        <v>8238</v>
      </c>
      <c r="Q302">
        <v>8213</v>
      </c>
      <c r="R302">
        <v>13690</v>
      </c>
      <c r="S302">
        <v>8311</v>
      </c>
      <c r="T302">
        <v>6023</v>
      </c>
      <c r="U302">
        <v>10141</v>
      </c>
      <c r="V302">
        <v>10451</v>
      </c>
      <c r="W302">
        <v>28968</v>
      </c>
      <c r="X302">
        <v>23621</v>
      </c>
      <c r="Y302">
        <v>36571</v>
      </c>
      <c r="AA302" t="s">
        <v>3572</v>
      </c>
      <c r="AC302">
        <v>7819</v>
      </c>
      <c r="AE302">
        <v>8103</v>
      </c>
      <c r="AG302" t="s">
        <v>3573</v>
      </c>
      <c r="AI302">
        <v>4614</v>
      </c>
      <c r="AK302">
        <v>23789</v>
      </c>
      <c r="AP302" t="s">
        <v>3574</v>
      </c>
      <c r="AR302">
        <v>13337</v>
      </c>
      <c r="AT302">
        <v>13623</v>
      </c>
      <c r="AV302" t="s">
        <v>3575</v>
      </c>
      <c r="AX302">
        <v>10008</v>
      </c>
      <c r="AZ302">
        <v>22063</v>
      </c>
      <c r="BB302" t="s">
        <v>3576</v>
      </c>
      <c r="BD302">
        <v>8192</v>
      </c>
      <c r="BF302">
        <v>8238</v>
      </c>
      <c r="BH302" t="s">
        <v>3577</v>
      </c>
      <c r="BJ302">
        <v>10260</v>
      </c>
      <c r="BL302">
        <v>33177</v>
      </c>
    </row>
    <row r="303" spans="1:64">
      <c r="A303">
        <f t="shared" si="49"/>
        <v>7.887</v>
      </c>
      <c r="B303">
        <f t="shared" si="50"/>
        <v>13.388</v>
      </c>
      <c r="C303">
        <f t="shared" si="51"/>
        <v>8.242</v>
      </c>
      <c r="D303">
        <f t="shared" si="52"/>
        <v>8.226</v>
      </c>
      <c r="E303">
        <f t="shared" si="53"/>
        <v>13.692</v>
      </c>
      <c r="F303">
        <f t="shared" si="54"/>
        <v>8.313</v>
      </c>
      <c r="G303">
        <f t="shared" si="55"/>
        <v>6.03</v>
      </c>
      <c r="H303">
        <f t="shared" si="56"/>
        <v>10.143</v>
      </c>
      <c r="I303">
        <f t="shared" si="57"/>
        <v>10.469</v>
      </c>
      <c r="J303">
        <f t="shared" si="58"/>
        <v>31.307</v>
      </c>
      <c r="K303">
        <f t="shared" si="59"/>
        <v>23.67</v>
      </c>
      <c r="L303">
        <f t="shared" si="60"/>
        <v>38.062</v>
      </c>
      <c r="N303">
        <v>7887</v>
      </c>
      <c r="O303">
        <v>13388</v>
      </c>
      <c r="P303">
        <v>8242</v>
      </c>
      <c r="Q303">
        <v>8226</v>
      </c>
      <c r="R303">
        <v>13692</v>
      </c>
      <c r="S303">
        <v>8313</v>
      </c>
      <c r="T303">
        <v>6030</v>
      </c>
      <c r="U303">
        <v>10143</v>
      </c>
      <c r="V303">
        <v>10469</v>
      </c>
      <c r="W303">
        <v>31307</v>
      </c>
      <c r="X303">
        <v>23670</v>
      </c>
      <c r="Y303">
        <v>38062</v>
      </c>
      <c r="AA303" t="s">
        <v>3578</v>
      </c>
      <c r="AC303">
        <v>7825</v>
      </c>
      <c r="AE303">
        <v>8107</v>
      </c>
      <c r="AG303" t="s">
        <v>3579</v>
      </c>
      <c r="AI303">
        <v>5786</v>
      </c>
      <c r="AK303">
        <v>23941</v>
      </c>
      <c r="AP303" t="s">
        <v>3580</v>
      </c>
      <c r="AR303">
        <v>13338</v>
      </c>
      <c r="AT303">
        <v>13632</v>
      </c>
      <c r="AV303" t="s">
        <v>3581</v>
      </c>
      <c r="AX303">
        <v>10020</v>
      </c>
      <c r="AZ303">
        <v>22576</v>
      </c>
      <c r="BB303" t="s">
        <v>3582</v>
      </c>
      <c r="BD303">
        <v>8195</v>
      </c>
      <c r="BF303">
        <v>8242</v>
      </c>
      <c r="BH303" t="s">
        <v>3583</v>
      </c>
      <c r="BJ303">
        <v>10298</v>
      </c>
      <c r="BL303">
        <v>33348</v>
      </c>
    </row>
    <row r="304" spans="1:64">
      <c r="A304">
        <f t="shared" si="49"/>
        <v>7.888</v>
      </c>
      <c r="B304">
        <f t="shared" si="50"/>
        <v>13.396</v>
      </c>
      <c r="C304">
        <f t="shared" si="51"/>
        <v>8.263</v>
      </c>
      <c r="D304">
        <f t="shared" si="52"/>
        <v>8.231</v>
      </c>
      <c r="E304">
        <f t="shared" si="53"/>
        <v>13.695</v>
      </c>
      <c r="F304">
        <f t="shared" si="54"/>
        <v>8.323</v>
      </c>
      <c r="G304">
        <f t="shared" si="55"/>
        <v>6.043</v>
      </c>
      <c r="H304">
        <f t="shared" si="56"/>
        <v>10.16</v>
      </c>
      <c r="I304">
        <f t="shared" si="57"/>
        <v>10.514</v>
      </c>
      <c r="J304">
        <f t="shared" si="58"/>
        <v>31.43</v>
      </c>
      <c r="K304">
        <f t="shared" si="59"/>
        <v>24.225</v>
      </c>
      <c r="L304">
        <f t="shared" si="60"/>
        <v>44.174</v>
      </c>
      <c r="N304">
        <v>7888</v>
      </c>
      <c r="O304">
        <v>13396</v>
      </c>
      <c r="P304">
        <v>8263</v>
      </c>
      <c r="Q304">
        <v>8231</v>
      </c>
      <c r="R304">
        <v>13695</v>
      </c>
      <c r="S304">
        <v>8323</v>
      </c>
      <c r="T304">
        <v>6043</v>
      </c>
      <c r="U304">
        <v>10160</v>
      </c>
      <c r="V304">
        <v>10514</v>
      </c>
      <c r="W304">
        <v>31430</v>
      </c>
      <c r="X304">
        <v>24225</v>
      </c>
      <c r="Y304">
        <v>44174</v>
      </c>
      <c r="AA304" t="s">
        <v>3584</v>
      </c>
      <c r="AC304">
        <v>7834</v>
      </c>
      <c r="AE304">
        <v>8119</v>
      </c>
      <c r="AG304" t="s">
        <v>3585</v>
      </c>
      <c r="AI304">
        <v>5840</v>
      </c>
      <c r="AK304">
        <v>25820</v>
      </c>
      <c r="AP304" t="s">
        <v>3586</v>
      </c>
      <c r="AR304">
        <v>13341</v>
      </c>
      <c r="AT304">
        <v>13645</v>
      </c>
      <c r="AV304" t="s">
        <v>3587</v>
      </c>
      <c r="AX304">
        <v>10051</v>
      </c>
      <c r="AZ304">
        <v>22615</v>
      </c>
      <c r="BB304" t="s">
        <v>3588</v>
      </c>
      <c r="BD304">
        <v>8198</v>
      </c>
      <c r="BF304">
        <v>8263</v>
      </c>
      <c r="BH304" t="s">
        <v>3589</v>
      </c>
      <c r="BJ304">
        <v>10300</v>
      </c>
      <c r="BL304">
        <v>34396</v>
      </c>
    </row>
    <row r="305" spans="1:64">
      <c r="A305">
        <f t="shared" si="49"/>
        <v>7.899</v>
      </c>
      <c r="B305">
        <f t="shared" si="50"/>
        <v>13.44</v>
      </c>
      <c r="C305">
        <f t="shared" si="51"/>
        <v>8.283</v>
      </c>
      <c r="D305">
        <f t="shared" si="52"/>
        <v>8.239</v>
      </c>
      <c r="E305">
        <f t="shared" si="53"/>
        <v>13.715</v>
      </c>
      <c r="F305">
        <f t="shared" si="54"/>
        <v>8.332</v>
      </c>
      <c r="G305">
        <f t="shared" si="55"/>
        <v>6.072</v>
      </c>
      <c r="H305">
        <f t="shared" si="56"/>
        <v>10.174</v>
      </c>
      <c r="I305">
        <f t="shared" si="57"/>
        <v>10.524</v>
      </c>
      <c r="J305">
        <f t="shared" si="58"/>
        <v>31.842</v>
      </c>
      <c r="K305">
        <f t="shared" si="59"/>
        <v>25.038</v>
      </c>
      <c r="L305">
        <f t="shared" si="60"/>
        <v>48.911</v>
      </c>
      <c r="N305">
        <v>7899</v>
      </c>
      <c r="O305">
        <v>13440</v>
      </c>
      <c r="P305">
        <v>8283</v>
      </c>
      <c r="Q305">
        <v>8239</v>
      </c>
      <c r="R305">
        <v>13715</v>
      </c>
      <c r="S305">
        <v>8332</v>
      </c>
      <c r="T305">
        <v>6072</v>
      </c>
      <c r="U305">
        <v>10174</v>
      </c>
      <c r="V305">
        <v>10524</v>
      </c>
      <c r="W305">
        <v>31842</v>
      </c>
      <c r="X305">
        <v>25038</v>
      </c>
      <c r="Y305">
        <v>48911</v>
      </c>
      <c r="AA305" t="s">
        <v>3590</v>
      </c>
      <c r="AC305">
        <v>7834</v>
      </c>
      <c r="AE305">
        <v>8134</v>
      </c>
      <c r="AG305" t="s">
        <v>3591</v>
      </c>
      <c r="AI305">
        <v>5922</v>
      </c>
      <c r="AK305">
        <v>25880</v>
      </c>
      <c r="AP305" t="s">
        <v>3592</v>
      </c>
      <c r="AR305">
        <v>13344</v>
      </c>
      <c r="AT305">
        <v>13647</v>
      </c>
      <c r="AV305" t="s">
        <v>3593</v>
      </c>
      <c r="AX305">
        <v>10078</v>
      </c>
      <c r="AZ305">
        <v>22868</v>
      </c>
      <c r="BB305" t="s">
        <v>3594</v>
      </c>
      <c r="BD305">
        <v>8198</v>
      </c>
      <c r="BF305">
        <v>8283</v>
      </c>
      <c r="BH305" t="s">
        <v>3595</v>
      </c>
      <c r="BJ305">
        <v>10304</v>
      </c>
      <c r="BL305">
        <v>34422</v>
      </c>
    </row>
    <row r="306" spans="1:64">
      <c r="A306">
        <f t="shared" si="49"/>
        <v>7.912</v>
      </c>
      <c r="B306">
        <f t="shared" si="50"/>
        <v>13.471</v>
      </c>
      <c r="C306">
        <f t="shared" si="51"/>
        <v>8.295</v>
      </c>
      <c r="D306">
        <f t="shared" si="52"/>
        <v>8.254</v>
      </c>
      <c r="E306">
        <f t="shared" si="53"/>
        <v>13.74</v>
      </c>
      <c r="F306">
        <f t="shared" si="54"/>
        <v>8.352</v>
      </c>
      <c r="G306">
        <f t="shared" si="55"/>
        <v>6.081</v>
      </c>
      <c r="H306">
        <f t="shared" si="56"/>
        <v>10.185</v>
      </c>
      <c r="I306">
        <f t="shared" si="57"/>
        <v>10.658</v>
      </c>
      <c r="J306">
        <f t="shared" si="58"/>
        <v>35.387</v>
      </c>
      <c r="K306">
        <f t="shared" si="59"/>
        <v>25.822</v>
      </c>
      <c r="L306">
        <f t="shared" si="60"/>
        <v>49.425</v>
      </c>
      <c r="N306">
        <v>7912</v>
      </c>
      <c r="O306">
        <v>13471</v>
      </c>
      <c r="P306">
        <v>8295</v>
      </c>
      <c r="Q306">
        <v>8254</v>
      </c>
      <c r="R306">
        <v>13740</v>
      </c>
      <c r="S306">
        <v>8352</v>
      </c>
      <c r="T306">
        <v>6081</v>
      </c>
      <c r="U306">
        <v>10185</v>
      </c>
      <c r="V306">
        <v>10658</v>
      </c>
      <c r="W306">
        <v>35387</v>
      </c>
      <c r="X306">
        <v>25822</v>
      </c>
      <c r="Y306">
        <v>49425</v>
      </c>
      <c r="AA306" t="s">
        <v>3596</v>
      </c>
      <c r="AC306">
        <v>7849</v>
      </c>
      <c r="AE306">
        <v>8159</v>
      </c>
      <c r="AG306" t="s">
        <v>3597</v>
      </c>
      <c r="AI306">
        <v>5972</v>
      </c>
      <c r="AK306">
        <v>26128</v>
      </c>
      <c r="AP306" t="s">
        <v>3598</v>
      </c>
      <c r="AR306">
        <v>13358</v>
      </c>
      <c r="AT306">
        <v>13650</v>
      </c>
      <c r="AV306" t="s">
        <v>3599</v>
      </c>
      <c r="AX306">
        <v>10080</v>
      </c>
      <c r="AZ306">
        <v>22900</v>
      </c>
      <c r="BB306" t="s">
        <v>3600</v>
      </c>
      <c r="BD306">
        <v>8204</v>
      </c>
      <c r="BF306">
        <v>8295</v>
      </c>
      <c r="BH306" t="s">
        <v>3601</v>
      </c>
      <c r="BJ306">
        <v>10318</v>
      </c>
      <c r="BL306">
        <v>34617</v>
      </c>
    </row>
    <row r="307" spans="1:64">
      <c r="A307">
        <f t="shared" si="49"/>
        <v>7.917</v>
      </c>
      <c r="B307">
        <f t="shared" si="50"/>
        <v>13.472</v>
      </c>
      <c r="C307">
        <f t="shared" si="51"/>
        <v>8.302</v>
      </c>
      <c r="D307">
        <f t="shared" si="52"/>
        <v>8.255</v>
      </c>
      <c r="E307">
        <f t="shared" si="53"/>
        <v>13.755</v>
      </c>
      <c r="F307">
        <f t="shared" si="54"/>
        <v>8.357</v>
      </c>
      <c r="G307">
        <f t="shared" si="55"/>
        <v>6.095</v>
      </c>
      <c r="H307">
        <f t="shared" si="56"/>
        <v>10.205</v>
      </c>
      <c r="I307">
        <f t="shared" si="57"/>
        <v>10.67</v>
      </c>
      <c r="J307">
        <f t="shared" si="58"/>
        <v>38.7</v>
      </c>
      <c r="K307">
        <f t="shared" si="59"/>
        <v>26.719</v>
      </c>
      <c r="L307">
        <f t="shared" si="60"/>
        <v>49.957</v>
      </c>
      <c r="N307">
        <v>7917</v>
      </c>
      <c r="O307">
        <v>13472</v>
      </c>
      <c r="P307">
        <v>8302</v>
      </c>
      <c r="Q307">
        <v>8255</v>
      </c>
      <c r="R307">
        <v>13755</v>
      </c>
      <c r="S307">
        <v>8357</v>
      </c>
      <c r="T307">
        <v>6095</v>
      </c>
      <c r="U307">
        <v>10205</v>
      </c>
      <c r="V307">
        <v>10670</v>
      </c>
      <c r="W307">
        <v>38700</v>
      </c>
      <c r="X307">
        <v>26719</v>
      </c>
      <c r="Y307">
        <v>49957</v>
      </c>
      <c r="AA307" t="s">
        <v>3602</v>
      </c>
      <c r="AC307">
        <v>7851</v>
      </c>
      <c r="AE307">
        <v>8171</v>
      </c>
      <c r="AG307" t="s">
        <v>3603</v>
      </c>
      <c r="AI307">
        <v>5980</v>
      </c>
      <c r="AK307">
        <v>26948</v>
      </c>
      <c r="AP307" t="s">
        <v>3604</v>
      </c>
      <c r="AR307">
        <v>13363</v>
      </c>
      <c r="AT307">
        <v>13652</v>
      </c>
      <c r="AV307" t="s">
        <v>3605</v>
      </c>
      <c r="AX307">
        <v>10086</v>
      </c>
      <c r="AZ307">
        <v>23118</v>
      </c>
      <c r="BB307" t="s">
        <v>3606</v>
      </c>
      <c r="BD307">
        <v>8206</v>
      </c>
      <c r="BF307">
        <v>8302</v>
      </c>
      <c r="BH307" t="s">
        <v>3607</v>
      </c>
      <c r="BJ307">
        <v>10353</v>
      </c>
      <c r="BL307">
        <v>34866</v>
      </c>
    </row>
    <row r="308" spans="1:64">
      <c r="A308">
        <f t="shared" si="49"/>
        <v>7.934</v>
      </c>
      <c r="B308">
        <f t="shared" si="50"/>
        <v>13.494</v>
      </c>
      <c r="C308">
        <f t="shared" si="51"/>
        <v>8.302</v>
      </c>
      <c r="D308">
        <f t="shared" si="52"/>
        <v>8.278</v>
      </c>
      <c r="E308">
        <f t="shared" si="53"/>
        <v>13.757</v>
      </c>
      <c r="F308">
        <f t="shared" si="54"/>
        <v>8.37</v>
      </c>
      <c r="G308">
        <f t="shared" si="55"/>
        <v>6.11</v>
      </c>
      <c r="H308">
        <f t="shared" si="56"/>
        <v>10.224</v>
      </c>
      <c r="I308">
        <f t="shared" si="57"/>
        <v>10.704</v>
      </c>
      <c r="J308">
        <f t="shared" si="58"/>
        <v>40.059</v>
      </c>
      <c r="K308">
        <f t="shared" si="59"/>
        <v>26.817</v>
      </c>
      <c r="L308">
        <f t="shared" si="60"/>
        <v>53.088</v>
      </c>
      <c r="N308">
        <v>7934</v>
      </c>
      <c r="O308">
        <v>13494</v>
      </c>
      <c r="P308">
        <v>8302</v>
      </c>
      <c r="Q308">
        <v>8278</v>
      </c>
      <c r="R308">
        <v>13757</v>
      </c>
      <c r="S308">
        <v>8370</v>
      </c>
      <c r="T308">
        <v>6110</v>
      </c>
      <c r="U308">
        <v>10224</v>
      </c>
      <c r="V308">
        <v>10704</v>
      </c>
      <c r="W308">
        <v>40059</v>
      </c>
      <c r="X308">
        <v>26817</v>
      </c>
      <c r="Y308">
        <v>53088</v>
      </c>
      <c r="AA308" t="s">
        <v>3608</v>
      </c>
      <c r="AC308">
        <v>7866</v>
      </c>
      <c r="AE308">
        <v>8191</v>
      </c>
      <c r="AG308" t="s">
        <v>3609</v>
      </c>
      <c r="AI308">
        <v>6007</v>
      </c>
      <c r="AK308">
        <v>27538</v>
      </c>
      <c r="AP308" t="s">
        <v>3610</v>
      </c>
      <c r="AR308">
        <v>13379</v>
      </c>
      <c r="AT308">
        <v>13662</v>
      </c>
      <c r="AV308" t="s">
        <v>3611</v>
      </c>
      <c r="AX308">
        <v>10116</v>
      </c>
      <c r="AZ308">
        <v>23424</v>
      </c>
      <c r="BB308" t="s">
        <v>3612</v>
      </c>
      <c r="BD308">
        <v>8235</v>
      </c>
      <c r="BF308">
        <v>8302</v>
      </c>
      <c r="BH308" t="s">
        <v>3613</v>
      </c>
      <c r="BJ308">
        <v>10392</v>
      </c>
      <c r="BL308">
        <v>35003</v>
      </c>
    </row>
    <row r="309" spans="1:64">
      <c r="A309">
        <f t="shared" si="49"/>
        <v>7.937</v>
      </c>
      <c r="B309">
        <f t="shared" si="50"/>
        <v>13.496</v>
      </c>
      <c r="C309">
        <f t="shared" si="51"/>
        <v>8.302</v>
      </c>
      <c r="D309">
        <f t="shared" si="52"/>
        <v>8.289</v>
      </c>
      <c r="E309">
        <f t="shared" si="53"/>
        <v>13.775</v>
      </c>
      <c r="F309">
        <f t="shared" si="54"/>
        <v>8.379</v>
      </c>
      <c r="G309">
        <f t="shared" si="55"/>
        <v>6.132</v>
      </c>
      <c r="H309">
        <f t="shared" si="56"/>
        <v>10.226</v>
      </c>
      <c r="I309">
        <f t="shared" si="57"/>
        <v>10.728</v>
      </c>
      <c r="J309">
        <f t="shared" si="58"/>
        <v>48.286</v>
      </c>
      <c r="K309">
        <f t="shared" si="59"/>
        <v>26.894</v>
      </c>
      <c r="L309">
        <f t="shared" si="60"/>
        <v>60.27</v>
      </c>
      <c r="N309">
        <v>7937</v>
      </c>
      <c r="O309">
        <v>13496</v>
      </c>
      <c r="P309">
        <v>8302</v>
      </c>
      <c r="Q309">
        <v>8289</v>
      </c>
      <c r="R309">
        <v>13775</v>
      </c>
      <c r="S309">
        <v>8379</v>
      </c>
      <c r="T309">
        <v>6132</v>
      </c>
      <c r="U309">
        <v>10226</v>
      </c>
      <c r="V309">
        <v>10728</v>
      </c>
      <c r="W309">
        <v>48286</v>
      </c>
      <c r="X309">
        <v>26894</v>
      </c>
      <c r="Y309">
        <v>60270</v>
      </c>
      <c r="AA309" t="s">
        <v>3614</v>
      </c>
      <c r="AC309">
        <v>7873</v>
      </c>
      <c r="AE309">
        <v>8211</v>
      </c>
      <c r="AG309" t="s">
        <v>3615</v>
      </c>
      <c r="AI309">
        <v>6013</v>
      </c>
      <c r="AK309">
        <v>27781</v>
      </c>
      <c r="AP309" t="s">
        <v>3616</v>
      </c>
      <c r="AR309">
        <v>13386</v>
      </c>
      <c r="AT309">
        <v>13690</v>
      </c>
      <c r="AV309" t="s">
        <v>3617</v>
      </c>
      <c r="AX309">
        <v>10141</v>
      </c>
      <c r="AZ309">
        <v>23621</v>
      </c>
      <c r="BB309" t="s">
        <v>3618</v>
      </c>
      <c r="BD309">
        <v>8235</v>
      </c>
      <c r="BF309">
        <v>8302</v>
      </c>
      <c r="BH309" t="s">
        <v>3619</v>
      </c>
      <c r="BJ309">
        <v>10409</v>
      </c>
      <c r="BL309">
        <v>36359</v>
      </c>
    </row>
    <row r="310" spans="1:64">
      <c r="A310">
        <f t="shared" si="49"/>
        <v>7.942</v>
      </c>
      <c r="B310">
        <f t="shared" si="50"/>
        <v>13.499</v>
      </c>
      <c r="C310">
        <f t="shared" si="51"/>
        <v>8.302</v>
      </c>
      <c r="D310">
        <f t="shared" si="52"/>
        <v>8.314</v>
      </c>
      <c r="E310">
        <f t="shared" si="53"/>
        <v>13.793</v>
      </c>
      <c r="F310">
        <f t="shared" si="54"/>
        <v>8.384</v>
      </c>
      <c r="G310">
        <f t="shared" si="55"/>
        <v>6.149</v>
      </c>
      <c r="H310">
        <f t="shared" si="56"/>
        <v>10.229</v>
      </c>
      <c r="I310">
        <f t="shared" si="57"/>
        <v>10.733</v>
      </c>
      <c r="J310">
        <f t="shared" si="58"/>
        <v>51.182</v>
      </c>
      <c r="K310">
        <f t="shared" si="59"/>
        <v>27.195</v>
      </c>
      <c r="L310">
        <f t="shared" si="60"/>
        <v>68.597</v>
      </c>
      <c r="N310">
        <v>7942</v>
      </c>
      <c r="O310">
        <v>13499</v>
      </c>
      <c r="P310">
        <v>8302</v>
      </c>
      <c r="Q310">
        <v>8314</v>
      </c>
      <c r="R310">
        <v>13793</v>
      </c>
      <c r="S310">
        <v>8384</v>
      </c>
      <c r="T310">
        <v>6149</v>
      </c>
      <c r="U310">
        <v>10229</v>
      </c>
      <c r="V310">
        <v>10733</v>
      </c>
      <c r="W310">
        <v>51182</v>
      </c>
      <c r="X310">
        <v>27195</v>
      </c>
      <c r="Y310">
        <v>68597</v>
      </c>
      <c r="AA310" t="s">
        <v>3620</v>
      </c>
      <c r="AC310">
        <v>7876</v>
      </c>
      <c r="AE310">
        <v>8213</v>
      </c>
      <c r="AG310" t="s">
        <v>3621</v>
      </c>
      <c r="AI310">
        <v>6023</v>
      </c>
      <c r="AK310">
        <v>28968</v>
      </c>
      <c r="AP310" t="s">
        <v>3622</v>
      </c>
      <c r="AR310">
        <v>13388</v>
      </c>
      <c r="AT310">
        <v>13692</v>
      </c>
      <c r="AV310" t="s">
        <v>3623</v>
      </c>
      <c r="AX310">
        <v>10143</v>
      </c>
      <c r="AZ310">
        <v>23670</v>
      </c>
      <c r="BB310" t="s">
        <v>3624</v>
      </c>
      <c r="BD310">
        <v>8238</v>
      </c>
      <c r="BF310">
        <v>8311</v>
      </c>
      <c r="BH310" t="s">
        <v>3625</v>
      </c>
      <c r="BJ310">
        <v>10451</v>
      </c>
      <c r="BL310">
        <v>36571</v>
      </c>
    </row>
    <row r="311" spans="1:64">
      <c r="A311">
        <f t="shared" si="49"/>
        <v>7.943</v>
      </c>
      <c r="B311">
        <f t="shared" si="50"/>
        <v>13.516</v>
      </c>
      <c r="C311">
        <f t="shared" si="51"/>
        <v>8.311</v>
      </c>
      <c r="D311">
        <f t="shared" si="52"/>
        <v>8.336</v>
      </c>
      <c r="E311">
        <f t="shared" si="53"/>
        <v>13.799</v>
      </c>
      <c r="F311">
        <f t="shared" si="54"/>
        <v>8.402</v>
      </c>
      <c r="G311">
        <f t="shared" si="55"/>
        <v>6.153</v>
      </c>
      <c r="H311">
        <f t="shared" si="56"/>
        <v>10.247</v>
      </c>
      <c r="I311">
        <f t="shared" si="57"/>
        <v>10.741</v>
      </c>
      <c r="J311">
        <f t="shared" si="58"/>
        <v>0</v>
      </c>
      <c r="K311">
        <f t="shared" si="59"/>
        <v>27.272</v>
      </c>
      <c r="L311">
        <f t="shared" si="60"/>
        <v>0</v>
      </c>
      <c r="N311">
        <v>7943</v>
      </c>
      <c r="O311">
        <v>13516</v>
      </c>
      <c r="P311">
        <v>8311</v>
      </c>
      <c r="Q311">
        <v>8336</v>
      </c>
      <c r="R311">
        <v>13799</v>
      </c>
      <c r="S311">
        <v>8402</v>
      </c>
      <c r="T311">
        <v>6153</v>
      </c>
      <c r="U311">
        <v>10247</v>
      </c>
      <c r="V311">
        <v>10741</v>
      </c>
      <c r="X311">
        <v>27272</v>
      </c>
      <c r="AA311" t="s">
        <v>3626</v>
      </c>
      <c r="AC311">
        <v>7887</v>
      </c>
      <c r="AE311">
        <v>8226</v>
      </c>
      <c r="AG311" t="s">
        <v>3627</v>
      </c>
      <c r="AI311">
        <v>6030</v>
      </c>
      <c r="AK311">
        <v>31307</v>
      </c>
      <c r="AP311" t="s">
        <v>3628</v>
      </c>
      <c r="AR311">
        <v>13396</v>
      </c>
      <c r="AT311">
        <v>13695</v>
      </c>
      <c r="AV311" t="s">
        <v>3629</v>
      </c>
      <c r="AX311">
        <v>10160</v>
      </c>
      <c r="AZ311">
        <v>24225</v>
      </c>
      <c r="BB311" t="s">
        <v>3630</v>
      </c>
      <c r="BD311">
        <v>8242</v>
      </c>
      <c r="BF311">
        <v>8313</v>
      </c>
      <c r="BH311" t="s">
        <v>3631</v>
      </c>
      <c r="BJ311">
        <v>10469</v>
      </c>
      <c r="BL311">
        <v>38062</v>
      </c>
    </row>
    <row r="312" spans="1:64">
      <c r="A312">
        <f t="shared" si="49"/>
        <v>7.951</v>
      </c>
      <c r="B312">
        <f t="shared" si="50"/>
        <v>13.525</v>
      </c>
      <c r="C312">
        <f t="shared" si="51"/>
        <v>8.313</v>
      </c>
      <c r="D312">
        <f t="shared" si="52"/>
        <v>8.358</v>
      </c>
      <c r="E312">
        <f t="shared" si="53"/>
        <v>13.827</v>
      </c>
      <c r="F312">
        <f t="shared" si="54"/>
        <v>8.404</v>
      </c>
      <c r="G312">
        <f t="shared" si="55"/>
        <v>6.171</v>
      </c>
      <c r="H312">
        <f t="shared" si="56"/>
        <v>10.252</v>
      </c>
      <c r="I312">
        <f t="shared" si="57"/>
        <v>10.821</v>
      </c>
      <c r="J312">
        <f t="shared" si="58"/>
        <v>0</v>
      </c>
      <c r="K312">
        <f t="shared" si="59"/>
        <v>27.371</v>
      </c>
      <c r="L312">
        <f t="shared" si="60"/>
        <v>0</v>
      </c>
      <c r="N312">
        <v>7951</v>
      </c>
      <c r="O312">
        <v>13525</v>
      </c>
      <c r="P312">
        <v>8313</v>
      </c>
      <c r="Q312">
        <v>8358</v>
      </c>
      <c r="R312">
        <v>13827</v>
      </c>
      <c r="S312">
        <v>8404</v>
      </c>
      <c r="T312">
        <v>6171</v>
      </c>
      <c r="U312">
        <v>10252</v>
      </c>
      <c r="V312">
        <v>10821</v>
      </c>
      <c r="X312">
        <v>27371</v>
      </c>
      <c r="AA312" t="s">
        <v>3632</v>
      </c>
      <c r="AC312">
        <v>7888</v>
      </c>
      <c r="AE312">
        <v>8231</v>
      </c>
      <c r="AG312" t="s">
        <v>3633</v>
      </c>
      <c r="AI312">
        <v>6043</v>
      </c>
      <c r="AK312">
        <v>31430</v>
      </c>
      <c r="AP312" t="s">
        <v>3634</v>
      </c>
      <c r="AR312">
        <v>13440</v>
      </c>
      <c r="AT312">
        <v>13715</v>
      </c>
      <c r="AV312" t="s">
        <v>3635</v>
      </c>
      <c r="AX312">
        <v>10174</v>
      </c>
      <c r="AZ312">
        <v>25038</v>
      </c>
      <c r="BB312" t="s">
        <v>3636</v>
      </c>
      <c r="BD312">
        <v>8263</v>
      </c>
      <c r="BF312">
        <v>8323</v>
      </c>
      <c r="BH312" t="s">
        <v>3637</v>
      </c>
      <c r="BJ312">
        <v>10514</v>
      </c>
      <c r="BL312">
        <v>44174</v>
      </c>
    </row>
    <row r="313" spans="1:64">
      <c r="A313">
        <f t="shared" si="49"/>
        <v>7.962</v>
      </c>
      <c r="B313">
        <f t="shared" si="50"/>
        <v>13.527</v>
      </c>
      <c r="C313">
        <f t="shared" si="51"/>
        <v>8.323</v>
      </c>
      <c r="D313">
        <f t="shared" si="52"/>
        <v>8.365</v>
      </c>
      <c r="E313">
        <f t="shared" si="53"/>
        <v>13.837</v>
      </c>
      <c r="F313">
        <f t="shared" si="54"/>
        <v>8.454</v>
      </c>
      <c r="G313">
        <f t="shared" si="55"/>
        <v>6.186</v>
      </c>
      <c r="H313">
        <f t="shared" si="56"/>
        <v>10.258</v>
      </c>
      <c r="I313">
        <f t="shared" si="57"/>
        <v>10.836</v>
      </c>
      <c r="J313">
        <f t="shared" si="58"/>
        <v>0</v>
      </c>
      <c r="K313">
        <f t="shared" si="59"/>
        <v>27.624</v>
      </c>
      <c r="L313">
        <f t="shared" si="60"/>
        <v>0</v>
      </c>
      <c r="N313">
        <v>7962</v>
      </c>
      <c r="O313">
        <v>13527</v>
      </c>
      <c r="P313">
        <v>8323</v>
      </c>
      <c r="Q313">
        <v>8365</v>
      </c>
      <c r="R313">
        <v>13837</v>
      </c>
      <c r="S313">
        <v>8454</v>
      </c>
      <c r="T313">
        <v>6186</v>
      </c>
      <c r="U313">
        <v>10258</v>
      </c>
      <c r="V313">
        <v>10836</v>
      </c>
      <c r="X313">
        <v>27624</v>
      </c>
      <c r="AA313" t="s">
        <v>3638</v>
      </c>
      <c r="AC313">
        <v>7899</v>
      </c>
      <c r="AE313">
        <v>8239</v>
      </c>
      <c r="AG313" t="s">
        <v>3639</v>
      </c>
      <c r="AI313">
        <v>6072</v>
      </c>
      <c r="AK313">
        <v>31842</v>
      </c>
      <c r="AP313" t="s">
        <v>3640</v>
      </c>
      <c r="AR313">
        <v>13471</v>
      </c>
      <c r="AT313">
        <v>13740</v>
      </c>
      <c r="AV313" t="s">
        <v>3641</v>
      </c>
      <c r="AX313">
        <v>10185</v>
      </c>
      <c r="AZ313">
        <v>25822</v>
      </c>
      <c r="BB313" t="s">
        <v>3642</v>
      </c>
      <c r="BD313">
        <v>8283</v>
      </c>
      <c r="BF313">
        <v>8332</v>
      </c>
      <c r="BH313" t="s">
        <v>3643</v>
      </c>
      <c r="BJ313">
        <v>10524</v>
      </c>
      <c r="BL313">
        <v>48911</v>
      </c>
    </row>
    <row r="314" spans="1:64">
      <c r="A314">
        <f t="shared" si="49"/>
        <v>7.968</v>
      </c>
      <c r="B314">
        <f t="shared" si="50"/>
        <v>13.531</v>
      </c>
      <c r="C314">
        <f t="shared" si="51"/>
        <v>8.326</v>
      </c>
      <c r="D314">
        <f t="shared" si="52"/>
        <v>8.37</v>
      </c>
      <c r="E314">
        <f t="shared" si="53"/>
        <v>13.866</v>
      </c>
      <c r="F314">
        <f t="shared" si="54"/>
        <v>8.457</v>
      </c>
      <c r="G314">
        <f t="shared" si="55"/>
        <v>6.262</v>
      </c>
      <c r="H314">
        <f t="shared" si="56"/>
        <v>10.276</v>
      </c>
      <c r="I314">
        <f t="shared" si="57"/>
        <v>10.842</v>
      </c>
      <c r="J314">
        <f t="shared" si="58"/>
        <v>0</v>
      </c>
      <c r="K314">
        <f t="shared" si="59"/>
        <v>28.649</v>
      </c>
      <c r="L314">
        <f t="shared" si="60"/>
        <v>0</v>
      </c>
      <c r="N314">
        <v>7968</v>
      </c>
      <c r="O314">
        <v>13531</v>
      </c>
      <c r="P314">
        <v>8326</v>
      </c>
      <c r="Q314">
        <v>8370</v>
      </c>
      <c r="R314">
        <v>13866</v>
      </c>
      <c r="S314">
        <v>8457</v>
      </c>
      <c r="T314">
        <v>6262</v>
      </c>
      <c r="U314">
        <v>10276</v>
      </c>
      <c r="V314">
        <v>10842</v>
      </c>
      <c r="X314">
        <v>28649</v>
      </c>
      <c r="AA314" t="s">
        <v>3644</v>
      </c>
      <c r="AC314">
        <v>7912</v>
      </c>
      <c r="AE314">
        <v>8254</v>
      </c>
      <c r="AG314" t="s">
        <v>3645</v>
      </c>
      <c r="AI314">
        <v>6081</v>
      </c>
      <c r="AK314">
        <v>35387</v>
      </c>
      <c r="AP314" t="s">
        <v>3646</v>
      </c>
      <c r="AR314">
        <v>13472</v>
      </c>
      <c r="AT314">
        <v>13755</v>
      </c>
      <c r="AV314" t="s">
        <v>3647</v>
      </c>
      <c r="AX314">
        <v>10205</v>
      </c>
      <c r="AZ314">
        <v>26719</v>
      </c>
      <c r="BB314" t="s">
        <v>3648</v>
      </c>
      <c r="BD314">
        <v>8295</v>
      </c>
      <c r="BF314">
        <v>8352</v>
      </c>
      <c r="BH314" t="s">
        <v>3649</v>
      </c>
      <c r="BJ314">
        <v>10658</v>
      </c>
      <c r="BL314">
        <v>49425</v>
      </c>
    </row>
    <row r="315" spans="1:64">
      <c r="A315">
        <f t="shared" si="49"/>
        <v>7.972</v>
      </c>
      <c r="B315">
        <f t="shared" si="50"/>
        <v>13.538</v>
      </c>
      <c r="C315">
        <f t="shared" si="51"/>
        <v>8.332</v>
      </c>
      <c r="D315">
        <f t="shared" si="52"/>
        <v>8.393</v>
      </c>
      <c r="E315">
        <f t="shared" si="53"/>
        <v>13.869</v>
      </c>
      <c r="F315">
        <f t="shared" si="54"/>
        <v>8.47</v>
      </c>
      <c r="G315">
        <f t="shared" si="55"/>
        <v>6.288</v>
      </c>
      <c r="H315">
        <f t="shared" si="56"/>
        <v>10.304</v>
      </c>
      <c r="I315">
        <f t="shared" si="57"/>
        <v>10.883</v>
      </c>
      <c r="J315">
        <f t="shared" si="58"/>
        <v>0</v>
      </c>
      <c r="K315">
        <f t="shared" si="59"/>
        <v>28.679</v>
      </c>
      <c r="L315">
        <f t="shared" si="60"/>
        <v>0</v>
      </c>
      <c r="N315">
        <v>7972</v>
      </c>
      <c r="O315">
        <v>13538</v>
      </c>
      <c r="P315">
        <v>8332</v>
      </c>
      <c r="Q315">
        <v>8393</v>
      </c>
      <c r="R315">
        <v>13869</v>
      </c>
      <c r="S315">
        <v>8470</v>
      </c>
      <c r="T315">
        <v>6288</v>
      </c>
      <c r="U315">
        <v>10304</v>
      </c>
      <c r="V315">
        <v>10883</v>
      </c>
      <c r="X315">
        <v>28679</v>
      </c>
      <c r="AA315" t="s">
        <v>3650</v>
      </c>
      <c r="AC315">
        <v>7917</v>
      </c>
      <c r="AE315">
        <v>8255</v>
      </c>
      <c r="AG315" t="s">
        <v>3651</v>
      </c>
      <c r="AI315">
        <v>6095</v>
      </c>
      <c r="AK315">
        <v>38700</v>
      </c>
      <c r="AP315" t="s">
        <v>3652</v>
      </c>
      <c r="AR315">
        <v>13494</v>
      </c>
      <c r="AT315">
        <v>13757</v>
      </c>
      <c r="AV315" t="s">
        <v>3653</v>
      </c>
      <c r="AX315">
        <v>10224</v>
      </c>
      <c r="AZ315">
        <v>26817</v>
      </c>
      <c r="BB315" t="s">
        <v>3654</v>
      </c>
      <c r="BD315">
        <v>8302</v>
      </c>
      <c r="BF315">
        <v>8357</v>
      </c>
      <c r="BH315" t="s">
        <v>3655</v>
      </c>
      <c r="BJ315">
        <v>10670</v>
      </c>
      <c r="BL315">
        <v>49957</v>
      </c>
    </row>
    <row r="316" spans="1:64">
      <c r="A316">
        <f t="shared" si="49"/>
        <v>7.987</v>
      </c>
      <c r="B316">
        <f t="shared" si="50"/>
        <v>13.558</v>
      </c>
      <c r="C316">
        <f t="shared" si="51"/>
        <v>8.352</v>
      </c>
      <c r="D316">
        <f t="shared" si="52"/>
        <v>8.403</v>
      </c>
      <c r="E316">
        <f t="shared" si="53"/>
        <v>13.875</v>
      </c>
      <c r="F316">
        <f t="shared" si="54"/>
        <v>8.488</v>
      </c>
      <c r="G316">
        <f t="shared" si="55"/>
        <v>6.356</v>
      </c>
      <c r="H316">
        <f t="shared" si="56"/>
        <v>10.339</v>
      </c>
      <c r="I316">
        <f t="shared" si="57"/>
        <v>10.903</v>
      </c>
      <c r="J316">
        <f t="shared" si="58"/>
        <v>0</v>
      </c>
      <c r="K316">
        <f t="shared" si="59"/>
        <v>28.796</v>
      </c>
      <c r="L316">
        <f t="shared" si="60"/>
        <v>0</v>
      </c>
      <c r="N316">
        <v>7987</v>
      </c>
      <c r="O316">
        <v>13558</v>
      </c>
      <c r="P316">
        <v>8352</v>
      </c>
      <c r="Q316">
        <v>8403</v>
      </c>
      <c r="R316">
        <v>13875</v>
      </c>
      <c r="S316">
        <v>8488</v>
      </c>
      <c r="T316">
        <v>6356</v>
      </c>
      <c r="U316">
        <v>10339</v>
      </c>
      <c r="V316">
        <v>10903</v>
      </c>
      <c r="X316">
        <v>28796</v>
      </c>
      <c r="AA316" t="s">
        <v>3656</v>
      </c>
      <c r="AC316">
        <v>7934</v>
      </c>
      <c r="AE316">
        <v>8278</v>
      </c>
      <c r="AG316" t="s">
        <v>3657</v>
      </c>
      <c r="AI316">
        <v>6110</v>
      </c>
      <c r="AK316">
        <v>40059</v>
      </c>
      <c r="AP316" t="s">
        <v>3658</v>
      </c>
      <c r="AR316">
        <v>13496</v>
      </c>
      <c r="AT316">
        <v>13775</v>
      </c>
      <c r="AV316" t="s">
        <v>3659</v>
      </c>
      <c r="AX316">
        <v>10226</v>
      </c>
      <c r="AZ316">
        <v>26894</v>
      </c>
      <c r="BB316" t="s">
        <v>3660</v>
      </c>
      <c r="BD316">
        <v>8302</v>
      </c>
      <c r="BF316">
        <v>8370</v>
      </c>
      <c r="BH316" t="s">
        <v>3661</v>
      </c>
      <c r="BJ316">
        <v>10704</v>
      </c>
      <c r="BL316">
        <v>53088</v>
      </c>
    </row>
    <row r="317" spans="1:64">
      <c r="A317">
        <f t="shared" si="49"/>
        <v>8</v>
      </c>
      <c r="B317">
        <f t="shared" si="50"/>
        <v>13.582</v>
      </c>
      <c r="C317">
        <f t="shared" si="51"/>
        <v>8.357</v>
      </c>
      <c r="D317">
        <f t="shared" si="52"/>
        <v>8.406</v>
      </c>
      <c r="E317">
        <f t="shared" si="53"/>
        <v>13.917</v>
      </c>
      <c r="F317">
        <f t="shared" si="54"/>
        <v>8.529</v>
      </c>
      <c r="G317">
        <f t="shared" si="55"/>
        <v>6.377</v>
      </c>
      <c r="H317">
        <f t="shared" si="56"/>
        <v>10.343</v>
      </c>
      <c r="I317">
        <f t="shared" si="57"/>
        <v>11.131</v>
      </c>
      <c r="J317">
        <f t="shared" si="58"/>
        <v>0</v>
      </c>
      <c r="K317">
        <f t="shared" si="59"/>
        <v>28.801</v>
      </c>
      <c r="L317">
        <f t="shared" si="60"/>
        <v>0</v>
      </c>
      <c r="N317">
        <v>8000</v>
      </c>
      <c r="O317">
        <v>13582</v>
      </c>
      <c r="P317">
        <v>8357</v>
      </c>
      <c r="Q317">
        <v>8406</v>
      </c>
      <c r="R317">
        <v>13917</v>
      </c>
      <c r="S317">
        <v>8529</v>
      </c>
      <c r="T317">
        <v>6377</v>
      </c>
      <c r="U317">
        <v>10343</v>
      </c>
      <c r="V317">
        <v>11131</v>
      </c>
      <c r="X317">
        <v>28801</v>
      </c>
      <c r="AA317" t="s">
        <v>3662</v>
      </c>
      <c r="AC317">
        <v>7937</v>
      </c>
      <c r="AE317">
        <v>8289</v>
      </c>
      <c r="AG317" t="s">
        <v>3663</v>
      </c>
      <c r="AI317">
        <v>6132</v>
      </c>
      <c r="AK317">
        <v>48286</v>
      </c>
      <c r="AP317" t="s">
        <v>3664</v>
      </c>
      <c r="AR317">
        <v>13499</v>
      </c>
      <c r="AT317">
        <v>13793</v>
      </c>
      <c r="AV317" t="s">
        <v>3665</v>
      </c>
      <c r="AX317">
        <v>10229</v>
      </c>
      <c r="AZ317">
        <v>27195</v>
      </c>
      <c r="BB317" t="s">
        <v>3666</v>
      </c>
      <c r="BD317">
        <v>8302</v>
      </c>
      <c r="BF317">
        <v>8379</v>
      </c>
      <c r="BH317" t="s">
        <v>3667</v>
      </c>
      <c r="BJ317">
        <v>10728</v>
      </c>
      <c r="BL317">
        <v>60270</v>
      </c>
    </row>
    <row r="318" spans="1:64">
      <c r="A318">
        <f t="shared" si="49"/>
        <v>8.002</v>
      </c>
      <c r="B318">
        <f t="shared" si="50"/>
        <v>13.587</v>
      </c>
      <c r="C318">
        <f t="shared" si="51"/>
        <v>8.357</v>
      </c>
      <c r="D318">
        <f t="shared" si="52"/>
        <v>8.424</v>
      </c>
      <c r="E318">
        <f t="shared" si="53"/>
        <v>13.921</v>
      </c>
      <c r="F318">
        <f t="shared" si="54"/>
        <v>8.538</v>
      </c>
      <c r="G318">
        <f t="shared" si="55"/>
        <v>6.388</v>
      </c>
      <c r="H318">
        <f t="shared" si="56"/>
        <v>10.362</v>
      </c>
      <c r="I318">
        <f t="shared" si="57"/>
        <v>11.195</v>
      </c>
      <c r="J318">
        <f t="shared" si="58"/>
        <v>0</v>
      </c>
      <c r="K318">
        <f t="shared" si="59"/>
        <v>29.327</v>
      </c>
      <c r="L318">
        <f t="shared" si="60"/>
        <v>0</v>
      </c>
      <c r="N318">
        <v>8002</v>
      </c>
      <c r="O318">
        <v>13587</v>
      </c>
      <c r="P318">
        <v>8357</v>
      </c>
      <c r="Q318">
        <v>8424</v>
      </c>
      <c r="R318">
        <v>13921</v>
      </c>
      <c r="S318">
        <v>8538</v>
      </c>
      <c r="T318">
        <v>6388</v>
      </c>
      <c r="U318">
        <v>10362</v>
      </c>
      <c r="V318">
        <v>11195</v>
      </c>
      <c r="X318">
        <v>29327</v>
      </c>
      <c r="AA318" t="s">
        <v>3668</v>
      </c>
      <c r="AC318">
        <v>7942</v>
      </c>
      <c r="AE318">
        <v>8314</v>
      </c>
      <c r="AG318" t="s">
        <v>3669</v>
      </c>
      <c r="AI318">
        <v>6149</v>
      </c>
      <c r="AK318">
        <v>51182</v>
      </c>
      <c r="AP318" t="s">
        <v>3670</v>
      </c>
      <c r="AR318">
        <v>13516</v>
      </c>
      <c r="AT318">
        <v>13799</v>
      </c>
      <c r="AV318" t="s">
        <v>3671</v>
      </c>
      <c r="AX318">
        <v>10247</v>
      </c>
      <c r="AZ318">
        <v>27272</v>
      </c>
      <c r="BB318" t="s">
        <v>3672</v>
      </c>
      <c r="BD318">
        <v>8302</v>
      </c>
      <c r="BF318">
        <v>8384</v>
      </c>
      <c r="BH318" t="s">
        <v>3673</v>
      </c>
      <c r="BJ318">
        <v>10733</v>
      </c>
      <c r="BL318">
        <v>68597</v>
      </c>
    </row>
    <row r="319" spans="1:62">
      <c r="A319">
        <f t="shared" si="49"/>
        <v>8.008</v>
      </c>
      <c r="B319">
        <f t="shared" si="50"/>
        <v>13.593</v>
      </c>
      <c r="C319">
        <f t="shared" si="51"/>
        <v>8.37</v>
      </c>
      <c r="D319">
        <f t="shared" si="52"/>
        <v>8.438</v>
      </c>
      <c r="E319">
        <f t="shared" si="53"/>
        <v>13.939</v>
      </c>
      <c r="F319">
        <f t="shared" si="54"/>
        <v>8.55</v>
      </c>
      <c r="G319">
        <f t="shared" si="55"/>
        <v>6.392</v>
      </c>
      <c r="H319">
        <f t="shared" si="56"/>
        <v>10.388</v>
      </c>
      <c r="I319">
        <f t="shared" si="57"/>
        <v>11.216</v>
      </c>
      <c r="J319">
        <f t="shared" si="58"/>
        <v>0</v>
      </c>
      <c r="K319">
        <f t="shared" si="59"/>
        <v>31.699</v>
      </c>
      <c r="L319">
        <f t="shared" si="60"/>
        <v>0</v>
      </c>
      <c r="N319">
        <v>8008</v>
      </c>
      <c r="O319">
        <v>13593</v>
      </c>
      <c r="P319">
        <v>8370</v>
      </c>
      <c r="Q319">
        <v>8438</v>
      </c>
      <c r="R319">
        <v>13939</v>
      </c>
      <c r="S319">
        <v>8550</v>
      </c>
      <c r="T319">
        <v>6392</v>
      </c>
      <c r="U319">
        <v>10388</v>
      </c>
      <c r="V319">
        <v>11216</v>
      </c>
      <c r="X319">
        <v>31699</v>
      </c>
      <c r="AA319" t="s">
        <v>3674</v>
      </c>
      <c r="AC319">
        <v>7943</v>
      </c>
      <c r="AE319">
        <v>8336</v>
      </c>
      <c r="AG319" t="s">
        <v>3675</v>
      </c>
      <c r="AI319">
        <v>6153</v>
      </c>
      <c r="AP319" t="s">
        <v>3676</v>
      </c>
      <c r="AR319">
        <v>13525</v>
      </c>
      <c r="AT319">
        <v>13827</v>
      </c>
      <c r="AV319" t="s">
        <v>3677</v>
      </c>
      <c r="AX319">
        <v>10252</v>
      </c>
      <c r="AZ319">
        <v>27371</v>
      </c>
      <c r="BB319" t="s">
        <v>3678</v>
      </c>
      <c r="BD319">
        <v>8311</v>
      </c>
      <c r="BF319">
        <v>8402</v>
      </c>
      <c r="BH319" t="s">
        <v>3679</v>
      </c>
      <c r="BJ319">
        <v>10741</v>
      </c>
    </row>
    <row r="320" spans="1:62">
      <c r="A320">
        <f t="shared" si="49"/>
        <v>8.018</v>
      </c>
      <c r="B320">
        <f t="shared" si="50"/>
        <v>13.601</v>
      </c>
      <c r="C320">
        <f t="shared" si="51"/>
        <v>8.379</v>
      </c>
      <c r="D320">
        <f t="shared" si="52"/>
        <v>8.442</v>
      </c>
      <c r="E320">
        <f t="shared" si="53"/>
        <v>13.941</v>
      </c>
      <c r="F320">
        <f t="shared" si="54"/>
        <v>8.57</v>
      </c>
      <c r="G320">
        <f t="shared" si="55"/>
        <v>6.434</v>
      </c>
      <c r="H320">
        <f t="shared" si="56"/>
        <v>10.4</v>
      </c>
      <c r="I320">
        <f t="shared" si="57"/>
        <v>11.219</v>
      </c>
      <c r="J320">
        <f t="shared" si="58"/>
        <v>0</v>
      </c>
      <c r="K320">
        <f t="shared" si="59"/>
        <v>31.945</v>
      </c>
      <c r="L320">
        <f t="shared" si="60"/>
        <v>0</v>
      </c>
      <c r="N320">
        <v>8018</v>
      </c>
      <c r="O320">
        <v>13601</v>
      </c>
      <c r="P320">
        <v>8379</v>
      </c>
      <c r="Q320">
        <v>8442</v>
      </c>
      <c r="R320">
        <v>13941</v>
      </c>
      <c r="S320">
        <v>8570</v>
      </c>
      <c r="T320">
        <v>6434</v>
      </c>
      <c r="U320">
        <v>10400</v>
      </c>
      <c r="V320">
        <v>11219</v>
      </c>
      <c r="X320">
        <v>31945</v>
      </c>
      <c r="AA320" t="s">
        <v>3680</v>
      </c>
      <c r="AC320">
        <v>7951</v>
      </c>
      <c r="AE320">
        <v>8358</v>
      </c>
      <c r="AG320" t="s">
        <v>3681</v>
      </c>
      <c r="AI320">
        <v>6171</v>
      </c>
      <c r="AP320" t="s">
        <v>3682</v>
      </c>
      <c r="AR320">
        <v>13527</v>
      </c>
      <c r="AT320">
        <v>13837</v>
      </c>
      <c r="AV320" t="s">
        <v>3683</v>
      </c>
      <c r="AX320">
        <v>10258</v>
      </c>
      <c r="AZ320">
        <v>27624</v>
      </c>
      <c r="BB320" t="s">
        <v>3684</v>
      </c>
      <c r="BD320">
        <v>8313</v>
      </c>
      <c r="BF320">
        <v>8404</v>
      </c>
      <c r="BH320" t="s">
        <v>3685</v>
      </c>
      <c r="BJ320">
        <v>10821</v>
      </c>
    </row>
    <row r="321" spans="1:62">
      <c r="A321">
        <f t="shared" si="49"/>
        <v>8.041</v>
      </c>
      <c r="B321">
        <f t="shared" si="50"/>
        <v>13.603</v>
      </c>
      <c r="C321">
        <f t="shared" si="51"/>
        <v>8.384</v>
      </c>
      <c r="D321">
        <f t="shared" si="52"/>
        <v>8.443</v>
      </c>
      <c r="E321">
        <f t="shared" si="53"/>
        <v>13.955</v>
      </c>
      <c r="F321">
        <f t="shared" si="54"/>
        <v>8.583</v>
      </c>
      <c r="G321">
        <f t="shared" si="55"/>
        <v>6.436</v>
      </c>
      <c r="H321">
        <f t="shared" si="56"/>
        <v>10.402</v>
      </c>
      <c r="I321">
        <f t="shared" si="57"/>
        <v>11.244</v>
      </c>
      <c r="J321">
        <f t="shared" si="58"/>
        <v>0</v>
      </c>
      <c r="K321">
        <f t="shared" si="59"/>
        <v>35.031</v>
      </c>
      <c r="L321">
        <f t="shared" si="60"/>
        <v>0</v>
      </c>
      <c r="N321">
        <v>8041</v>
      </c>
      <c r="O321">
        <v>13603</v>
      </c>
      <c r="P321">
        <v>8384</v>
      </c>
      <c r="Q321">
        <v>8443</v>
      </c>
      <c r="R321">
        <v>13955</v>
      </c>
      <c r="S321">
        <v>8583</v>
      </c>
      <c r="T321">
        <v>6436</v>
      </c>
      <c r="U321">
        <v>10402</v>
      </c>
      <c r="V321">
        <v>11244</v>
      </c>
      <c r="X321">
        <v>35031</v>
      </c>
      <c r="AA321" t="s">
        <v>3686</v>
      </c>
      <c r="AC321">
        <v>7962</v>
      </c>
      <c r="AE321">
        <v>8365</v>
      </c>
      <c r="AG321" t="s">
        <v>3687</v>
      </c>
      <c r="AI321">
        <v>6186</v>
      </c>
      <c r="AP321" t="s">
        <v>3688</v>
      </c>
      <c r="AR321">
        <v>13531</v>
      </c>
      <c r="AT321">
        <v>13866</v>
      </c>
      <c r="AV321" t="s">
        <v>3689</v>
      </c>
      <c r="AX321">
        <v>10276</v>
      </c>
      <c r="AZ321">
        <v>28649</v>
      </c>
      <c r="BB321" t="s">
        <v>3690</v>
      </c>
      <c r="BD321">
        <v>8323</v>
      </c>
      <c r="BF321">
        <v>8454</v>
      </c>
      <c r="BH321" t="s">
        <v>3691</v>
      </c>
      <c r="BJ321">
        <v>10836</v>
      </c>
    </row>
    <row r="322" spans="1:62">
      <c r="A322">
        <f t="shared" si="49"/>
        <v>8.066</v>
      </c>
      <c r="B322">
        <f t="shared" si="50"/>
        <v>13.616</v>
      </c>
      <c r="C322">
        <f t="shared" si="51"/>
        <v>8.402</v>
      </c>
      <c r="D322">
        <f t="shared" si="52"/>
        <v>8.544</v>
      </c>
      <c r="E322">
        <f t="shared" si="53"/>
        <v>13.956</v>
      </c>
      <c r="F322">
        <f t="shared" si="54"/>
        <v>8.584</v>
      </c>
      <c r="G322">
        <f t="shared" si="55"/>
        <v>6.448</v>
      </c>
      <c r="H322">
        <f t="shared" si="56"/>
        <v>10.415</v>
      </c>
      <c r="I322">
        <f t="shared" si="57"/>
        <v>11.27</v>
      </c>
      <c r="J322">
        <f t="shared" si="58"/>
        <v>0</v>
      </c>
      <c r="K322">
        <f t="shared" si="59"/>
        <v>35.494</v>
      </c>
      <c r="L322">
        <f t="shared" si="60"/>
        <v>0</v>
      </c>
      <c r="N322">
        <v>8066</v>
      </c>
      <c r="O322">
        <v>13616</v>
      </c>
      <c r="P322">
        <v>8402</v>
      </c>
      <c r="Q322">
        <v>8544</v>
      </c>
      <c r="R322">
        <v>13956</v>
      </c>
      <c r="S322">
        <v>8584</v>
      </c>
      <c r="T322">
        <v>6448</v>
      </c>
      <c r="U322">
        <v>10415</v>
      </c>
      <c r="V322">
        <v>11270</v>
      </c>
      <c r="X322">
        <v>35494</v>
      </c>
      <c r="AA322" t="s">
        <v>3692</v>
      </c>
      <c r="AC322">
        <v>7968</v>
      </c>
      <c r="AE322">
        <v>8370</v>
      </c>
      <c r="AG322" t="s">
        <v>3693</v>
      </c>
      <c r="AI322">
        <v>6262</v>
      </c>
      <c r="AP322" t="s">
        <v>3694</v>
      </c>
      <c r="AR322">
        <v>13538</v>
      </c>
      <c r="AT322">
        <v>13869</v>
      </c>
      <c r="AV322" t="s">
        <v>3695</v>
      </c>
      <c r="AX322">
        <v>10304</v>
      </c>
      <c r="AZ322">
        <v>28679</v>
      </c>
      <c r="BB322" t="s">
        <v>3696</v>
      </c>
      <c r="BD322">
        <v>8326</v>
      </c>
      <c r="BF322">
        <v>8457</v>
      </c>
      <c r="BH322" t="s">
        <v>3697</v>
      </c>
      <c r="BJ322">
        <v>10842</v>
      </c>
    </row>
    <row r="323" spans="1:62">
      <c r="A323">
        <f t="shared" si="49"/>
        <v>8.087</v>
      </c>
      <c r="B323">
        <f t="shared" si="50"/>
        <v>13.623</v>
      </c>
      <c r="C323">
        <f t="shared" si="51"/>
        <v>8.404</v>
      </c>
      <c r="D323">
        <f t="shared" si="52"/>
        <v>8.546</v>
      </c>
      <c r="E323">
        <f t="shared" si="53"/>
        <v>13.96</v>
      </c>
      <c r="F323">
        <f t="shared" si="54"/>
        <v>8.592</v>
      </c>
      <c r="G323">
        <f t="shared" si="55"/>
        <v>6.453</v>
      </c>
      <c r="H323">
        <f t="shared" si="56"/>
        <v>10.431</v>
      </c>
      <c r="I323">
        <f t="shared" si="57"/>
        <v>11.311</v>
      </c>
      <c r="J323">
        <f t="shared" si="58"/>
        <v>0</v>
      </c>
      <c r="K323">
        <f t="shared" si="59"/>
        <v>38.623</v>
      </c>
      <c r="L323">
        <f t="shared" si="60"/>
        <v>0</v>
      </c>
      <c r="N323">
        <v>8087</v>
      </c>
      <c r="O323">
        <v>13623</v>
      </c>
      <c r="P323">
        <v>8404</v>
      </c>
      <c r="Q323">
        <v>8546</v>
      </c>
      <c r="R323">
        <v>13960</v>
      </c>
      <c r="S323">
        <v>8592</v>
      </c>
      <c r="T323">
        <v>6453</v>
      </c>
      <c r="U323">
        <v>10431</v>
      </c>
      <c r="V323">
        <v>11311</v>
      </c>
      <c r="X323">
        <v>38623</v>
      </c>
      <c r="AA323" t="s">
        <v>3698</v>
      </c>
      <c r="AC323">
        <v>7972</v>
      </c>
      <c r="AE323">
        <v>8393</v>
      </c>
      <c r="AG323" t="s">
        <v>3699</v>
      </c>
      <c r="AI323">
        <v>6288</v>
      </c>
      <c r="AP323" t="s">
        <v>3700</v>
      </c>
      <c r="AR323">
        <v>13558</v>
      </c>
      <c r="AT323">
        <v>13875</v>
      </c>
      <c r="AV323" t="s">
        <v>3701</v>
      </c>
      <c r="AX323">
        <v>10339</v>
      </c>
      <c r="AZ323">
        <v>28796</v>
      </c>
      <c r="BB323" t="s">
        <v>3702</v>
      </c>
      <c r="BD323">
        <v>8332</v>
      </c>
      <c r="BF323">
        <v>8470</v>
      </c>
      <c r="BH323" t="s">
        <v>3703</v>
      </c>
      <c r="BJ323">
        <v>10883</v>
      </c>
    </row>
    <row r="324" spans="1:62">
      <c r="A324">
        <f t="shared" ref="A324:A387" si="61">N324/1000</f>
        <v>8.103</v>
      </c>
      <c r="B324">
        <f t="shared" ref="B324:B387" si="62">O324/1000</f>
        <v>13.632</v>
      </c>
      <c r="C324">
        <f t="shared" ref="C324:C387" si="63">P324/1000</f>
        <v>8.421</v>
      </c>
      <c r="D324">
        <f t="shared" ref="D324:D387" si="64">Q324/1000</f>
        <v>8.548</v>
      </c>
      <c r="E324">
        <f t="shared" ref="E324:E387" si="65">R324/1000</f>
        <v>14.02</v>
      </c>
      <c r="F324">
        <f t="shared" ref="F324:F387" si="66">S324/1000</f>
        <v>8.616</v>
      </c>
      <c r="G324">
        <f t="shared" ref="G324:G387" si="67">T324/1000</f>
        <v>6.453</v>
      </c>
      <c r="H324">
        <f t="shared" ref="H324:H387" si="68">U324/1000</f>
        <v>10.44</v>
      </c>
      <c r="I324">
        <f t="shared" ref="I324:I387" si="69">V324/1000</f>
        <v>11.471</v>
      </c>
      <c r="J324">
        <f t="shared" ref="J324:J387" si="70">W324/1000</f>
        <v>0</v>
      </c>
      <c r="K324">
        <f t="shared" ref="K324:K387" si="71">X324/1000</f>
        <v>43.436</v>
      </c>
      <c r="L324">
        <f t="shared" ref="L324:L387" si="72">Y324/1000</f>
        <v>0</v>
      </c>
      <c r="N324">
        <v>8103</v>
      </c>
      <c r="O324">
        <v>13632</v>
      </c>
      <c r="P324">
        <v>8421</v>
      </c>
      <c r="Q324">
        <v>8548</v>
      </c>
      <c r="R324">
        <v>14020</v>
      </c>
      <c r="S324">
        <v>8616</v>
      </c>
      <c r="T324">
        <v>6453</v>
      </c>
      <c r="U324">
        <v>10440</v>
      </c>
      <c r="V324">
        <v>11471</v>
      </c>
      <c r="X324">
        <v>43436</v>
      </c>
      <c r="AA324" t="s">
        <v>3704</v>
      </c>
      <c r="AC324">
        <v>7987</v>
      </c>
      <c r="AE324">
        <v>8403</v>
      </c>
      <c r="AG324" t="s">
        <v>3705</v>
      </c>
      <c r="AI324">
        <v>6356</v>
      </c>
      <c r="AP324" t="s">
        <v>3706</v>
      </c>
      <c r="AR324">
        <v>13582</v>
      </c>
      <c r="AT324">
        <v>13917</v>
      </c>
      <c r="AV324" t="s">
        <v>3707</v>
      </c>
      <c r="AX324">
        <v>10343</v>
      </c>
      <c r="AZ324">
        <v>28801</v>
      </c>
      <c r="BB324" t="s">
        <v>3708</v>
      </c>
      <c r="BD324">
        <v>8352</v>
      </c>
      <c r="BF324">
        <v>8488</v>
      </c>
      <c r="BH324" t="s">
        <v>3709</v>
      </c>
      <c r="BJ324">
        <v>10903</v>
      </c>
    </row>
    <row r="325" spans="1:62">
      <c r="A325">
        <f t="shared" si="61"/>
        <v>8.107</v>
      </c>
      <c r="B325">
        <f t="shared" si="62"/>
        <v>13.645</v>
      </c>
      <c r="C325">
        <f t="shared" si="63"/>
        <v>8.424</v>
      </c>
      <c r="D325">
        <f t="shared" si="64"/>
        <v>8.559</v>
      </c>
      <c r="E325">
        <f t="shared" si="65"/>
        <v>14.038</v>
      </c>
      <c r="F325">
        <f t="shared" si="66"/>
        <v>8.617</v>
      </c>
      <c r="G325">
        <f t="shared" si="67"/>
        <v>6.458</v>
      </c>
      <c r="H325">
        <f t="shared" si="68"/>
        <v>10.445</v>
      </c>
      <c r="I325">
        <f t="shared" si="69"/>
        <v>11.497</v>
      </c>
      <c r="J325">
        <f t="shared" si="70"/>
        <v>0</v>
      </c>
      <c r="K325">
        <f t="shared" si="71"/>
        <v>51.602</v>
      </c>
      <c r="L325">
        <f t="shared" si="72"/>
        <v>0</v>
      </c>
      <c r="N325">
        <v>8107</v>
      </c>
      <c r="O325">
        <v>13645</v>
      </c>
      <c r="P325">
        <v>8424</v>
      </c>
      <c r="Q325">
        <v>8559</v>
      </c>
      <c r="R325">
        <v>14038</v>
      </c>
      <c r="S325">
        <v>8617</v>
      </c>
      <c r="T325">
        <v>6458</v>
      </c>
      <c r="U325">
        <v>10445</v>
      </c>
      <c r="V325">
        <v>11497</v>
      </c>
      <c r="X325">
        <v>51602</v>
      </c>
      <c r="AA325" t="s">
        <v>3710</v>
      </c>
      <c r="AC325">
        <v>8000</v>
      </c>
      <c r="AE325">
        <v>8406</v>
      </c>
      <c r="AG325" t="s">
        <v>3711</v>
      </c>
      <c r="AI325">
        <v>6377</v>
      </c>
      <c r="AP325" t="s">
        <v>3712</v>
      </c>
      <c r="AR325">
        <v>13587</v>
      </c>
      <c r="AT325">
        <v>13921</v>
      </c>
      <c r="AV325" t="s">
        <v>3713</v>
      </c>
      <c r="AX325">
        <v>10362</v>
      </c>
      <c r="AZ325">
        <v>29327</v>
      </c>
      <c r="BB325" t="s">
        <v>3714</v>
      </c>
      <c r="BD325">
        <v>8357</v>
      </c>
      <c r="BF325">
        <v>8529</v>
      </c>
      <c r="BH325" t="s">
        <v>3715</v>
      </c>
      <c r="BJ325">
        <v>11131</v>
      </c>
    </row>
    <row r="326" spans="1:62">
      <c r="A326">
        <f t="shared" si="61"/>
        <v>8.119</v>
      </c>
      <c r="B326">
        <f t="shared" si="62"/>
        <v>13.647</v>
      </c>
      <c r="C326">
        <f t="shared" si="63"/>
        <v>8.454</v>
      </c>
      <c r="D326">
        <f t="shared" si="64"/>
        <v>8.567</v>
      </c>
      <c r="E326">
        <f t="shared" si="65"/>
        <v>14.042</v>
      </c>
      <c r="F326">
        <f t="shared" si="66"/>
        <v>8.627</v>
      </c>
      <c r="G326">
        <f t="shared" si="67"/>
        <v>6.468</v>
      </c>
      <c r="H326">
        <f t="shared" si="68"/>
        <v>10.458</v>
      </c>
      <c r="I326">
        <f t="shared" si="69"/>
        <v>11.497</v>
      </c>
      <c r="J326">
        <f t="shared" si="70"/>
        <v>0</v>
      </c>
      <c r="K326">
        <f t="shared" si="71"/>
        <v>0</v>
      </c>
      <c r="L326">
        <f t="shared" si="72"/>
        <v>0</v>
      </c>
      <c r="N326">
        <v>8119</v>
      </c>
      <c r="O326">
        <v>13647</v>
      </c>
      <c r="P326">
        <v>8454</v>
      </c>
      <c r="Q326">
        <v>8567</v>
      </c>
      <c r="R326">
        <v>14042</v>
      </c>
      <c r="S326">
        <v>8627</v>
      </c>
      <c r="T326">
        <v>6468</v>
      </c>
      <c r="U326">
        <v>10458</v>
      </c>
      <c r="V326">
        <v>11497</v>
      </c>
      <c r="AA326" t="s">
        <v>3716</v>
      </c>
      <c r="AC326">
        <v>8002</v>
      </c>
      <c r="AE326">
        <v>8424</v>
      </c>
      <c r="AG326" t="s">
        <v>3717</v>
      </c>
      <c r="AI326">
        <v>6388</v>
      </c>
      <c r="AP326" t="s">
        <v>3718</v>
      </c>
      <c r="AR326">
        <v>13593</v>
      </c>
      <c r="AT326">
        <v>13939</v>
      </c>
      <c r="AV326" t="s">
        <v>3719</v>
      </c>
      <c r="AX326">
        <v>10388</v>
      </c>
      <c r="AZ326">
        <v>31699</v>
      </c>
      <c r="BB326" t="s">
        <v>3720</v>
      </c>
      <c r="BD326">
        <v>8357</v>
      </c>
      <c r="BF326">
        <v>8538</v>
      </c>
      <c r="BH326" t="s">
        <v>3721</v>
      </c>
      <c r="BJ326">
        <v>11195</v>
      </c>
    </row>
    <row r="327" spans="1:62">
      <c r="A327">
        <f t="shared" si="61"/>
        <v>8.134</v>
      </c>
      <c r="B327">
        <f t="shared" si="62"/>
        <v>13.65</v>
      </c>
      <c r="C327">
        <f t="shared" si="63"/>
        <v>8.457</v>
      </c>
      <c r="D327">
        <f t="shared" si="64"/>
        <v>8.63</v>
      </c>
      <c r="E327">
        <f t="shared" si="65"/>
        <v>14.071</v>
      </c>
      <c r="F327">
        <f t="shared" si="66"/>
        <v>8.689</v>
      </c>
      <c r="G327">
        <f t="shared" si="67"/>
        <v>6.468</v>
      </c>
      <c r="H327">
        <f t="shared" si="68"/>
        <v>10.482</v>
      </c>
      <c r="I327">
        <f t="shared" si="69"/>
        <v>11.505</v>
      </c>
      <c r="J327">
        <f t="shared" si="70"/>
        <v>0</v>
      </c>
      <c r="K327">
        <f t="shared" si="71"/>
        <v>0</v>
      </c>
      <c r="L327">
        <f t="shared" si="72"/>
        <v>0</v>
      </c>
      <c r="N327">
        <v>8134</v>
      </c>
      <c r="O327">
        <v>13650</v>
      </c>
      <c r="P327">
        <v>8457</v>
      </c>
      <c r="Q327">
        <v>8630</v>
      </c>
      <c r="R327">
        <v>14071</v>
      </c>
      <c r="S327">
        <v>8689</v>
      </c>
      <c r="T327">
        <v>6468</v>
      </c>
      <c r="U327">
        <v>10482</v>
      </c>
      <c r="V327">
        <v>11505</v>
      </c>
      <c r="AA327" t="s">
        <v>3722</v>
      </c>
      <c r="AC327">
        <v>8008</v>
      </c>
      <c r="AE327">
        <v>8438</v>
      </c>
      <c r="AG327" t="s">
        <v>3723</v>
      </c>
      <c r="AI327">
        <v>6392</v>
      </c>
      <c r="AP327" t="s">
        <v>3724</v>
      </c>
      <c r="AR327">
        <v>13601</v>
      </c>
      <c r="AT327">
        <v>13941</v>
      </c>
      <c r="AV327" t="s">
        <v>3725</v>
      </c>
      <c r="AX327">
        <v>10400</v>
      </c>
      <c r="AZ327">
        <v>31945</v>
      </c>
      <c r="BB327" t="s">
        <v>3726</v>
      </c>
      <c r="BD327">
        <v>8370</v>
      </c>
      <c r="BF327">
        <v>8550</v>
      </c>
      <c r="BH327" t="s">
        <v>3727</v>
      </c>
      <c r="BJ327">
        <v>11216</v>
      </c>
    </row>
    <row r="328" spans="1:62">
      <c r="A328">
        <f t="shared" si="61"/>
        <v>8.159</v>
      </c>
      <c r="B328">
        <f t="shared" si="62"/>
        <v>13.652</v>
      </c>
      <c r="C328">
        <f t="shared" si="63"/>
        <v>8.47</v>
      </c>
      <c r="D328">
        <f t="shared" si="64"/>
        <v>8.637</v>
      </c>
      <c r="E328">
        <f t="shared" si="65"/>
        <v>14.073</v>
      </c>
      <c r="F328">
        <f t="shared" si="66"/>
        <v>8.704</v>
      </c>
      <c r="G328">
        <f t="shared" si="67"/>
        <v>6.48</v>
      </c>
      <c r="H328">
        <f t="shared" si="68"/>
        <v>10.502</v>
      </c>
      <c r="I328">
        <f t="shared" si="69"/>
        <v>11.511</v>
      </c>
      <c r="J328">
        <f t="shared" si="70"/>
        <v>0</v>
      </c>
      <c r="K328">
        <f t="shared" si="71"/>
        <v>0</v>
      </c>
      <c r="L328">
        <f t="shared" si="72"/>
        <v>0</v>
      </c>
      <c r="N328">
        <v>8159</v>
      </c>
      <c r="O328">
        <v>13652</v>
      </c>
      <c r="P328">
        <v>8470</v>
      </c>
      <c r="Q328">
        <v>8637</v>
      </c>
      <c r="R328">
        <v>14073</v>
      </c>
      <c r="S328">
        <v>8704</v>
      </c>
      <c r="T328">
        <v>6480</v>
      </c>
      <c r="U328">
        <v>10502</v>
      </c>
      <c r="V328">
        <v>11511</v>
      </c>
      <c r="AA328" t="s">
        <v>3728</v>
      </c>
      <c r="AC328">
        <v>8018</v>
      </c>
      <c r="AE328">
        <v>8442</v>
      </c>
      <c r="AG328" t="s">
        <v>3729</v>
      </c>
      <c r="AI328">
        <v>6434</v>
      </c>
      <c r="AP328" t="s">
        <v>3730</v>
      </c>
      <c r="AR328">
        <v>13603</v>
      </c>
      <c r="AT328">
        <v>13955</v>
      </c>
      <c r="AV328" t="s">
        <v>3731</v>
      </c>
      <c r="AX328">
        <v>10402</v>
      </c>
      <c r="AZ328">
        <v>35031</v>
      </c>
      <c r="BB328" t="s">
        <v>3732</v>
      </c>
      <c r="BD328">
        <v>8379</v>
      </c>
      <c r="BF328">
        <v>8570</v>
      </c>
      <c r="BH328" t="s">
        <v>3733</v>
      </c>
      <c r="BJ328">
        <v>11219</v>
      </c>
    </row>
    <row r="329" spans="1:62">
      <c r="A329">
        <f t="shared" si="61"/>
        <v>8.171</v>
      </c>
      <c r="B329">
        <f t="shared" si="62"/>
        <v>13.662</v>
      </c>
      <c r="C329">
        <f t="shared" si="63"/>
        <v>8.476</v>
      </c>
      <c r="D329">
        <f t="shared" si="64"/>
        <v>8.655</v>
      </c>
      <c r="E329">
        <f t="shared" si="65"/>
        <v>14.076</v>
      </c>
      <c r="F329">
        <f t="shared" si="66"/>
        <v>8.705</v>
      </c>
      <c r="G329">
        <f t="shared" si="67"/>
        <v>6.499</v>
      </c>
      <c r="H329">
        <f t="shared" si="68"/>
        <v>10.522</v>
      </c>
      <c r="I329">
        <f t="shared" si="69"/>
        <v>11.672</v>
      </c>
      <c r="J329">
        <f t="shared" si="70"/>
        <v>0</v>
      </c>
      <c r="K329">
        <f t="shared" si="71"/>
        <v>0</v>
      </c>
      <c r="L329">
        <f t="shared" si="72"/>
        <v>0</v>
      </c>
      <c r="N329">
        <v>8171</v>
      </c>
      <c r="O329">
        <v>13662</v>
      </c>
      <c r="P329">
        <v>8476</v>
      </c>
      <c r="Q329">
        <v>8655</v>
      </c>
      <c r="R329">
        <v>14076</v>
      </c>
      <c r="S329">
        <v>8705</v>
      </c>
      <c r="T329">
        <v>6499</v>
      </c>
      <c r="U329">
        <v>10522</v>
      </c>
      <c r="V329">
        <v>11672</v>
      </c>
      <c r="AA329" t="s">
        <v>3734</v>
      </c>
      <c r="AC329">
        <v>8041</v>
      </c>
      <c r="AE329">
        <v>8443</v>
      </c>
      <c r="AG329" t="s">
        <v>3735</v>
      </c>
      <c r="AI329">
        <v>6436</v>
      </c>
      <c r="AP329" t="s">
        <v>3736</v>
      </c>
      <c r="AR329">
        <v>13616</v>
      </c>
      <c r="AT329">
        <v>13956</v>
      </c>
      <c r="AV329" t="s">
        <v>3737</v>
      </c>
      <c r="AX329">
        <v>10415</v>
      </c>
      <c r="AZ329">
        <v>35494</v>
      </c>
      <c r="BB329" t="s">
        <v>3738</v>
      </c>
      <c r="BD329">
        <v>8384</v>
      </c>
      <c r="BF329">
        <v>8583</v>
      </c>
      <c r="BH329" t="s">
        <v>3739</v>
      </c>
      <c r="BJ329">
        <v>11244</v>
      </c>
    </row>
    <row r="330" spans="1:62">
      <c r="A330">
        <f t="shared" si="61"/>
        <v>8.191</v>
      </c>
      <c r="B330">
        <f t="shared" si="62"/>
        <v>13.69</v>
      </c>
      <c r="C330">
        <f t="shared" si="63"/>
        <v>8.488</v>
      </c>
      <c r="D330">
        <f t="shared" si="64"/>
        <v>8.698</v>
      </c>
      <c r="E330">
        <f t="shared" si="65"/>
        <v>14.098</v>
      </c>
      <c r="F330">
        <f t="shared" si="66"/>
        <v>8.781</v>
      </c>
      <c r="G330">
        <f t="shared" si="67"/>
        <v>6.532</v>
      </c>
      <c r="H330">
        <f t="shared" si="68"/>
        <v>10.559</v>
      </c>
      <c r="I330">
        <f t="shared" si="69"/>
        <v>11.688</v>
      </c>
      <c r="J330">
        <f t="shared" si="70"/>
        <v>0</v>
      </c>
      <c r="K330">
        <f t="shared" si="71"/>
        <v>0</v>
      </c>
      <c r="L330">
        <f t="shared" si="72"/>
        <v>0</v>
      </c>
      <c r="N330">
        <v>8191</v>
      </c>
      <c r="O330">
        <v>13690</v>
      </c>
      <c r="P330">
        <v>8488</v>
      </c>
      <c r="Q330">
        <v>8698</v>
      </c>
      <c r="R330">
        <v>14098</v>
      </c>
      <c r="S330">
        <v>8781</v>
      </c>
      <c r="T330">
        <v>6532</v>
      </c>
      <c r="U330">
        <v>10559</v>
      </c>
      <c r="V330">
        <v>11688</v>
      </c>
      <c r="AA330" t="s">
        <v>3740</v>
      </c>
      <c r="AC330">
        <v>8066</v>
      </c>
      <c r="AE330">
        <v>8544</v>
      </c>
      <c r="AG330" t="s">
        <v>3741</v>
      </c>
      <c r="AI330">
        <v>6448</v>
      </c>
      <c r="AP330" t="s">
        <v>3742</v>
      </c>
      <c r="AR330">
        <v>13623</v>
      </c>
      <c r="AT330">
        <v>13960</v>
      </c>
      <c r="AV330" t="s">
        <v>3743</v>
      </c>
      <c r="AX330">
        <v>10431</v>
      </c>
      <c r="AZ330">
        <v>38623</v>
      </c>
      <c r="BB330" t="s">
        <v>3744</v>
      </c>
      <c r="BD330">
        <v>8402</v>
      </c>
      <c r="BF330">
        <v>8584</v>
      </c>
      <c r="BH330" t="s">
        <v>3745</v>
      </c>
      <c r="BJ330">
        <v>11270</v>
      </c>
    </row>
    <row r="331" spans="1:62">
      <c r="A331">
        <f t="shared" si="61"/>
        <v>8.211</v>
      </c>
      <c r="B331">
        <f t="shared" si="62"/>
        <v>13.692</v>
      </c>
      <c r="C331">
        <f t="shared" si="63"/>
        <v>8.529</v>
      </c>
      <c r="D331">
        <f t="shared" si="64"/>
        <v>8.705</v>
      </c>
      <c r="E331">
        <f t="shared" si="65"/>
        <v>14.099</v>
      </c>
      <c r="F331">
        <f t="shared" si="66"/>
        <v>8.792</v>
      </c>
      <c r="G331">
        <f t="shared" si="67"/>
        <v>6.534</v>
      </c>
      <c r="H331">
        <f t="shared" si="68"/>
        <v>10.599</v>
      </c>
      <c r="I331">
        <f t="shared" si="69"/>
        <v>11.716</v>
      </c>
      <c r="J331">
        <f t="shared" si="70"/>
        <v>0</v>
      </c>
      <c r="K331">
        <f t="shared" si="71"/>
        <v>0</v>
      </c>
      <c r="L331">
        <f t="shared" si="72"/>
        <v>0</v>
      </c>
      <c r="N331">
        <v>8211</v>
      </c>
      <c r="O331">
        <v>13692</v>
      </c>
      <c r="P331">
        <v>8529</v>
      </c>
      <c r="Q331">
        <v>8705</v>
      </c>
      <c r="R331">
        <v>14099</v>
      </c>
      <c r="S331">
        <v>8792</v>
      </c>
      <c r="T331">
        <v>6534</v>
      </c>
      <c r="U331">
        <v>10599</v>
      </c>
      <c r="V331">
        <v>11716</v>
      </c>
      <c r="AA331" t="s">
        <v>3746</v>
      </c>
      <c r="AC331">
        <v>8087</v>
      </c>
      <c r="AE331">
        <v>8546</v>
      </c>
      <c r="AG331" t="s">
        <v>3747</v>
      </c>
      <c r="AI331">
        <v>6453</v>
      </c>
      <c r="AP331" t="s">
        <v>3748</v>
      </c>
      <c r="AR331">
        <v>13632</v>
      </c>
      <c r="AT331">
        <v>14020</v>
      </c>
      <c r="AV331" t="s">
        <v>3749</v>
      </c>
      <c r="AX331">
        <v>10440</v>
      </c>
      <c r="AZ331">
        <v>43436</v>
      </c>
      <c r="BB331" t="s">
        <v>3750</v>
      </c>
      <c r="BD331">
        <v>8404</v>
      </c>
      <c r="BF331">
        <v>8592</v>
      </c>
      <c r="BH331" t="s">
        <v>3751</v>
      </c>
      <c r="BJ331">
        <v>11311</v>
      </c>
    </row>
    <row r="332" spans="1:62">
      <c r="A332">
        <f t="shared" si="61"/>
        <v>8.213</v>
      </c>
      <c r="B332">
        <f t="shared" si="62"/>
        <v>13.695</v>
      </c>
      <c r="C332">
        <f t="shared" si="63"/>
        <v>8.531</v>
      </c>
      <c r="D332">
        <f t="shared" si="64"/>
        <v>8.755</v>
      </c>
      <c r="E332">
        <f t="shared" si="65"/>
        <v>14.11</v>
      </c>
      <c r="F332">
        <f t="shared" si="66"/>
        <v>8.815</v>
      </c>
      <c r="G332">
        <f t="shared" si="67"/>
        <v>6.551</v>
      </c>
      <c r="H332">
        <f t="shared" si="68"/>
        <v>10.646</v>
      </c>
      <c r="I332">
        <f t="shared" si="69"/>
        <v>11.866</v>
      </c>
      <c r="J332">
        <f t="shared" si="70"/>
        <v>0</v>
      </c>
      <c r="K332">
        <f t="shared" si="71"/>
        <v>0</v>
      </c>
      <c r="L332">
        <f t="shared" si="72"/>
        <v>0</v>
      </c>
      <c r="N332">
        <v>8213</v>
      </c>
      <c r="O332">
        <v>13695</v>
      </c>
      <c r="P332">
        <v>8531</v>
      </c>
      <c r="Q332">
        <v>8755</v>
      </c>
      <c r="R332">
        <v>14110</v>
      </c>
      <c r="S332">
        <v>8815</v>
      </c>
      <c r="T332">
        <v>6551</v>
      </c>
      <c r="U332">
        <v>10646</v>
      </c>
      <c r="V332">
        <v>11866</v>
      </c>
      <c r="AA332" t="s">
        <v>3752</v>
      </c>
      <c r="AC332">
        <v>8103</v>
      </c>
      <c r="AE332">
        <v>8548</v>
      </c>
      <c r="AG332" t="s">
        <v>3753</v>
      </c>
      <c r="AI332">
        <v>6453</v>
      </c>
      <c r="AP332" t="s">
        <v>3754</v>
      </c>
      <c r="AR332">
        <v>13645</v>
      </c>
      <c r="AT332">
        <v>14038</v>
      </c>
      <c r="AV332" t="s">
        <v>3755</v>
      </c>
      <c r="AX332">
        <v>10445</v>
      </c>
      <c r="AZ332">
        <v>51602</v>
      </c>
      <c r="BB332" t="s">
        <v>3756</v>
      </c>
      <c r="BD332">
        <v>8421</v>
      </c>
      <c r="BF332">
        <v>8616</v>
      </c>
      <c r="BH332" t="s">
        <v>3757</v>
      </c>
      <c r="BJ332">
        <v>11471</v>
      </c>
    </row>
    <row r="333" spans="1:62">
      <c r="A333">
        <f t="shared" si="61"/>
        <v>8.226</v>
      </c>
      <c r="B333">
        <f t="shared" si="62"/>
        <v>13.715</v>
      </c>
      <c r="C333">
        <f t="shared" si="63"/>
        <v>8.538</v>
      </c>
      <c r="D333">
        <f t="shared" si="64"/>
        <v>8.757</v>
      </c>
      <c r="E333">
        <f t="shared" si="65"/>
        <v>14.124</v>
      </c>
      <c r="F333">
        <f t="shared" si="66"/>
        <v>8.823</v>
      </c>
      <c r="G333">
        <f t="shared" si="67"/>
        <v>6.566</v>
      </c>
      <c r="H333">
        <f t="shared" si="68"/>
        <v>10.649</v>
      </c>
      <c r="I333">
        <f t="shared" si="69"/>
        <v>11.902</v>
      </c>
      <c r="J333">
        <f t="shared" si="70"/>
        <v>0</v>
      </c>
      <c r="K333">
        <f t="shared" si="71"/>
        <v>0</v>
      </c>
      <c r="L333">
        <f t="shared" si="72"/>
        <v>0</v>
      </c>
      <c r="N333">
        <v>8226</v>
      </c>
      <c r="O333">
        <v>13715</v>
      </c>
      <c r="P333">
        <v>8538</v>
      </c>
      <c r="Q333">
        <v>8757</v>
      </c>
      <c r="R333">
        <v>14124</v>
      </c>
      <c r="S333">
        <v>8823</v>
      </c>
      <c r="T333">
        <v>6566</v>
      </c>
      <c r="U333">
        <v>10649</v>
      </c>
      <c r="V333">
        <v>11902</v>
      </c>
      <c r="AA333" t="s">
        <v>3758</v>
      </c>
      <c r="AC333">
        <v>8107</v>
      </c>
      <c r="AE333">
        <v>8559</v>
      </c>
      <c r="AG333" t="s">
        <v>3759</v>
      </c>
      <c r="AI333">
        <v>6458</v>
      </c>
      <c r="AP333" t="s">
        <v>3760</v>
      </c>
      <c r="AR333">
        <v>13647</v>
      </c>
      <c r="AT333">
        <v>14042</v>
      </c>
      <c r="AV333" t="s">
        <v>3761</v>
      </c>
      <c r="AX333">
        <v>10458</v>
      </c>
      <c r="BB333" t="s">
        <v>3762</v>
      </c>
      <c r="BD333">
        <v>8424</v>
      </c>
      <c r="BF333">
        <v>8617</v>
      </c>
      <c r="BH333" t="s">
        <v>3763</v>
      </c>
      <c r="BJ333">
        <v>11497</v>
      </c>
    </row>
    <row r="334" spans="1:62">
      <c r="A334">
        <f t="shared" si="61"/>
        <v>8.231</v>
      </c>
      <c r="B334">
        <f t="shared" si="62"/>
        <v>13.74</v>
      </c>
      <c r="C334">
        <f t="shared" si="63"/>
        <v>8.55</v>
      </c>
      <c r="D334">
        <f t="shared" si="64"/>
        <v>8.789</v>
      </c>
      <c r="E334">
        <f t="shared" si="65"/>
        <v>14.13</v>
      </c>
      <c r="F334">
        <f t="shared" si="66"/>
        <v>8.83</v>
      </c>
      <c r="G334">
        <f t="shared" si="67"/>
        <v>6.566</v>
      </c>
      <c r="H334">
        <f t="shared" si="68"/>
        <v>10.662</v>
      </c>
      <c r="I334">
        <f t="shared" si="69"/>
        <v>11.928</v>
      </c>
      <c r="J334">
        <f t="shared" si="70"/>
        <v>0</v>
      </c>
      <c r="K334">
        <f t="shared" si="71"/>
        <v>0</v>
      </c>
      <c r="L334">
        <f t="shared" si="72"/>
        <v>0</v>
      </c>
      <c r="N334">
        <v>8231</v>
      </c>
      <c r="O334">
        <v>13740</v>
      </c>
      <c r="P334">
        <v>8550</v>
      </c>
      <c r="Q334">
        <v>8789</v>
      </c>
      <c r="R334">
        <v>14130</v>
      </c>
      <c r="S334">
        <v>8830</v>
      </c>
      <c r="T334">
        <v>6566</v>
      </c>
      <c r="U334">
        <v>10662</v>
      </c>
      <c r="V334">
        <v>11928</v>
      </c>
      <c r="AA334" t="s">
        <v>3764</v>
      </c>
      <c r="AC334">
        <v>8119</v>
      </c>
      <c r="AE334">
        <v>8567</v>
      </c>
      <c r="AG334" t="s">
        <v>3765</v>
      </c>
      <c r="AI334">
        <v>6468</v>
      </c>
      <c r="AP334" t="s">
        <v>3766</v>
      </c>
      <c r="AR334">
        <v>13650</v>
      </c>
      <c r="AT334">
        <v>14071</v>
      </c>
      <c r="AV334" t="s">
        <v>3767</v>
      </c>
      <c r="AX334">
        <v>10482</v>
      </c>
      <c r="BB334" t="s">
        <v>3768</v>
      </c>
      <c r="BD334">
        <v>8454</v>
      </c>
      <c r="BF334">
        <v>8627</v>
      </c>
      <c r="BH334" t="s">
        <v>3769</v>
      </c>
      <c r="BJ334">
        <v>11497</v>
      </c>
    </row>
    <row r="335" spans="1:62">
      <c r="A335">
        <f t="shared" si="61"/>
        <v>8.239</v>
      </c>
      <c r="B335">
        <f t="shared" si="62"/>
        <v>13.755</v>
      </c>
      <c r="C335">
        <f t="shared" si="63"/>
        <v>8.57</v>
      </c>
      <c r="D335">
        <f t="shared" si="64"/>
        <v>8.825</v>
      </c>
      <c r="E335">
        <f t="shared" si="65"/>
        <v>14.142</v>
      </c>
      <c r="F335">
        <f t="shared" si="66"/>
        <v>8.849</v>
      </c>
      <c r="G335">
        <f t="shared" si="67"/>
        <v>6.57</v>
      </c>
      <c r="H335">
        <f t="shared" si="68"/>
        <v>10.668</v>
      </c>
      <c r="I335">
        <f t="shared" si="69"/>
        <v>12.142</v>
      </c>
      <c r="J335">
        <f t="shared" si="70"/>
        <v>0</v>
      </c>
      <c r="K335">
        <f t="shared" si="71"/>
        <v>0</v>
      </c>
      <c r="L335">
        <f t="shared" si="72"/>
        <v>0</v>
      </c>
      <c r="N335">
        <v>8239</v>
      </c>
      <c r="O335">
        <v>13755</v>
      </c>
      <c r="P335">
        <v>8570</v>
      </c>
      <c r="Q335">
        <v>8825</v>
      </c>
      <c r="R335">
        <v>14142</v>
      </c>
      <c r="S335">
        <v>8849</v>
      </c>
      <c r="T335">
        <v>6570</v>
      </c>
      <c r="U335">
        <v>10668</v>
      </c>
      <c r="V335">
        <v>12142</v>
      </c>
      <c r="AA335" t="s">
        <v>3770</v>
      </c>
      <c r="AC335">
        <v>8134</v>
      </c>
      <c r="AE335">
        <v>8630</v>
      </c>
      <c r="AG335" t="s">
        <v>3771</v>
      </c>
      <c r="AI335">
        <v>6468</v>
      </c>
      <c r="AP335" t="s">
        <v>3772</v>
      </c>
      <c r="AR335">
        <v>13652</v>
      </c>
      <c r="AT335">
        <v>14073</v>
      </c>
      <c r="AV335" t="s">
        <v>3773</v>
      </c>
      <c r="AX335">
        <v>10502</v>
      </c>
      <c r="BB335" t="s">
        <v>3774</v>
      </c>
      <c r="BD335">
        <v>8457</v>
      </c>
      <c r="BF335">
        <v>8689</v>
      </c>
      <c r="BH335" t="s">
        <v>3775</v>
      </c>
      <c r="BJ335">
        <v>11505</v>
      </c>
    </row>
    <row r="336" spans="1:62">
      <c r="A336">
        <f t="shared" si="61"/>
        <v>8.254</v>
      </c>
      <c r="B336">
        <f t="shared" si="62"/>
        <v>13.757</v>
      </c>
      <c r="C336">
        <f t="shared" si="63"/>
        <v>8.58</v>
      </c>
      <c r="D336">
        <f t="shared" si="64"/>
        <v>8.826</v>
      </c>
      <c r="E336">
        <f t="shared" si="65"/>
        <v>14.142</v>
      </c>
      <c r="F336">
        <f t="shared" si="66"/>
        <v>8.863</v>
      </c>
      <c r="G336">
        <f t="shared" si="67"/>
        <v>6.587</v>
      </c>
      <c r="H336">
        <f t="shared" si="68"/>
        <v>10.671</v>
      </c>
      <c r="I336">
        <f t="shared" si="69"/>
        <v>12.23</v>
      </c>
      <c r="J336">
        <f t="shared" si="70"/>
        <v>0</v>
      </c>
      <c r="K336">
        <f t="shared" si="71"/>
        <v>0</v>
      </c>
      <c r="L336">
        <f t="shared" si="72"/>
        <v>0</v>
      </c>
      <c r="N336">
        <v>8254</v>
      </c>
      <c r="O336">
        <v>13757</v>
      </c>
      <c r="P336">
        <v>8580</v>
      </c>
      <c r="Q336">
        <v>8826</v>
      </c>
      <c r="R336">
        <v>14142</v>
      </c>
      <c r="S336">
        <v>8863</v>
      </c>
      <c r="T336">
        <v>6587</v>
      </c>
      <c r="U336">
        <v>10671</v>
      </c>
      <c r="V336">
        <v>12230</v>
      </c>
      <c r="AA336" t="s">
        <v>3776</v>
      </c>
      <c r="AC336">
        <v>8159</v>
      </c>
      <c r="AE336">
        <v>8637</v>
      </c>
      <c r="AG336" t="s">
        <v>3777</v>
      </c>
      <c r="AI336">
        <v>6480</v>
      </c>
      <c r="AP336" t="s">
        <v>3778</v>
      </c>
      <c r="AR336">
        <v>13662</v>
      </c>
      <c r="AT336">
        <v>14076</v>
      </c>
      <c r="AV336" t="s">
        <v>3779</v>
      </c>
      <c r="AX336">
        <v>10522</v>
      </c>
      <c r="BB336" t="s">
        <v>3780</v>
      </c>
      <c r="BD336">
        <v>8470</v>
      </c>
      <c r="BF336">
        <v>8704</v>
      </c>
      <c r="BH336" t="s">
        <v>3781</v>
      </c>
      <c r="BJ336">
        <v>11511</v>
      </c>
    </row>
    <row r="337" spans="1:62">
      <c r="A337">
        <f t="shared" si="61"/>
        <v>8.255</v>
      </c>
      <c r="B337">
        <f t="shared" si="62"/>
        <v>13.775</v>
      </c>
      <c r="C337">
        <f t="shared" si="63"/>
        <v>8.583</v>
      </c>
      <c r="D337">
        <f t="shared" si="64"/>
        <v>8.835</v>
      </c>
      <c r="E337">
        <f t="shared" si="65"/>
        <v>14.146</v>
      </c>
      <c r="F337">
        <f t="shared" si="66"/>
        <v>8.869</v>
      </c>
      <c r="G337">
        <f t="shared" si="67"/>
        <v>6.604</v>
      </c>
      <c r="H337">
        <f t="shared" si="68"/>
        <v>10.716</v>
      </c>
      <c r="I337">
        <f t="shared" si="69"/>
        <v>12.284</v>
      </c>
      <c r="J337">
        <f t="shared" si="70"/>
        <v>0</v>
      </c>
      <c r="K337">
        <f t="shared" si="71"/>
        <v>0</v>
      </c>
      <c r="L337">
        <f t="shared" si="72"/>
        <v>0</v>
      </c>
      <c r="N337">
        <v>8255</v>
      </c>
      <c r="O337">
        <v>13775</v>
      </c>
      <c r="P337">
        <v>8583</v>
      </c>
      <c r="Q337">
        <v>8835</v>
      </c>
      <c r="R337">
        <v>14146</v>
      </c>
      <c r="S337">
        <v>8869</v>
      </c>
      <c r="T337">
        <v>6604</v>
      </c>
      <c r="U337">
        <v>10716</v>
      </c>
      <c r="V337">
        <v>12284</v>
      </c>
      <c r="AA337" t="s">
        <v>3782</v>
      </c>
      <c r="AC337">
        <v>8171</v>
      </c>
      <c r="AE337">
        <v>8655</v>
      </c>
      <c r="AG337" t="s">
        <v>3783</v>
      </c>
      <c r="AI337">
        <v>6499</v>
      </c>
      <c r="AP337" t="s">
        <v>3784</v>
      </c>
      <c r="AR337">
        <v>13690</v>
      </c>
      <c r="AT337">
        <v>14098</v>
      </c>
      <c r="AV337" t="s">
        <v>3785</v>
      </c>
      <c r="AX337">
        <v>10559</v>
      </c>
      <c r="BB337" t="s">
        <v>3786</v>
      </c>
      <c r="BD337">
        <v>8476</v>
      </c>
      <c r="BF337">
        <v>8705</v>
      </c>
      <c r="BH337" t="s">
        <v>3787</v>
      </c>
      <c r="BJ337">
        <v>11672</v>
      </c>
    </row>
    <row r="338" spans="1:62">
      <c r="A338">
        <f t="shared" si="61"/>
        <v>8.278</v>
      </c>
      <c r="B338">
        <f t="shared" si="62"/>
        <v>13.793</v>
      </c>
      <c r="C338">
        <f t="shared" si="63"/>
        <v>8.584</v>
      </c>
      <c r="D338">
        <f t="shared" si="64"/>
        <v>8.889</v>
      </c>
      <c r="E338">
        <f t="shared" si="65"/>
        <v>14.174</v>
      </c>
      <c r="F338">
        <f t="shared" si="66"/>
        <v>8.894</v>
      </c>
      <c r="G338">
        <f t="shared" si="67"/>
        <v>6.622</v>
      </c>
      <c r="H338">
        <f t="shared" si="68"/>
        <v>10.716</v>
      </c>
      <c r="I338">
        <f t="shared" si="69"/>
        <v>12.296</v>
      </c>
      <c r="J338">
        <f t="shared" si="70"/>
        <v>0</v>
      </c>
      <c r="K338">
        <f t="shared" si="71"/>
        <v>0</v>
      </c>
      <c r="L338">
        <f t="shared" si="72"/>
        <v>0</v>
      </c>
      <c r="N338">
        <v>8278</v>
      </c>
      <c r="O338">
        <v>13793</v>
      </c>
      <c r="P338">
        <v>8584</v>
      </c>
      <c r="Q338">
        <v>8889</v>
      </c>
      <c r="R338">
        <v>14174</v>
      </c>
      <c r="S338">
        <v>8894</v>
      </c>
      <c r="T338">
        <v>6622</v>
      </c>
      <c r="U338">
        <v>10716</v>
      </c>
      <c r="V338">
        <v>12296</v>
      </c>
      <c r="AA338" t="s">
        <v>3788</v>
      </c>
      <c r="AC338">
        <v>8191</v>
      </c>
      <c r="AE338">
        <v>8698</v>
      </c>
      <c r="AG338" t="s">
        <v>3789</v>
      </c>
      <c r="AI338">
        <v>6532</v>
      </c>
      <c r="AP338" t="s">
        <v>3790</v>
      </c>
      <c r="AR338">
        <v>13692</v>
      </c>
      <c r="AT338">
        <v>14099</v>
      </c>
      <c r="AV338" t="s">
        <v>3791</v>
      </c>
      <c r="AX338">
        <v>10599</v>
      </c>
      <c r="BB338" t="s">
        <v>3792</v>
      </c>
      <c r="BD338">
        <v>8488</v>
      </c>
      <c r="BF338">
        <v>8781</v>
      </c>
      <c r="BH338" t="s">
        <v>3793</v>
      </c>
      <c r="BJ338">
        <v>11688</v>
      </c>
    </row>
    <row r="339" spans="1:62">
      <c r="A339">
        <f t="shared" si="61"/>
        <v>8.289</v>
      </c>
      <c r="B339">
        <f t="shared" si="62"/>
        <v>13.799</v>
      </c>
      <c r="C339">
        <f t="shared" si="63"/>
        <v>8.592</v>
      </c>
      <c r="D339">
        <f t="shared" si="64"/>
        <v>8.932</v>
      </c>
      <c r="E339">
        <f t="shared" si="65"/>
        <v>14.18</v>
      </c>
      <c r="F339">
        <f t="shared" si="66"/>
        <v>8.968</v>
      </c>
      <c r="G339">
        <f t="shared" si="67"/>
        <v>6.629</v>
      </c>
      <c r="H339">
        <f t="shared" si="68"/>
        <v>10.746</v>
      </c>
      <c r="I339">
        <f t="shared" si="69"/>
        <v>12.542</v>
      </c>
      <c r="J339">
        <f t="shared" si="70"/>
        <v>0</v>
      </c>
      <c r="K339">
        <f t="shared" si="71"/>
        <v>0</v>
      </c>
      <c r="L339">
        <f t="shared" si="72"/>
        <v>0</v>
      </c>
      <c r="N339">
        <v>8289</v>
      </c>
      <c r="O339">
        <v>13799</v>
      </c>
      <c r="P339">
        <v>8592</v>
      </c>
      <c r="Q339">
        <v>8932</v>
      </c>
      <c r="R339">
        <v>14180</v>
      </c>
      <c r="S339">
        <v>8968</v>
      </c>
      <c r="T339">
        <v>6629</v>
      </c>
      <c r="U339">
        <v>10746</v>
      </c>
      <c r="V339">
        <v>12542</v>
      </c>
      <c r="AA339" t="s">
        <v>3794</v>
      </c>
      <c r="AC339">
        <v>8211</v>
      </c>
      <c r="AE339">
        <v>8705</v>
      </c>
      <c r="AG339" t="s">
        <v>3795</v>
      </c>
      <c r="AI339">
        <v>6534</v>
      </c>
      <c r="AP339" t="s">
        <v>3796</v>
      </c>
      <c r="AR339">
        <v>13695</v>
      </c>
      <c r="AT339">
        <v>14110</v>
      </c>
      <c r="AV339" t="s">
        <v>3797</v>
      </c>
      <c r="AX339">
        <v>10646</v>
      </c>
      <c r="BB339" t="s">
        <v>3798</v>
      </c>
      <c r="BD339">
        <v>8529</v>
      </c>
      <c r="BF339">
        <v>8792</v>
      </c>
      <c r="BH339" t="s">
        <v>3799</v>
      </c>
      <c r="BJ339">
        <v>11716</v>
      </c>
    </row>
    <row r="340" spans="1:62">
      <c r="A340">
        <f t="shared" si="61"/>
        <v>8.314</v>
      </c>
      <c r="B340">
        <f t="shared" si="62"/>
        <v>13.827</v>
      </c>
      <c r="C340">
        <f t="shared" si="63"/>
        <v>8.616</v>
      </c>
      <c r="D340">
        <f t="shared" si="64"/>
        <v>8.961</v>
      </c>
      <c r="E340">
        <f t="shared" si="65"/>
        <v>14.185</v>
      </c>
      <c r="F340">
        <f t="shared" si="66"/>
        <v>8.979</v>
      </c>
      <c r="G340">
        <f t="shared" si="67"/>
        <v>6.632</v>
      </c>
      <c r="H340">
        <f t="shared" si="68"/>
        <v>10.751</v>
      </c>
      <c r="I340">
        <f t="shared" si="69"/>
        <v>12.57</v>
      </c>
      <c r="J340">
        <f t="shared" si="70"/>
        <v>0</v>
      </c>
      <c r="K340">
        <f t="shared" si="71"/>
        <v>0</v>
      </c>
      <c r="L340">
        <f t="shared" si="72"/>
        <v>0</v>
      </c>
      <c r="N340">
        <v>8314</v>
      </c>
      <c r="O340">
        <v>13827</v>
      </c>
      <c r="P340">
        <v>8616</v>
      </c>
      <c r="Q340">
        <v>8961</v>
      </c>
      <c r="R340">
        <v>14185</v>
      </c>
      <c r="S340">
        <v>8979</v>
      </c>
      <c r="T340">
        <v>6632</v>
      </c>
      <c r="U340">
        <v>10751</v>
      </c>
      <c r="V340">
        <v>12570</v>
      </c>
      <c r="AA340" t="s">
        <v>3800</v>
      </c>
      <c r="AC340">
        <v>8213</v>
      </c>
      <c r="AE340">
        <v>8755</v>
      </c>
      <c r="AG340" t="s">
        <v>3801</v>
      </c>
      <c r="AI340">
        <v>6551</v>
      </c>
      <c r="AP340" t="s">
        <v>3802</v>
      </c>
      <c r="AR340">
        <v>13715</v>
      </c>
      <c r="AT340">
        <v>14124</v>
      </c>
      <c r="AV340" t="s">
        <v>3803</v>
      </c>
      <c r="AX340">
        <v>10649</v>
      </c>
      <c r="BB340" t="s">
        <v>3804</v>
      </c>
      <c r="BD340">
        <v>8531</v>
      </c>
      <c r="BF340">
        <v>8815</v>
      </c>
      <c r="BH340" t="s">
        <v>3805</v>
      </c>
      <c r="BJ340">
        <v>11866</v>
      </c>
    </row>
    <row r="341" spans="1:62">
      <c r="A341">
        <f t="shared" si="61"/>
        <v>8.336</v>
      </c>
      <c r="B341">
        <f t="shared" si="62"/>
        <v>13.837</v>
      </c>
      <c r="C341">
        <f t="shared" si="63"/>
        <v>8.617</v>
      </c>
      <c r="D341">
        <f t="shared" si="64"/>
        <v>8.973</v>
      </c>
      <c r="E341">
        <f t="shared" si="65"/>
        <v>14.185</v>
      </c>
      <c r="F341">
        <f t="shared" si="66"/>
        <v>8.995</v>
      </c>
      <c r="G341">
        <f t="shared" si="67"/>
        <v>6.638</v>
      </c>
      <c r="H341">
        <f t="shared" si="68"/>
        <v>10.756</v>
      </c>
      <c r="I341">
        <f t="shared" si="69"/>
        <v>12.581</v>
      </c>
      <c r="J341">
        <f t="shared" si="70"/>
        <v>0</v>
      </c>
      <c r="K341">
        <f t="shared" si="71"/>
        <v>0</v>
      </c>
      <c r="L341">
        <f t="shared" si="72"/>
        <v>0</v>
      </c>
      <c r="N341">
        <v>8336</v>
      </c>
      <c r="O341">
        <v>13837</v>
      </c>
      <c r="P341">
        <v>8617</v>
      </c>
      <c r="Q341">
        <v>8973</v>
      </c>
      <c r="R341">
        <v>14185</v>
      </c>
      <c r="S341">
        <v>8995</v>
      </c>
      <c r="T341">
        <v>6638</v>
      </c>
      <c r="U341">
        <v>10756</v>
      </c>
      <c r="V341">
        <v>12581</v>
      </c>
      <c r="AA341" t="s">
        <v>3806</v>
      </c>
      <c r="AC341">
        <v>8226</v>
      </c>
      <c r="AE341">
        <v>8757</v>
      </c>
      <c r="AG341" t="s">
        <v>3807</v>
      </c>
      <c r="AI341">
        <v>6566</v>
      </c>
      <c r="AP341" t="s">
        <v>3808</v>
      </c>
      <c r="AR341">
        <v>13740</v>
      </c>
      <c r="AT341">
        <v>14130</v>
      </c>
      <c r="AV341" t="s">
        <v>3809</v>
      </c>
      <c r="AX341">
        <v>10662</v>
      </c>
      <c r="BB341" t="s">
        <v>3810</v>
      </c>
      <c r="BD341">
        <v>8538</v>
      </c>
      <c r="BF341">
        <v>8823</v>
      </c>
      <c r="BH341" t="s">
        <v>3811</v>
      </c>
      <c r="BJ341">
        <v>11902</v>
      </c>
    </row>
    <row r="342" spans="1:62">
      <c r="A342">
        <f t="shared" si="61"/>
        <v>8.358</v>
      </c>
      <c r="B342">
        <f t="shared" si="62"/>
        <v>13.866</v>
      </c>
      <c r="C342">
        <f t="shared" si="63"/>
        <v>8.627</v>
      </c>
      <c r="D342">
        <f t="shared" si="64"/>
        <v>8.993</v>
      </c>
      <c r="E342">
        <f t="shared" si="65"/>
        <v>14.192</v>
      </c>
      <c r="F342">
        <f t="shared" si="66"/>
        <v>9.116</v>
      </c>
      <c r="G342">
        <f t="shared" si="67"/>
        <v>6.638</v>
      </c>
      <c r="H342">
        <f t="shared" si="68"/>
        <v>10.782</v>
      </c>
      <c r="I342">
        <f t="shared" si="69"/>
        <v>12.7</v>
      </c>
      <c r="J342">
        <f t="shared" si="70"/>
        <v>0</v>
      </c>
      <c r="K342">
        <f t="shared" si="71"/>
        <v>0</v>
      </c>
      <c r="L342">
        <f t="shared" si="72"/>
        <v>0</v>
      </c>
      <c r="N342">
        <v>8358</v>
      </c>
      <c r="O342">
        <v>13866</v>
      </c>
      <c r="P342">
        <v>8627</v>
      </c>
      <c r="Q342">
        <v>8993</v>
      </c>
      <c r="R342">
        <v>14192</v>
      </c>
      <c r="S342">
        <v>9116</v>
      </c>
      <c r="T342">
        <v>6638</v>
      </c>
      <c r="U342">
        <v>10782</v>
      </c>
      <c r="V342">
        <v>12700</v>
      </c>
      <c r="AA342" t="s">
        <v>3812</v>
      </c>
      <c r="AC342">
        <v>8231</v>
      </c>
      <c r="AE342">
        <v>8789</v>
      </c>
      <c r="AG342" t="s">
        <v>3813</v>
      </c>
      <c r="AI342">
        <v>6566</v>
      </c>
      <c r="AP342" t="s">
        <v>3814</v>
      </c>
      <c r="AR342">
        <v>13755</v>
      </c>
      <c r="AT342">
        <v>14142</v>
      </c>
      <c r="AV342" t="s">
        <v>3815</v>
      </c>
      <c r="AX342">
        <v>10668</v>
      </c>
      <c r="BB342" t="s">
        <v>3816</v>
      </c>
      <c r="BD342">
        <v>8550</v>
      </c>
      <c r="BF342">
        <v>8830</v>
      </c>
      <c r="BH342" t="s">
        <v>3817</v>
      </c>
      <c r="BJ342">
        <v>11928</v>
      </c>
    </row>
    <row r="343" spans="1:62">
      <c r="A343">
        <f t="shared" si="61"/>
        <v>8.365</v>
      </c>
      <c r="B343">
        <f t="shared" si="62"/>
        <v>13.869</v>
      </c>
      <c r="C343">
        <f t="shared" si="63"/>
        <v>8.677</v>
      </c>
      <c r="D343">
        <f t="shared" si="64"/>
        <v>9.003</v>
      </c>
      <c r="E343">
        <f t="shared" si="65"/>
        <v>14.192</v>
      </c>
      <c r="F343">
        <f t="shared" si="66"/>
        <v>9.139</v>
      </c>
      <c r="G343">
        <f t="shared" si="67"/>
        <v>6.643</v>
      </c>
      <c r="H343">
        <f t="shared" si="68"/>
        <v>10.791</v>
      </c>
      <c r="I343">
        <f t="shared" si="69"/>
        <v>12.722</v>
      </c>
      <c r="J343">
        <f t="shared" si="70"/>
        <v>0</v>
      </c>
      <c r="K343">
        <f t="shared" si="71"/>
        <v>0</v>
      </c>
      <c r="L343">
        <f t="shared" si="72"/>
        <v>0</v>
      </c>
      <c r="N343">
        <v>8365</v>
      </c>
      <c r="O343">
        <v>13869</v>
      </c>
      <c r="P343">
        <v>8677</v>
      </c>
      <c r="Q343">
        <v>9003</v>
      </c>
      <c r="R343">
        <v>14192</v>
      </c>
      <c r="S343">
        <v>9139</v>
      </c>
      <c r="T343">
        <v>6643</v>
      </c>
      <c r="U343">
        <v>10791</v>
      </c>
      <c r="V343">
        <v>12722</v>
      </c>
      <c r="AA343" t="s">
        <v>3818</v>
      </c>
      <c r="AC343">
        <v>8239</v>
      </c>
      <c r="AE343">
        <v>8825</v>
      </c>
      <c r="AG343" t="s">
        <v>3819</v>
      </c>
      <c r="AI343">
        <v>6570</v>
      </c>
      <c r="AP343" t="s">
        <v>3820</v>
      </c>
      <c r="AR343">
        <v>13757</v>
      </c>
      <c r="AT343">
        <v>14142</v>
      </c>
      <c r="AV343" t="s">
        <v>3821</v>
      </c>
      <c r="AX343">
        <v>10671</v>
      </c>
      <c r="BB343" t="s">
        <v>3822</v>
      </c>
      <c r="BD343">
        <v>8570</v>
      </c>
      <c r="BF343">
        <v>8849</v>
      </c>
      <c r="BH343" t="s">
        <v>3823</v>
      </c>
      <c r="BJ343">
        <v>12142</v>
      </c>
    </row>
    <row r="344" spans="1:62">
      <c r="A344">
        <f t="shared" si="61"/>
        <v>8.37</v>
      </c>
      <c r="B344">
        <f t="shared" si="62"/>
        <v>13.875</v>
      </c>
      <c r="C344">
        <f t="shared" si="63"/>
        <v>8.689</v>
      </c>
      <c r="D344">
        <f t="shared" si="64"/>
        <v>9.008</v>
      </c>
      <c r="E344">
        <f t="shared" si="65"/>
        <v>14.194</v>
      </c>
      <c r="F344">
        <f t="shared" si="66"/>
        <v>9.156</v>
      </c>
      <c r="G344">
        <f t="shared" si="67"/>
        <v>6.644</v>
      </c>
      <c r="H344">
        <f t="shared" si="68"/>
        <v>10.793</v>
      </c>
      <c r="I344">
        <f t="shared" si="69"/>
        <v>12.917</v>
      </c>
      <c r="J344">
        <f t="shared" si="70"/>
        <v>0</v>
      </c>
      <c r="K344">
        <f t="shared" si="71"/>
        <v>0</v>
      </c>
      <c r="L344">
        <f t="shared" si="72"/>
        <v>0</v>
      </c>
      <c r="N344">
        <v>8370</v>
      </c>
      <c r="O344">
        <v>13875</v>
      </c>
      <c r="P344">
        <v>8689</v>
      </c>
      <c r="Q344">
        <v>9008</v>
      </c>
      <c r="R344">
        <v>14194</v>
      </c>
      <c r="S344">
        <v>9156</v>
      </c>
      <c r="T344">
        <v>6644</v>
      </c>
      <c r="U344">
        <v>10793</v>
      </c>
      <c r="V344">
        <v>12917</v>
      </c>
      <c r="AA344" t="s">
        <v>3824</v>
      </c>
      <c r="AC344">
        <v>8254</v>
      </c>
      <c r="AE344">
        <v>8826</v>
      </c>
      <c r="AG344" t="s">
        <v>3825</v>
      </c>
      <c r="AI344">
        <v>6587</v>
      </c>
      <c r="AP344" t="s">
        <v>3826</v>
      </c>
      <c r="AR344">
        <v>13775</v>
      </c>
      <c r="AT344">
        <v>14146</v>
      </c>
      <c r="AV344" t="s">
        <v>3827</v>
      </c>
      <c r="AX344">
        <v>10716</v>
      </c>
      <c r="BB344" t="s">
        <v>3828</v>
      </c>
      <c r="BD344">
        <v>8580</v>
      </c>
      <c r="BF344">
        <v>8863</v>
      </c>
      <c r="BH344" t="s">
        <v>3829</v>
      </c>
      <c r="BJ344">
        <v>12230</v>
      </c>
    </row>
    <row r="345" spans="1:62">
      <c r="A345">
        <f t="shared" si="61"/>
        <v>8.393</v>
      </c>
      <c r="B345">
        <f t="shared" si="62"/>
        <v>13.917</v>
      </c>
      <c r="C345">
        <f t="shared" si="63"/>
        <v>8.704</v>
      </c>
      <c r="D345">
        <f t="shared" si="64"/>
        <v>9.024</v>
      </c>
      <c r="E345">
        <f t="shared" si="65"/>
        <v>14.194</v>
      </c>
      <c r="F345">
        <f t="shared" si="66"/>
        <v>9.161</v>
      </c>
      <c r="G345">
        <f t="shared" si="67"/>
        <v>6.658</v>
      </c>
      <c r="H345">
        <f t="shared" si="68"/>
        <v>10.795</v>
      </c>
      <c r="I345">
        <f t="shared" si="69"/>
        <v>13.057</v>
      </c>
      <c r="J345">
        <f t="shared" si="70"/>
        <v>0</v>
      </c>
      <c r="K345">
        <f t="shared" si="71"/>
        <v>0</v>
      </c>
      <c r="L345">
        <f t="shared" si="72"/>
        <v>0</v>
      </c>
      <c r="N345">
        <v>8393</v>
      </c>
      <c r="O345">
        <v>13917</v>
      </c>
      <c r="P345">
        <v>8704</v>
      </c>
      <c r="Q345">
        <v>9024</v>
      </c>
      <c r="R345">
        <v>14194</v>
      </c>
      <c r="S345">
        <v>9161</v>
      </c>
      <c r="T345">
        <v>6658</v>
      </c>
      <c r="U345">
        <v>10795</v>
      </c>
      <c r="V345">
        <v>13057</v>
      </c>
      <c r="AA345" t="s">
        <v>3830</v>
      </c>
      <c r="AC345">
        <v>8255</v>
      </c>
      <c r="AE345">
        <v>8835</v>
      </c>
      <c r="AG345" t="s">
        <v>3831</v>
      </c>
      <c r="AI345">
        <v>6604</v>
      </c>
      <c r="AP345" t="s">
        <v>3832</v>
      </c>
      <c r="AR345">
        <v>13793</v>
      </c>
      <c r="AT345">
        <v>14174</v>
      </c>
      <c r="AV345" t="s">
        <v>3833</v>
      </c>
      <c r="AX345">
        <v>10716</v>
      </c>
      <c r="BB345" t="s">
        <v>3834</v>
      </c>
      <c r="BD345">
        <v>8583</v>
      </c>
      <c r="BF345">
        <v>8869</v>
      </c>
      <c r="BH345" t="s">
        <v>3835</v>
      </c>
      <c r="BJ345">
        <v>12284</v>
      </c>
    </row>
    <row r="346" spans="1:62">
      <c r="A346">
        <f t="shared" si="61"/>
        <v>8.403</v>
      </c>
      <c r="B346">
        <f t="shared" si="62"/>
        <v>13.921</v>
      </c>
      <c r="C346">
        <f t="shared" si="63"/>
        <v>8.705</v>
      </c>
      <c r="D346">
        <f t="shared" si="64"/>
        <v>9.046</v>
      </c>
      <c r="E346">
        <f t="shared" si="65"/>
        <v>14.198</v>
      </c>
      <c r="F346">
        <f t="shared" si="66"/>
        <v>9.173</v>
      </c>
      <c r="G346">
        <f t="shared" si="67"/>
        <v>6.67</v>
      </c>
      <c r="H346">
        <f t="shared" si="68"/>
        <v>10.821</v>
      </c>
      <c r="I346">
        <f t="shared" si="69"/>
        <v>13.218</v>
      </c>
      <c r="J346">
        <f t="shared" si="70"/>
        <v>0</v>
      </c>
      <c r="K346">
        <f t="shared" si="71"/>
        <v>0</v>
      </c>
      <c r="L346">
        <f t="shared" si="72"/>
        <v>0</v>
      </c>
      <c r="N346">
        <v>8403</v>
      </c>
      <c r="O346">
        <v>13921</v>
      </c>
      <c r="P346">
        <v>8705</v>
      </c>
      <c r="Q346">
        <v>9046</v>
      </c>
      <c r="R346">
        <v>14198</v>
      </c>
      <c r="S346">
        <v>9173</v>
      </c>
      <c r="T346">
        <v>6670</v>
      </c>
      <c r="U346">
        <v>10821</v>
      </c>
      <c r="V346">
        <v>13218</v>
      </c>
      <c r="AA346" t="s">
        <v>3836</v>
      </c>
      <c r="AC346">
        <v>8278</v>
      </c>
      <c r="AE346">
        <v>8889</v>
      </c>
      <c r="AG346" t="s">
        <v>3837</v>
      </c>
      <c r="AI346">
        <v>6622</v>
      </c>
      <c r="AP346" t="s">
        <v>3838</v>
      </c>
      <c r="AR346">
        <v>13799</v>
      </c>
      <c r="AT346">
        <v>14180</v>
      </c>
      <c r="AV346" t="s">
        <v>3839</v>
      </c>
      <c r="AX346">
        <v>10746</v>
      </c>
      <c r="BB346" t="s">
        <v>3840</v>
      </c>
      <c r="BD346">
        <v>8584</v>
      </c>
      <c r="BF346">
        <v>8894</v>
      </c>
      <c r="BH346" t="s">
        <v>3841</v>
      </c>
      <c r="BJ346">
        <v>12296</v>
      </c>
    </row>
    <row r="347" spans="1:62">
      <c r="A347">
        <f t="shared" si="61"/>
        <v>8.406</v>
      </c>
      <c r="B347">
        <f t="shared" si="62"/>
        <v>13.939</v>
      </c>
      <c r="C347">
        <f t="shared" si="63"/>
        <v>8.776</v>
      </c>
      <c r="D347">
        <f t="shared" si="64"/>
        <v>9.071</v>
      </c>
      <c r="E347">
        <f t="shared" si="65"/>
        <v>14.229</v>
      </c>
      <c r="F347">
        <f t="shared" si="66"/>
        <v>9.193</v>
      </c>
      <c r="G347">
        <f t="shared" si="67"/>
        <v>6.681</v>
      </c>
      <c r="H347">
        <f t="shared" si="68"/>
        <v>10.827</v>
      </c>
      <c r="I347">
        <f t="shared" si="69"/>
        <v>13.522</v>
      </c>
      <c r="J347">
        <f t="shared" si="70"/>
        <v>0</v>
      </c>
      <c r="K347">
        <f t="shared" si="71"/>
        <v>0</v>
      </c>
      <c r="L347">
        <f t="shared" si="72"/>
        <v>0</v>
      </c>
      <c r="N347">
        <v>8406</v>
      </c>
      <c r="O347">
        <v>13939</v>
      </c>
      <c r="P347">
        <v>8776</v>
      </c>
      <c r="Q347">
        <v>9071</v>
      </c>
      <c r="R347">
        <v>14229</v>
      </c>
      <c r="S347">
        <v>9193</v>
      </c>
      <c r="T347">
        <v>6681</v>
      </c>
      <c r="U347">
        <v>10827</v>
      </c>
      <c r="V347">
        <v>13522</v>
      </c>
      <c r="AA347" t="s">
        <v>3842</v>
      </c>
      <c r="AC347">
        <v>8289</v>
      </c>
      <c r="AE347">
        <v>8932</v>
      </c>
      <c r="AG347" t="s">
        <v>3843</v>
      </c>
      <c r="AI347">
        <v>6629</v>
      </c>
      <c r="AP347" t="s">
        <v>3844</v>
      </c>
      <c r="AR347">
        <v>13827</v>
      </c>
      <c r="AT347">
        <v>14185</v>
      </c>
      <c r="AV347" t="s">
        <v>3845</v>
      </c>
      <c r="AX347">
        <v>10751</v>
      </c>
      <c r="BB347" t="s">
        <v>3846</v>
      </c>
      <c r="BD347">
        <v>8592</v>
      </c>
      <c r="BF347">
        <v>8968</v>
      </c>
      <c r="BH347" t="s">
        <v>3847</v>
      </c>
      <c r="BJ347">
        <v>12542</v>
      </c>
    </row>
    <row r="348" spans="1:62">
      <c r="A348">
        <f t="shared" si="61"/>
        <v>8.424</v>
      </c>
      <c r="B348">
        <f t="shared" si="62"/>
        <v>13.941</v>
      </c>
      <c r="C348">
        <f t="shared" si="63"/>
        <v>8.781</v>
      </c>
      <c r="D348">
        <f t="shared" si="64"/>
        <v>9.072</v>
      </c>
      <c r="E348">
        <f t="shared" si="65"/>
        <v>14.261</v>
      </c>
      <c r="F348">
        <f t="shared" si="66"/>
        <v>9.35</v>
      </c>
      <c r="G348">
        <f t="shared" si="67"/>
        <v>6.686</v>
      </c>
      <c r="H348">
        <f t="shared" si="68"/>
        <v>10.852</v>
      </c>
      <c r="I348">
        <f t="shared" si="69"/>
        <v>13.554</v>
      </c>
      <c r="J348">
        <f t="shared" si="70"/>
        <v>0</v>
      </c>
      <c r="K348">
        <f t="shared" si="71"/>
        <v>0</v>
      </c>
      <c r="L348">
        <f t="shared" si="72"/>
        <v>0</v>
      </c>
      <c r="N348">
        <v>8424</v>
      </c>
      <c r="O348">
        <v>13941</v>
      </c>
      <c r="P348">
        <v>8781</v>
      </c>
      <c r="Q348">
        <v>9072</v>
      </c>
      <c r="R348">
        <v>14261</v>
      </c>
      <c r="S348">
        <v>9350</v>
      </c>
      <c r="T348">
        <v>6686</v>
      </c>
      <c r="U348">
        <v>10852</v>
      </c>
      <c r="V348">
        <v>13554</v>
      </c>
      <c r="AA348" t="s">
        <v>3848</v>
      </c>
      <c r="AC348">
        <v>8314</v>
      </c>
      <c r="AE348">
        <v>8961</v>
      </c>
      <c r="AG348" t="s">
        <v>3849</v>
      </c>
      <c r="AI348">
        <v>6632</v>
      </c>
      <c r="AP348" t="s">
        <v>3850</v>
      </c>
      <c r="AR348">
        <v>13837</v>
      </c>
      <c r="AT348">
        <v>14185</v>
      </c>
      <c r="AV348" t="s">
        <v>3851</v>
      </c>
      <c r="AX348">
        <v>10756</v>
      </c>
      <c r="BB348" t="s">
        <v>3852</v>
      </c>
      <c r="BD348">
        <v>8616</v>
      </c>
      <c r="BF348">
        <v>8979</v>
      </c>
      <c r="BH348" t="s">
        <v>3853</v>
      </c>
      <c r="BJ348">
        <v>12570</v>
      </c>
    </row>
    <row r="349" spans="1:62">
      <c r="A349">
        <f t="shared" si="61"/>
        <v>8.438</v>
      </c>
      <c r="B349">
        <f t="shared" si="62"/>
        <v>13.955</v>
      </c>
      <c r="C349">
        <f t="shared" si="63"/>
        <v>8.792</v>
      </c>
      <c r="D349">
        <f t="shared" si="64"/>
        <v>9.104</v>
      </c>
      <c r="E349">
        <f t="shared" si="65"/>
        <v>14.285</v>
      </c>
      <c r="F349">
        <f t="shared" si="66"/>
        <v>9.363</v>
      </c>
      <c r="G349">
        <f t="shared" si="67"/>
        <v>6.69</v>
      </c>
      <c r="H349">
        <f t="shared" si="68"/>
        <v>10.852</v>
      </c>
      <c r="I349">
        <f t="shared" si="69"/>
        <v>13.92</v>
      </c>
      <c r="J349">
        <f t="shared" si="70"/>
        <v>0</v>
      </c>
      <c r="K349">
        <f t="shared" si="71"/>
        <v>0</v>
      </c>
      <c r="L349">
        <f t="shared" si="72"/>
        <v>0</v>
      </c>
      <c r="N349">
        <v>8438</v>
      </c>
      <c r="O349">
        <v>13955</v>
      </c>
      <c r="P349">
        <v>8792</v>
      </c>
      <c r="Q349">
        <v>9104</v>
      </c>
      <c r="R349">
        <v>14285</v>
      </c>
      <c r="S349">
        <v>9363</v>
      </c>
      <c r="T349">
        <v>6690</v>
      </c>
      <c r="U349">
        <v>10852</v>
      </c>
      <c r="V349">
        <v>13920</v>
      </c>
      <c r="AA349" t="s">
        <v>3854</v>
      </c>
      <c r="AC349">
        <v>8336</v>
      </c>
      <c r="AE349">
        <v>8973</v>
      </c>
      <c r="AG349" t="s">
        <v>3855</v>
      </c>
      <c r="AI349">
        <v>6638</v>
      </c>
      <c r="AP349" t="s">
        <v>3856</v>
      </c>
      <c r="AR349">
        <v>13866</v>
      </c>
      <c r="AT349">
        <v>14192</v>
      </c>
      <c r="AV349" t="s">
        <v>3857</v>
      </c>
      <c r="AX349">
        <v>10782</v>
      </c>
      <c r="BB349" t="s">
        <v>3858</v>
      </c>
      <c r="BD349">
        <v>8617</v>
      </c>
      <c r="BF349">
        <v>8995</v>
      </c>
      <c r="BH349" t="s">
        <v>3859</v>
      </c>
      <c r="BJ349">
        <v>12581</v>
      </c>
    </row>
    <row r="350" spans="1:62">
      <c r="A350">
        <f t="shared" si="61"/>
        <v>8.442</v>
      </c>
      <c r="B350">
        <f t="shared" si="62"/>
        <v>13.956</v>
      </c>
      <c r="C350">
        <f t="shared" si="63"/>
        <v>8.815</v>
      </c>
      <c r="D350">
        <f t="shared" si="64"/>
        <v>9.122</v>
      </c>
      <c r="E350">
        <f t="shared" si="65"/>
        <v>14.288</v>
      </c>
      <c r="F350">
        <f t="shared" si="66"/>
        <v>9.382</v>
      </c>
      <c r="G350">
        <f t="shared" si="67"/>
        <v>6.7</v>
      </c>
      <c r="H350">
        <f t="shared" si="68"/>
        <v>10.859</v>
      </c>
      <c r="I350">
        <f t="shared" si="69"/>
        <v>13.945</v>
      </c>
      <c r="J350">
        <f t="shared" si="70"/>
        <v>0</v>
      </c>
      <c r="K350">
        <f t="shared" si="71"/>
        <v>0</v>
      </c>
      <c r="L350">
        <f t="shared" si="72"/>
        <v>0</v>
      </c>
      <c r="N350">
        <v>8442</v>
      </c>
      <c r="O350">
        <v>13956</v>
      </c>
      <c r="P350">
        <v>8815</v>
      </c>
      <c r="Q350">
        <v>9122</v>
      </c>
      <c r="R350">
        <v>14288</v>
      </c>
      <c r="S350">
        <v>9382</v>
      </c>
      <c r="T350">
        <v>6700</v>
      </c>
      <c r="U350">
        <v>10859</v>
      </c>
      <c r="V350">
        <v>13945</v>
      </c>
      <c r="AA350" t="s">
        <v>3860</v>
      </c>
      <c r="AC350">
        <v>8358</v>
      </c>
      <c r="AE350">
        <v>8993</v>
      </c>
      <c r="AG350" t="s">
        <v>3861</v>
      </c>
      <c r="AI350">
        <v>6638</v>
      </c>
      <c r="AP350" t="s">
        <v>3862</v>
      </c>
      <c r="AR350">
        <v>13869</v>
      </c>
      <c r="AT350">
        <v>14192</v>
      </c>
      <c r="AV350" t="s">
        <v>3863</v>
      </c>
      <c r="AX350">
        <v>10791</v>
      </c>
      <c r="BB350" t="s">
        <v>3864</v>
      </c>
      <c r="BD350">
        <v>8627</v>
      </c>
      <c r="BF350">
        <v>9116</v>
      </c>
      <c r="BH350" t="s">
        <v>3865</v>
      </c>
      <c r="BJ350">
        <v>12700</v>
      </c>
    </row>
    <row r="351" spans="1:62">
      <c r="A351">
        <f t="shared" si="61"/>
        <v>8.443</v>
      </c>
      <c r="B351">
        <f t="shared" si="62"/>
        <v>13.96</v>
      </c>
      <c r="C351">
        <f t="shared" si="63"/>
        <v>8.823</v>
      </c>
      <c r="D351">
        <f t="shared" si="64"/>
        <v>9.156</v>
      </c>
      <c r="E351">
        <f t="shared" si="65"/>
        <v>14.297</v>
      </c>
      <c r="F351">
        <f t="shared" si="66"/>
        <v>9.417</v>
      </c>
      <c r="G351">
        <f t="shared" si="67"/>
        <v>6.718</v>
      </c>
      <c r="H351">
        <f t="shared" si="68"/>
        <v>10.859</v>
      </c>
      <c r="I351">
        <f t="shared" si="69"/>
        <v>14.069</v>
      </c>
      <c r="J351">
        <f t="shared" si="70"/>
        <v>0</v>
      </c>
      <c r="K351">
        <f t="shared" si="71"/>
        <v>0</v>
      </c>
      <c r="L351">
        <f t="shared" si="72"/>
        <v>0</v>
      </c>
      <c r="N351">
        <v>8443</v>
      </c>
      <c r="O351">
        <v>13960</v>
      </c>
      <c r="P351">
        <v>8823</v>
      </c>
      <c r="Q351">
        <v>9156</v>
      </c>
      <c r="R351">
        <v>14297</v>
      </c>
      <c r="S351">
        <v>9417</v>
      </c>
      <c r="T351">
        <v>6718</v>
      </c>
      <c r="U351">
        <v>10859</v>
      </c>
      <c r="V351">
        <v>14069</v>
      </c>
      <c r="AA351" t="s">
        <v>3866</v>
      </c>
      <c r="AC351">
        <v>8365</v>
      </c>
      <c r="AE351">
        <v>9003</v>
      </c>
      <c r="AG351" t="s">
        <v>3867</v>
      </c>
      <c r="AI351">
        <v>6643</v>
      </c>
      <c r="AP351" t="s">
        <v>3868</v>
      </c>
      <c r="AR351">
        <v>13875</v>
      </c>
      <c r="AT351">
        <v>14194</v>
      </c>
      <c r="AV351" t="s">
        <v>3869</v>
      </c>
      <c r="AX351">
        <v>10793</v>
      </c>
      <c r="BB351" t="s">
        <v>3870</v>
      </c>
      <c r="BD351">
        <v>8677</v>
      </c>
      <c r="BF351">
        <v>9139</v>
      </c>
      <c r="BH351" t="s">
        <v>3871</v>
      </c>
      <c r="BJ351">
        <v>12722</v>
      </c>
    </row>
    <row r="352" spans="1:62">
      <c r="A352">
        <f t="shared" si="61"/>
        <v>8.544</v>
      </c>
      <c r="B352">
        <f t="shared" si="62"/>
        <v>14.02</v>
      </c>
      <c r="C352">
        <f t="shared" si="63"/>
        <v>8.83</v>
      </c>
      <c r="D352">
        <f t="shared" si="64"/>
        <v>9.158</v>
      </c>
      <c r="E352">
        <f t="shared" si="65"/>
        <v>14.315</v>
      </c>
      <c r="F352">
        <f t="shared" si="66"/>
        <v>9.433</v>
      </c>
      <c r="G352">
        <f t="shared" si="67"/>
        <v>6.735</v>
      </c>
      <c r="H352">
        <f t="shared" si="68"/>
        <v>10.87</v>
      </c>
      <c r="I352">
        <f t="shared" si="69"/>
        <v>14.084</v>
      </c>
      <c r="J352">
        <f t="shared" si="70"/>
        <v>0</v>
      </c>
      <c r="K352">
        <f t="shared" si="71"/>
        <v>0</v>
      </c>
      <c r="L352">
        <f t="shared" si="72"/>
        <v>0</v>
      </c>
      <c r="N352">
        <v>8544</v>
      </c>
      <c r="O352">
        <v>14020</v>
      </c>
      <c r="P352">
        <v>8830</v>
      </c>
      <c r="Q352">
        <v>9158</v>
      </c>
      <c r="R352">
        <v>14315</v>
      </c>
      <c r="S352">
        <v>9433</v>
      </c>
      <c r="T352">
        <v>6735</v>
      </c>
      <c r="U352">
        <v>10870</v>
      </c>
      <c r="V352">
        <v>14084</v>
      </c>
      <c r="AA352" t="s">
        <v>3872</v>
      </c>
      <c r="AC352">
        <v>8370</v>
      </c>
      <c r="AE352">
        <v>9008</v>
      </c>
      <c r="AG352" t="s">
        <v>3873</v>
      </c>
      <c r="AI352">
        <v>6644</v>
      </c>
      <c r="AP352" t="s">
        <v>3874</v>
      </c>
      <c r="AR352">
        <v>13917</v>
      </c>
      <c r="AT352">
        <v>14194</v>
      </c>
      <c r="AV352" t="s">
        <v>3875</v>
      </c>
      <c r="AX352">
        <v>10795</v>
      </c>
      <c r="BB352" t="s">
        <v>3876</v>
      </c>
      <c r="BD352">
        <v>8689</v>
      </c>
      <c r="BF352">
        <v>9156</v>
      </c>
      <c r="BH352" t="s">
        <v>3877</v>
      </c>
      <c r="BJ352">
        <v>12917</v>
      </c>
    </row>
    <row r="353" spans="1:62">
      <c r="A353">
        <f t="shared" si="61"/>
        <v>8.546</v>
      </c>
      <c r="B353">
        <f t="shared" si="62"/>
        <v>14.038</v>
      </c>
      <c r="C353">
        <f t="shared" si="63"/>
        <v>8.847</v>
      </c>
      <c r="D353">
        <f t="shared" si="64"/>
        <v>9.201</v>
      </c>
      <c r="E353">
        <f t="shared" si="65"/>
        <v>14.382</v>
      </c>
      <c r="F353">
        <f t="shared" si="66"/>
        <v>9.482</v>
      </c>
      <c r="G353">
        <f t="shared" si="67"/>
        <v>6.739</v>
      </c>
      <c r="H353">
        <f t="shared" si="68"/>
        <v>10.882</v>
      </c>
      <c r="I353">
        <f t="shared" si="69"/>
        <v>14.109</v>
      </c>
      <c r="J353">
        <f t="shared" si="70"/>
        <v>0</v>
      </c>
      <c r="K353">
        <f t="shared" si="71"/>
        <v>0</v>
      </c>
      <c r="L353">
        <f t="shared" si="72"/>
        <v>0</v>
      </c>
      <c r="N353">
        <v>8546</v>
      </c>
      <c r="O353">
        <v>14038</v>
      </c>
      <c r="P353">
        <v>8847</v>
      </c>
      <c r="Q353">
        <v>9201</v>
      </c>
      <c r="R353">
        <v>14382</v>
      </c>
      <c r="S353">
        <v>9482</v>
      </c>
      <c r="T353">
        <v>6739</v>
      </c>
      <c r="U353">
        <v>10882</v>
      </c>
      <c r="V353">
        <v>14109</v>
      </c>
      <c r="AA353" t="s">
        <v>3878</v>
      </c>
      <c r="AC353">
        <v>8393</v>
      </c>
      <c r="AE353">
        <v>9024</v>
      </c>
      <c r="AG353" t="s">
        <v>3879</v>
      </c>
      <c r="AI353">
        <v>6658</v>
      </c>
      <c r="AP353" t="s">
        <v>3880</v>
      </c>
      <c r="AR353">
        <v>13921</v>
      </c>
      <c r="AT353">
        <v>14198</v>
      </c>
      <c r="AV353" t="s">
        <v>3881</v>
      </c>
      <c r="AX353">
        <v>10821</v>
      </c>
      <c r="BB353" t="s">
        <v>3882</v>
      </c>
      <c r="BD353">
        <v>8704</v>
      </c>
      <c r="BF353">
        <v>9161</v>
      </c>
      <c r="BH353" t="s">
        <v>3883</v>
      </c>
      <c r="BJ353">
        <v>13057</v>
      </c>
    </row>
    <row r="354" spans="1:62">
      <c r="A354">
        <f t="shared" si="61"/>
        <v>8.548</v>
      </c>
      <c r="B354">
        <f t="shared" si="62"/>
        <v>14.042</v>
      </c>
      <c r="C354">
        <f t="shared" si="63"/>
        <v>8.849</v>
      </c>
      <c r="D354">
        <f t="shared" si="64"/>
        <v>9.202</v>
      </c>
      <c r="E354">
        <f t="shared" si="65"/>
        <v>14.385</v>
      </c>
      <c r="F354">
        <f t="shared" si="66"/>
        <v>9.485</v>
      </c>
      <c r="G354">
        <f t="shared" si="67"/>
        <v>6.75</v>
      </c>
      <c r="H354">
        <f t="shared" si="68"/>
        <v>10.904</v>
      </c>
      <c r="I354">
        <f t="shared" si="69"/>
        <v>14.23</v>
      </c>
      <c r="J354">
        <f t="shared" si="70"/>
        <v>0</v>
      </c>
      <c r="K354">
        <f t="shared" si="71"/>
        <v>0</v>
      </c>
      <c r="L354">
        <f t="shared" si="72"/>
        <v>0</v>
      </c>
      <c r="N354">
        <v>8548</v>
      </c>
      <c r="O354">
        <v>14042</v>
      </c>
      <c r="P354">
        <v>8849</v>
      </c>
      <c r="Q354">
        <v>9202</v>
      </c>
      <c r="R354">
        <v>14385</v>
      </c>
      <c r="S354">
        <v>9485</v>
      </c>
      <c r="T354">
        <v>6750</v>
      </c>
      <c r="U354">
        <v>10904</v>
      </c>
      <c r="V354">
        <v>14230</v>
      </c>
      <c r="AA354" t="s">
        <v>3884</v>
      </c>
      <c r="AC354">
        <v>8403</v>
      </c>
      <c r="AE354">
        <v>9046</v>
      </c>
      <c r="AG354" t="s">
        <v>3885</v>
      </c>
      <c r="AI354">
        <v>6670</v>
      </c>
      <c r="AP354" t="s">
        <v>3886</v>
      </c>
      <c r="AR354">
        <v>13939</v>
      </c>
      <c r="AT354">
        <v>14229</v>
      </c>
      <c r="AV354" t="s">
        <v>3887</v>
      </c>
      <c r="AX354">
        <v>10827</v>
      </c>
      <c r="BB354" t="s">
        <v>3888</v>
      </c>
      <c r="BD354">
        <v>8705</v>
      </c>
      <c r="BF354">
        <v>9173</v>
      </c>
      <c r="BH354" t="s">
        <v>3889</v>
      </c>
      <c r="BJ354">
        <v>13218</v>
      </c>
    </row>
    <row r="355" spans="1:62">
      <c r="A355">
        <f t="shared" si="61"/>
        <v>8.559</v>
      </c>
      <c r="B355">
        <f t="shared" si="62"/>
        <v>14.071</v>
      </c>
      <c r="C355">
        <f t="shared" si="63"/>
        <v>8.863</v>
      </c>
      <c r="D355">
        <f t="shared" si="64"/>
        <v>9.213</v>
      </c>
      <c r="E355">
        <f t="shared" si="65"/>
        <v>14.39</v>
      </c>
      <c r="F355">
        <f t="shared" si="66"/>
        <v>9.493</v>
      </c>
      <c r="G355">
        <f t="shared" si="67"/>
        <v>6.779</v>
      </c>
      <c r="H355">
        <f t="shared" si="68"/>
        <v>10.922</v>
      </c>
      <c r="I355">
        <f t="shared" si="69"/>
        <v>14.253</v>
      </c>
      <c r="J355">
        <f t="shared" si="70"/>
        <v>0</v>
      </c>
      <c r="K355">
        <f t="shared" si="71"/>
        <v>0</v>
      </c>
      <c r="L355">
        <f t="shared" si="72"/>
        <v>0</v>
      </c>
      <c r="N355">
        <v>8559</v>
      </c>
      <c r="O355">
        <v>14071</v>
      </c>
      <c r="P355">
        <v>8863</v>
      </c>
      <c r="Q355">
        <v>9213</v>
      </c>
      <c r="R355">
        <v>14390</v>
      </c>
      <c r="S355">
        <v>9493</v>
      </c>
      <c r="T355">
        <v>6779</v>
      </c>
      <c r="U355">
        <v>10922</v>
      </c>
      <c r="V355">
        <v>14253</v>
      </c>
      <c r="AA355" t="s">
        <v>3890</v>
      </c>
      <c r="AC355">
        <v>8406</v>
      </c>
      <c r="AE355">
        <v>9071</v>
      </c>
      <c r="AG355" t="s">
        <v>3891</v>
      </c>
      <c r="AI355">
        <v>6681</v>
      </c>
      <c r="AP355" t="s">
        <v>3892</v>
      </c>
      <c r="AR355">
        <v>13941</v>
      </c>
      <c r="AT355">
        <v>14261</v>
      </c>
      <c r="AV355" t="s">
        <v>3893</v>
      </c>
      <c r="AX355">
        <v>10852</v>
      </c>
      <c r="BB355" t="s">
        <v>3894</v>
      </c>
      <c r="BD355">
        <v>8776</v>
      </c>
      <c r="BF355">
        <v>9193</v>
      </c>
      <c r="BH355" t="s">
        <v>3895</v>
      </c>
      <c r="BJ355">
        <v>13522</v>
      </c>
    </row>
    <row r="356" spans="1:62">
      <c r="A356">
        <f t="shared" si="61"/>
        <v>8.567</v>
      </c>
      <c r="B356">
        <f t="shared" si="62"/>
        <v>14.073</v>
      </c>
      <c r="C356">
        <f t="shared" si="63"/>
        <v>8.869</v>
      </c>
      <c r="D356">
        <f t="shared" si="64"/>
        <v>9.288</v>
      </c>
      <c r="E356">
        <f t="shared" si="65"/>
        <v>14.401</v>
      </c>
      <c r="F356">
        <f t="shared" si="66"/>
        <v>9.498</v>
      </c>
      <c r="G356">
        <f t="shared" si="67"/>
        <v>6.783</v>
      </c>
      <c r="H356">
        <f t="shared" si="68"/>
        <v>10.922</v>
      </c>
      <c r="I356">
        <f t="shared" si="69"/>
        <v>14.411</v>
      </c>
      <c r="J356">
        <f t="shared" si="70"/>
        <v>0</v>
      </c>
      <c r="K356">
        <f t="shared" si="71"/>
        <v>0</v>
      </c>
      <c r="L356">
        <f t="shared" si="72"/>
        <v>0</v>
      </c>
      <c r="N356">
        <v>8567</v>
      </c>
      <c r="O356">
        <v>14073</v>
      </c>
      <c r="P356">
        <v>8869</v>
      </c>
      <c r="Q356">
        <v>9288</v>
      </c>
      <c r="R356">
        <v>14401</v>
      </c>
      <c r="S356">
        <v>9498</v>
      </c>
      <c r="T356">
        <v>6783</v>
      </c>
      <c r="U356">
        <v>10922</v>
      </c>
      <c r="V356">
        <v>14411</v>
      </c>
      <c r="AA356" t="s">
        <v>3896</v>
      </c>
      <c r="AC356">
        <v>8424</v>
      </c>
      <c r="AE356">
        <v>9072</v>
      </c>
      <c r="AG356" t="s">
        <v>3897</v>
      </c>
      <c r="AI356">
        <v>6686</v>
      </c>
      <c r="AP356" t="s">
        <v>3898</v>
      </c>
      <c r="AR356">
        <v>13955</v>
      </c>
      <c r="AT356">
        <v>14285</v>
      </c>
      <c r="AV356" t="s">
        <v>3899</v>
      </c>
      <c r="AX356">
        <v>10852</v>
      </c>
      <c r="BB356" t="s">
        <v>3900</v>
      </c>
      <c r="BD356">
        <v>8781</v>
      </c>
      <c r="BF356">
        <v>9350</v>
      </c>
      <c r="BH356" t="s">
        <v>3901</v>
      </c>
      <c r="BJ356">
        <v>13554</v>
      </c>
    </row>
    <row r="357" spans="1:62">
      <c r="A357">
        <f t="shared" si="61"/>
        <v>8.63</v>
      </c>
      <c r="B357">
        <f t="shared" si="62"/>
        <v>14.076</v>
      </c>
      <c r="C357">
        <f t="shared" si="63"/>
        <v>8.894</v>
      </c>
      <c r="D357">
        <f t="shared" si="64"/>
        <v>9.308</v>
      </c>
      <c r="E357">
        <f t="shared" si="65"/>
        <v>14.427</v>
      </c>
      <c r="F357">
        <f t="shared" si="66"/>
        <v>9.513</v>
      </c>
      <c r="G357">
        <f t="shared" si="67"/>
        <v>6.805</v>
      </c>
      <c r="H357">
        <f t="shared" si="68"/>
        <v>10.925</v>
      </c>
      <c r="I357">
        <f t="shared" si="69"/>
        <v>14.419</v>
      </c>
      <c r="J357">
        <f t="shared" si="70"/>
        <v>0</v>
      </c>
      <c r="K357">
        <f t="shared" si="71"/>
        <v>0</v>
      </c>
      <c r="L357">
        <f t="shared" si="72"/>
        <v>0</v>
      </c>
      <c r="N357">
        <v>8630</v>
      </c>
      <c r="O357">
        <v>14076</v>
      </c>
      <c r="P357">
        <v>8894</v>
      </c>
      <c r="Q357">
        <v>9308</v>
      </c>
      <c r="R357">
        <v>14427</v>
      </c>
      <c r="S357">
        <v>9513</v>
      </c>
      <c r="T357">
        <v>6805</v>
      </c>
      <c r="U357">
        <v>10925</v>
      </c>
      <c r="V357">
        <v>14419</v>
      </c>
      <c r="AA357" t="s">
        <v>3902</v>
      </c>
      <c r="AC357">
        <v>8438</v>
      </c>
      <c r="AE357">
        <v>9104</v>
      </c>
      <c r="AG357" t="s">
        <v>3903</v>
      </c>
      <c r="AI357">
        <v>6690</v>
      </c>
      <c r="AP357" t="s">
        <v>3904</v>
      </c>
      <c r="AR357">
        <v>13956</v>
      </c>
      <c r="AT357">
        <v>14288</v>
      </c>
      <c r="AV357" t="s">
        <v>3905</v>
      </c>
      <c r="AX357">
        <v>10859</v>
      </c>
      <c r="BB357" t="s">
        <v>3906</v>
      </c>
      <c r="BD357">
        <v>8792</v>
      </c>
      <c r="BF357">
        <v>9363</v>
      </c>
      <c r="BH357" t="s">
        <v>3907</v>
      </c>
      <c r="BJ357">
        <v>13920</v>
      </c>
    </row>
    <row r="358" spans="1:62">
      <c r="A358">
        <f t="shared" si="61"/>
        <v>8.637</v>
      </c>
      <c r="B358">
        <f t="shared" si="62"/>
        <v>14.098</v>
      </c>
      <c r="C358">
        <f t="shared" si="63"/>
        <v>8.94</v>
      </c>
      <c r="D358">
        <f t="shared" si="64"/>
        <v>9.353</v>
      </c>
      <c r="E358">
        <f t="shared" si="65"/>
        <v>14.446</v>
      </c>
      <c r="F358">
        <f t="shared" si="66"/>
        <v>9.525</v>
      </c>
      <c r="G358">
        <f t="shared" si="67"/>
        <v>6.813</v>
      </c>
      <c r="H358">
        <f t="shared" si="68"/>
        <v>10.925</v>
      </c>
      <c r="I358">
        <f t="shared" si="69"/>
        <v>14.493</v>
      </c>
      <c r="J358">
        <f t="shared" si="70"/>
        <v>0</v>
      </c>
      <c r="K358">
        <f t="shared" si="71"/>
        <v>0</v>
      </c>
      <c r="L358">
        <f t="shared" si="72"/>
        <v>0</v>
      </c>
      <c r="N358">
        <v>8637</v>
      </c>
      <c r="O358">
        <v>14098</v>
      </c>
      <c r="P358">
        <v>8940</v>
      </c>
      <c r="Q358">
        <v>9353</v>
      </c>
      <c r="R358">
        <v>14446</v>
      </c>
      <c r="S358">
        <v>9525</v>
      </c>
      <c r="T358">
        <v>6813</v>
      </c>
      <c r="U358">
        <v>10925</v>
      </c>
      <c r="V358">
        <v>14493</v>
      </c>
      <c r="AA358" t="s">
        <v>3908</v>
      </c>
      <c r="AC358">
        <v>8442</v>
      </c>
      <c r="AE358">
        <v>9122</v>
      </c>
      <c r="AG358" t="s">
        <v>3909</v>
      </c>
      <c r="AI358">
        <v>6700</v>
      </c>
      <c r="AP358" t="s">
        <v>3910</v>
      </c>
      <c r="AR358">
        <v>13960</v>
      </c>
      <c r="AT358">
        <v>14297</v>
      </c>
      <c r="AV358" t="s">
        <v>3911</v>
      </c>
      <c r="AX358">
        <v>10859</v>
      </c>
      <c r="BB358" t="s">
        <v>3912</v>
      </c>
      <c r="BD358">
        <v>8815</v>
      </c>
      <c r="BF358">
        <v>9382</v>
      </c>
      <c r="BH358" t="s">
        <v>3913</v>
      </c>
      <c r="BJ358">
        <v>13945</v>
      </c>
    </row>
    <row r="359" spans="1:62">
      <c r="A359">
        <f t="shared" si="61"/>
        <v>8.655</v>
      </c>
      <c r="B359">
        <f t="shared" si="62"/>
        <v>14.099</v>
      </c>
      <c r="C359">
        <f t="shared" si="63"/>
        <v>8.968</v>
      </c>
      <c r="D359">
        <f t="shared" si="64"/>
        <v>9.357</v>
      </c>
      <c r="E359">
        <f t="shared" si="65"/>
        <v>14.465</v>
      </c>
      <c r="F359">
        <f t="shared" si="66"/>
        <v>9.559</v>
      </c>
      <c r="G359">
        <f t="shared" si="67"/>
        <v>6.814</v>
      </c>
      <c r="H359">
        <f t="shared" si="68"/>
        <v>10.941</v>
      </c>
      <c r="I359">
        <f t="shared" si="69"/>
        <v>14.637</v>
      </c>
      <c r="J359">
        <f t="shared" si="70"/>
        <v>0</v>
      </c>
      <c r="K359">
        <f t="shared" si="71"/>
        <v>0</v>
      </c>
      <c r="L359">
        <f t="shared" si="72"/>
        <v>0</v>
      </c>
      <c r="N359">
        <v>8655</v>
      </c>
      <c r="O359">
        <v>14099</v>
      </c>
      <c r="P359">
        <v>8968</v>
      </c>
      <c r="Q359">
        <v>9357</v>
      </c>
      <c r="R359">
        <v>14465</v>
      </c>
      <c r="S359">
        <v>9559</v>
      </c>
      <c r="T359">
        <v>6814</v>
      </c>
      <c r="U359">
        <v>10941</v>
      </c>
      <c r="V359">
        <v>14637</v>
      </c>
      <c r="AA359" t="s">
        <v>3914</v>
      </c>
      <c r="AC359">
        <v>8443</v>
      </c>
      <c r="AE359">
        <v>9156</v>
      </c>
      <c r="AG359" t="s">
        <v>3915</v>
      </c>
      <c r="AI359">
        <v>6718</v>
      </c>
      <c r="AP359" t="s">
        <v>3916</v>
      </c>
      <c r="AR359">
        <v>14020</v>
      </c>
      <c r="AT359">
        <v>14315</v>
      </c>
      <c r="AV359" t="s">
        <v>3917</v>
      </c>
      <c r="AX359">
        <v>10870</v>
      </c>
      <c r="BB359" t="s">
        <v>3918</v>
      </c>
      <c r="BD359">
        <v>8823</v>
      </c>
      <c r="BF359">
        <v>9417</v>
      </c>
      <c r="BH359" t="s">
        <v>3919</v>
      </c>
      <c r="BJ359">
        <v>14069</v>
      </c>
    </row>
    <row r="360" spans="1:62">
      <c r="A360">
        <f t="shared" si="61"/>
        <v>8.698</v>
      </c>
      <c r="B360">
        <f t="shared" si="62"/>
        <v>14.11</v>
      </c>
      <c r="C360">
        <f t="shared" si="63"/>
        <v>8.979</v>
      </c>
      <c r="D360">
        <f t="shared" si="64"/>
        <v>9.404</v>
      </c>
      <c r="E360">
        <f t="shared" si="65"/>
        <v>14.466</v>
      </c>
      <c r="F360">
        <f t="shared" si="66"/>
        <v>9.6</v>
      </c>
      <c r="G360">
        <f t="shared" si="67"/>
        <v>6.823</v>
      </c>
      <c r="H360">
        <f t="shared" si="68"/>
        <v>10.95</v>
      </c>
      <c r="I360">
        <f t="shared" si="69"/>
        <v>14.885</v>
      </c>
      <c r="J360">
        <f t="shared" si="70"/>
        <v>0</v>
      </c>
      <c r="K360">
        <f t="shared" si="71"/>
        <v>0</v>
      </c>
      <c r="L360">
        <f t="shared" si="72"/>
        <v>0</v>
      </c>
      <c r="N360">
        <v>8698</v>
      </c>
      <c r="O360">
        <v>14110</v>
      </c>
      <c r="P360">
        <v>8979</v>
      </c>
      <c r="Q360">
        <v>9404</v>
      </c>
      <c r="R360">
        <v>14466</v>
      </c>
      <c r="S360">
        <v>9600</v>
      </c>
      <c r="T360">
        <v>6823</v>
      </c>
      <c r="U360">
        <v>10950</v>
      </c>
      <c r="V360">
        <v>14885</v>
      </c>
      <c r="AA360" t="s">
        <v>3920</v>
      </c>
      <c r="AC360">
        <v>8544</v>
      </c>
      <c r="AE360">
        <v>9158</v>
      </c>
      <c r="AG360" t="s">
        <v>3921</v>
      </c>
      <c r="AI360">
        <v>6735</v>
      </c>
      <c r="AP360" t="s">
        <v>3922</v>
      </c>
      <c r="AR360">
        <v>14038</v>
      </c>
      <c r="AT360">
        <v>14382</v>
      </c>
      <c r="AV360" t="s">
        <v>3923</v>
      </c>
      <c r="AX360">
        <v>10882</v>
      </c>
      <c r="BB360" t="s">
        <v>3924</v>
      </c>
      <c r="BD360">
        <v>8830</v>
      </c>
      <c r="BF360">
        <v>9433</v>
      </c>
      <c r="BH360" t="s">
        <v>3925</v>
      </c>
      <c r="BJ360">
        <v>14084</v>
      </c>
    </row>
    <row r="361" spans="1:62">
      <c r="A361">
        <f t="shared" si="61"/>
        <v>8.705</v>
      </c>
      <c r="B361">
        <f t="shared" si="62"/>
        <v>14.124</v>
      </c>
      <c r="C361">
        <f t="shared" si="63"/>
        <v>8.995</v>
      </c>
      <c r="D361">
        <f t="shared" si="64"/>
        <v>9.463</v>
      </c>
      <c r="E361">
        <f t="shared" si="65"/>
        <v>14.474</v>
      </c>
      <c r="F361">
        <f t="shared" si="66"/>
        <v>9.61</v>
      </c>
      <c r="G361">
        <f t="shared" si="67"/>
        <v>6.831</v>
      </c>
      <c r="H361">
        <f t="shared" si="68"/>
        <v>10.954</v>
      </c>
      <c r="I361">
        <f t="shared" si="69"/>
        <v>15.019</v>
      </c>
      <c r="J361">
        <f t="shared" si="70"/>
        <v>0</v>
      </c>
      <c r="K361">
        <f t="shared" si="71"/>
        <v>0</v>
      </c>
      <c r="L361">
        <f t="shared" si="72"/>
        <v>0</v>
      </c>
      <c r="N361">
        <v>8705</v>
      </c>
      <c r="O361">
        <v>14124</v>
      </c>
      <c r="P361">
        <v>8995</v>
      </c>
      <c r="Q361">
        <v>9463</v>
      </c>
      <c r="R361">
        <v>14474</v>
      </c>
      <c r="S361">
        <v>9610</v>
      </c>
      <c r="T361">
        <v>6831</v>
      </c>
      <c r="U361">
        <v>10954</v>
      </c>
      <c r="V361">
        <v>15019</v>
      </c>
      <c r="AA361" t="s">
        <v>3926</v>
      </c>
      <c r="AC361">
        <v>8546</v>
      </c>
      <c r="AE361">
        <v>9201</v>
      </c>
      <c r="AG361" t="s">
        <v>3927</v>
      </c>
      <c r="AI361">
        <v>6739</v>
      </c>
      <c r="AP361" t="s">
        <v>3928</v>
      </c>
      <c r="AR361">
        <v>14042</v>
      </c>
      <c r="AT361">
        <v>14385</v>
      </c>
      <c r="AV361" t="s">
        <v>3929</v>
      </c>
      <c r="AX361">
        <v>10904</v>
      </c>
      <c r="BB361" t="s">
        <v>3930</v>
      </c>
      <c r="BD361">
        <v>8847</v>
      </c>
      <c r="BF361">
        <v>9482</v>
      </c>
      <c r="BH361" t="s">
        <v>3931</v>
      </c>
      <c r="BJ361">
        <v>14109</v>
      </c>
    </row>
    <row r="362" spans="1:62">
      <c r="A362">
        <f t="shared" si="61"/>
        <v>8.755</v>
      </c>
      <c r="B362">
        <f t="shared" si="62"/>
        <v>14.13</v>
      </c>
      <c r="C362">
        <f t="shared" si="63"/>
        <v>9.046</v>
      </c>
      <c r="D362">
        <f t="shared" si="64"/>
        <v>9.493</v>
      </c>
      <c r="E362">
        <f t="shared" si="65"/>
        <v>14.479</v>
      </c>
      <c r="F362">
        <f t="shared" si="66"/>
        <v>9.628</v>
      </c>
      <c r="G362">
        <f t="shared" si="67"/>
        <v>6.833</v>
      </c>
      <c r="H362">
        <f t="shared" si="68"/>
        <v>10.957</v>
      </c>
      <c r="I362">
        <f t="shared" si="69"/>
        <v>15.138</v>
      </c>
      <c r="J362">
        <f t="shared" si="70"/>
        <v>0</v>
      </c>
      <c r="K362">
        <f t="shared" si="71"/>
        <v>0</v>
      </c>
      <c r="L362">
        <f t="shared" si="72"/>
        <v>0</v>
      </c>
      <c r="N362">
        <v>8755</v>
      </c>
      <c r="O362">
        <v>14130</v>
      </c>
      <c r="P362">
        <v>9046</v>
      </c>
      <c r="Q362">
        <v>9493</v>
      </c>
      <c r="R362">
        <v>14479</v>
      </c>
      <c r="S362">
        <v>9628</v>
      </c>
      <c r="T362">
        <v>6833</v>
      </c>
      <c r="U362">
        <v>10957</v>
      </c>
      <c r="V362">
        <v>15138</v>
      </c>
      <c r="AA362" t="s">
        <v>3932</v>
      </c>
      <c r="AC362">
        <v>8548</v>
      </c>
      <c r="AE362">
        <v>9202</v>
      </c>
      <c r="AG362" t="s">
        <v>3933</v>
      </c>
      <c r="AI362">
        <v>6750</v>
      </c>
      <c r="AP362" t="s">
        <v>3934</v>
      </c>
      <c r="AR362">
        <v>14071</v>
      </c>
      <c r="AT362">
        <v>14390</v>
      </c>
      <c r="AV362" t="s">
        <v>3935</v>
      </c>
      <c r="AX362">
        <v>10922</v>
      </c>
      <c r="BB362" t="s">
        <v>3936</v>
      </c>
      <c r="BD362">
        <v>8849</v>
      </c>
      <c r="BF362">
        <v>9485</v>
      </c>
      <c r="BH362" t="s">
        <v>3937</v>
      </c>
      <c r="BJ362">
        <v>14230</v>
      </c>
    </row>
    <row r="363" spans="1:62">
      <c r="A363">
        <f t="shared" si="61"/>
        <v>8.757</v>
      </c>
      <c r="B363">
        <f t="shared" si="62"/>
        <v>14.142</v>
      </c>
      <c r="C363">
        <f t="shared" si="63"/>
        <v>9.116</v>
      </c>
      <c r="D363">
        <f t="shared" si="64"/>
        <v>9.511</v>
      </c>
      <c r="E363">
        <f t="shared" si="65"/>
        <v>14.482</v>
      </c>
      <c r="F363">
        <f t="shared" si="66"/>
        <v>9.659</v>
      </c>
      <c r="G363">
        <f t="shared" si="67"/>
        <v>6.835</v>
      </c>
      <c r="H363">
        <f t="shared" si="68"/>
        <v>10.964</v>
      </c>
      <c r="I363">
        <f t="shared" si="69"/>
        <v>15.339</v>
      </c>
      <c r="J363">
        <f t="shared" si="70"/>
        <v>0</v>
      </c>
      <c r="K363">
        <f t="shared" si="71"/>
        <v>0</v>
      </c>
      <c r="L363">
        <f t="shared" si="72"/>
        <v>0</v>
      </c>
      <c r="N363">
        <v>8757</v>
      </c>
      <c r="O363">
        <v>14142</v>
      </c>
      <c r="P363">
        <v>9116</v>
      </c>
      <c r="Q363">
        <v>9511</v>
      </c>
      <c r="R363">
        <v>14482</v>
      </c>
      <c r="S363">
        <v>9659</v>
      </c>
      <c r="T363">
        <v>6835</v>
      </c>
      <c r="U363">
        <v>10964</v>
      </c>
      <c r="V363">
        <v>15339</v>
      </c>
      <c r="AA363" t="s">
        <v>3938</v>
      </c>
      <c r="AC363">
        <v>8559</v>
      </c>
      <c r="AE363">
        <v>9213</v>
      </c>
      <c r="AG363" t="s">
        <v>3939</v>
      </c>
      <c r="AI363">
        <v>6779</v>
      </c>
      <c r="AP363" t="s">
        <v>3940</v>
      </c>
      <c r="AR363">
        <v>14073</v>
      </c>
      <c r="AT363">
        <v>14401</v>
      </c>
      <c r="AV363" t="s">
        <v>3941</v>
      </c>
      <c r="AX363">
        <v>10922</v>
      </c>
      <c r="BB363" t="s">
        <v>3942</v>
      </c>
      <c r="BD363">
        <v>8863</v>
      </c>
      <c r="BF363">
        <v>9493</v>
      </c>
      <c r="BH363" t="s">
        <v>3943</v>
      </c>
      <c r="BJ363">
        <v>14253</v>
      </c>
    </row>
    <row r="364" spans="1:62">
      <c r="A364">
        <f t="shared" si="61"/>
        <v>8.789</v>
      </c>
      <c r="B364">
        <f t="shared" si="62"/>
        <v>14.142</v>
      </c>
      <c r="C364">
        <f t="shared" si="63"/>
        <v>9.139</v>
      </c>
      <c r="D364">
        <f t="shared" si="64"/>
        <v>9.574</v>
      </c>
      <c r="E364">
        <f t="shared" si="65"/>
        <v>14.485</v>
      </c>
      <c r="F364">
        <f t="shared" si="66"/>
        <v>9.697</v>
      </c>
      <c r="G364">
        <f t="shared" si="67"/>
        <v>6.851</v>
      </c>
      <c r="H364">
        <f t="shared" si="68"/>
        <v>10.983</v>
      </c>
      <c r="I364">
        <f t="shared" si="69"/>
        <v>15.375</v>
      </c>
      <c r="J364">
        <f t="shared" si="70"/>
        <v>0</v>
      </c>
      <c r="K364">
        <f t="shared" si="71"/>
        <v>0</v>
      </c>
      <c r="L364">
        <f t="shared" si="72"/>
        <v>0</v>
      </c>
      <c r="N364">
        <v>8789</v>
      </c>
      <c r="O364">
        <v>14142</v>
      </c>
      <c r="P364">
        <v>9139</v>
      </c>
      <c r="Q364">
        <v>9574</v>
      </c>
      <c r="R364">
        <v>14485</v>
      </c>
      <c r="S364">
        <v>9697</v>
      </c>
      <c r="T364">
        <v>6851</v>
      </c>
      <c r="U364">
        <v>10983</v>
      </c>
      <c r="V364">
        <v>15375</v>
      </c>
      <c r="AA364" t="s">
        <v>3944</v>
      </c>
      <c r="AC364">
        <v>8567</v>
      </c>
      <c r="AE364">
        <v>9288</v>
      </c>
      <c r="AG364" t="s">
        <v>3945</v>
      </c>
      <c r="AI364">
        <v>6783</v>
      </c>
      <c r="AP364" t="s">
        <v>3946</v>
      </c>
      <c r="AR364">
        <v>14076</v>
      </c>
      <c r="AT364">
        <v>14427</v>
      </c>
      <c r="AV364" t="s">
        <v>3947</v>
      </c>
      <c r="AX364">
        <v>10925</v>
      </c>
      <c r="BB364" t="s">
        <v>3948</v>
      </c>
      <c r="BD364">
        <v>8869</v>
      </c>
      <c r="BF364">
        <v>9498</v>
      </c>
      <c r="BH364" t="s">
        <v>3949</v>
      </c>
      <c r="BJ364">
        <v>14411</v>
      </c>
    </row>
    <row r="365" spans="1:62">
      <c r="A365">
        <f t="shared" si="61"/>
        <v>8.825</v>
      </c>
      <c r="B365">
        <f t="shared" si="62"/>
        <v>14.146</v>
      </c>
      <c r="C365">
        <f t="shared" si="63"/>
        <v>9.156</v>
      </c>
      <c r="D365">
        <f t="shared" si="64"/>
        <v>9.599</v>
      </c>
      <c r="E365">
        <f t="shared" si="65"/>
        <v>14.489</v>
      </c>
      <c r="F365">
        <f t="shared" si="66"/>
        <v>9.725</v>
      </c>
      <c r="G365">
        <f t="shared" si="67"/>
        <v>6.865</v>
      </c>
      <c r="H365">
        <f t="shared" si="68"/>
        <v>10.99</v>
      </c>
      <c r="I365">
        <f t="shared" si="69"/>
        <v>15.542</v>
      </c>
      <c r="J365">
        <f t="shared" si="70"/>
        <v>0</v>
      </c>
      <c r="K365">
        <f t="shared" si="71"/>
        <v>0</v>
      </c>
      <c r="L365">
        <f t="shared" si="72"/>
        <v>0</v>
      </c>
      <c r="N365">
        <v>8825</v>
      </c>
      <c r="O365">
        <v>14146</v>
      </c>
      <c r="P365">
        <v>9156</v>
      </c>
      <c r="Q365">
        <v>9599</v>
      </c>
      <c r="R365">
        <v>14489</v>
      </c>
      <c r="S365">
        <v>9725</v>
      </c>
      <c r="T365">
        <v>6865</v>
      </c>
      <c r="U365">
        <v>10990</v>
      </c>
      <c r="V365">
        <v>15542</v>
      </c>
      <c r="AA365" t="s">
        <v>3950</v>
      </c>
      <c r="AC365">
        <v>8630</v>
      </c>
      <c r="AE365">
        <v>9308</v>
      </c>
      <c r="AG365" t="s">
        <v>3951</v>
      </c>
      <c r="AI365">
        <v>6805</v>
      </c>
      <c r="AP365" t="s">
        <v>3952</v>
      </c>
      <c r="AR365">
        <v>14098</v>
      </c>
      <c r="AT365">
        <v>14446</v>
      </c>
      <c r="AV365" t="s">
        <v>3953</v>
      </c>
      <c r="AX365">
        <v>10925</v>
      </c>
      <c r="BB365" t="s">
        <v>3954</v>
      </c>
      <c r="BD365">
        <v>8894</v>
      </c>
      <c r="BF365">
        <v>9513</v>
      </c>
      <c r="BH365" t="s">
        <v>3955</v>
      </c>
      <c r="BJ365">
        <v>14419</v>
      </c>
    </row>
    <row r="366" spans="1:62">
      <c r="A366">
        <f t="shared" si="61"/>
        <v>8.826</v>
      </c>
      <c r="B366">
        <f t="shared" si="62"/>
        <v>14.174</v>
      </c>
      <c r="C366">
        <f t="shared" si="63"/>
        <v>9.161</v>
      </c>
      <c r="D366">
        <f t="shared" si="64"/>
        <v>9.603</v>
      </c>
      <c r="E366">
        <f t="shared" si="65"/>
        <v>14.531</v>
      </c>
      <c r="F366">
        <f t="shared" si="66"/>
        <v>9.784</v>
      </c>
      <c r="G366">
        <f t="shared" si="67"/>
        <v>6.868</v>
      </c>
      <c r="H366">
        <f t="shared" si="68"/>
        <v>11</v>
      </c>
      <c r="I366">
        <f t="shared" si="69"/>
        <v>15.586</v>
      </c>
      <c r="J366">
        <f t="shared" si="70"/>
        <v>0</v>
      </c>
      <c r="K366">
        <f t="shared" si="71"/>
        <v>0</v>
      </c>
      <c r="L366">
        <f t="shared" si="72"/>
        <v>0</v>
      </c>
      <c r="N366">
        <v>8826</v>
      </c>
      <c r="O366">
        <v>14174</v>
      </c>
      <c r="P366">
        <v>9161</v>
      </c>
      <c r="Q366">
        <v>9603</v>
      </c>
      <c r="R366">
        <v>14531</v>
      </c>
      <c r="S366">
        <v>9784</v>
      </c>
      <c r="T366">
        <v>6868</v>
      </c>
      <c r="U366">
        <v>11000</v>
      </c>
      <c r="V366">
        <v>15586</v>
      </c>
      <c r="AA366" t="s">
        <v>3956</v>
      </c>
      <c r="AC366">
        <v>8637</v>
      </c>
      <c r="AE366">
        <v>9353</v>
      </c>
      <c r="AG366" t="s">
        <v>3957</v>
      </c>
      <c r="AI366">
        <v>6813</v>
      </c>
      <c r="AP366" t="s">
        <v>3958</v>
      </c>
      <c r="AR366">
        <v>14099</v>
      </c>
      <c r="AT366">
        <v>14465</v>
      </c>
      <c r="AV366" t="s">
        <v>3959</v>
      </c>
      <c r="AX366">
        <v>10941</v>
      </c>
      <c r="BB366" t="s">
        <v>3960</v>
      </c>
      <c r="BD366">
        <v>8940</v>
      </c>
      <c r="BF366">
        <v>9525</v>
      </c>
      <c r="BH366" t="s">
        <v>3961</v>
      </c>
      <c r="BJ366">
        <v>14493</v>
      </c>
    </row>
    <row r="367" spans="1:62">
      <c r="A367">
        <f t="shared" si="61"/>
        <v>8.835</v>
      </c>
      <c r="B367">
        <f t="shared" si="62"/>
        <v>14.18</v>
      </c>
      <c r="C367">
        <f t="shared" si="63"/>
        <v>9.173</v>
      </c>
      <c r="D367">
        <f t="shared" si="64"/>
        <v>9.619</v>
      </c>
      <c r="E367">
        <f t="shared" si="65"/>
        <v>14.534</v>
      </c>
      <c r="F367">
        <f t="shared" si="66"/>
        <v>9.8</v>
      </c>
      <c r="G367">
        <f t="shared" si="67"/>
        <v>6.869</v>
      </c>
      <c r="H367">
        <f t="shared" si="68"/>
        <v>11.034</v>
      </c>
      <c r="I367">
        <f t="shared" si="69"/>
        <v>15.905</v>
      </c>
      <c r="J367">
        <f t="shared" si="70"/>
        <v>0</v>
      </c>
      <c r="K367">
        <f t="shared" si="71"/>
        <v>0</v>
      </c>
      <c r="L367">
        <f t="shared" si="72"/>
        <v>0</v>
      </c>
      <c r="N367">
        <v>8835</v>
      </c>
      <c r="O367">
        <v>14180</v>
      </c>
      <c r="P367">
        <v>9173</v>
      </c>
      <c r="Q367">
        <v>9619</v>
      </c>
      <c r="R367">
        <v>14534</v>
      </c>
      <c r="S367">
        <v>9800</v>
      </c>
      <c r="T367">
        <v>6869</v>
      </c>
      <c r="U367">
        <v>11034</v>
      </c>
      <c r="V367">
        <v>15905</v>
      </c>
      <c r="AA367" t="s">
        <v>3962</v>
      </c>
      <c r="AC367">
        <v>8655</v>
      </c>
      <c r="AE367">
        <v>9357</v>
      </c>
      <c r="AG367" t="s">
        <v>3963</v>
      </c>
      <c r="AI367">
        <v>6814</v>
      </c>
      <c r="AP367" t="s">
        <v>3964</v>
      </c>
      <c r="AR367">
        <v>14110</v>
      </c>
      <c r="AT367">
        <v>14466</v>
      </c>
      <c r="AV367" t="s">
        <v>3965</v>
      </c>
      <c r="AX367">
        <v>10950</v>
      </c>
      <c r="BB367" t="s">
        <v>3966</v>
      </c>
      <c r="BD367">
        <v>8968</v>
      </c>
      <c r="BF367">
        <v>9559</v>
      </c>
      <c r="BH367" t="s">
        <v>3967</v>
      </c>
      <c r="BJ367">
        <v>14637</v>
      </c>
    </row>
    <row r="368" spans="1:62">
      <c r="A368">
        <f t="shared" si="61"/>
        <v>8.889</v>
      </c>
      <c r="B368">
        <f t="shared" si="62"/>
        <v>14.183</v>
      </c>
      <c r="C368">
        <f t="shared" si="63"/>
        <v>9.193</v>
      </c>
      <c r="D368">
        <f t="shared" si="64"/>
        <v>9.684</v>
      </c>
      <c r="E368">
        <f t="shared" si="65"/>
        <v>14.549</v>
      </c>
      <c r="F368">
        <f t="shared" si="66"/>
        <v>9.806</v>
      </c>
      <c r="G368">
        <f t="shared" si="67"/>
        <v>6.869</v>
      </c>
      <c r="H368">
        <f t="shared" si="68"/>
        <v>11.038</v>
      </c>
      <c r="I368">
        <f t="shared" si="69"/>
        <v>16.047</v>
      </c>
      <c r="J368">
        <f t="shared" si="70"/>
        <v>0</v>
      </c>
      <c r="K368">
        <f t="shared" si="71"/>
        <v>0</v>
      </c>
      <c r="L368">
        <f t="shared" si="72"/>
        <v>0</v>
      </c>
      <c r="N368">
        <v>8889</v>
      </c>
      <c r="O368">
        <v>14183</v>
      </c>
      <c r="P368">
        <v>9193</v>
      </c>
      <c r="Q368">
        <v>9684</v>
      </c>
      <c r="R368">
        <v>14549</v>
      </c>
      <c r="S368">
        <v>9806</v>
      </c>
      <c r="T368">
        <v>6869</v>
      </c>
      <c r="U368">
        <v>11038</v>
      </c>
      <c r="V368">
        <v>16047</v>
      </c>
      <c r="AA368" t="s">
        <v>3968</v>
      </c>
      <c r="AC368">
        <v>8698</v>
      </c>
      <c r="AE368">
        <v>9404</v>
      </c>
      <c r="AG368" t="s">
        <v>3969</v>
      </c>
      <c r="AI368">
        <v>6823</v>
      </c>
      <c r="AP368" t="s">
        <v>3970</v>
      </c>
      <c r="AR368">
        <v>14124</v>
      </c>
      <c r="AT368">
        <v>14474</v>
      </c>
      <c r="AV368" t="s">
        <v>3971</v>
      </c>
      <c r="AX368">
        <v>10954</v>
      </c>
      <c r="BB368" t="s">
        <v>3972</v>
      </c>
      <c r="BD368">
        <v>8979</v>
      </c>
      <c r="BF368">
        <v>9600</v>
      </c>
      <c r="BH368" t="s">
        <v>3973</v>
      </c>
      <c r="BJ368">
        <v>14885</v>
      </c>
    </row>
    <row r="369" spans="1:62">
      <c r="A369">
        <f t="shared" si="61"/>
        <v>8.932</v>
      </c>
      <c r="B369">
        <f t="shared" si="62"/>
        <v>14.185</v>
      </c>
      <c r="C369">
        <f t="shared" si="63"/>
        <v>9.35</v>
      </c>
      <c r="D369">
        <f t="shared" si="64"/>
        <v>9.685</v>
      </c>
      <c r="E369">
        <f t="shared" si="65"/>
        <v>14.554</v>
      </c>
      <c r="F369">
        <f t="shared" si="66"/>
        <v>9.822</v>
      </c>
      <c r="G369">
        <f t="shared" si="67"/>
        <v>6.87</v>
      </c>
      <c r="H369">
        <f t="shared" si="68"/>
        <v>11.073</v>
      </c>
      <c r="I369">
        <f t="shared" si="69"/>
        <v>16.256</v>
      </c>
      <c r="J369">
        <f t="shared" si="70"/>
        <v>0</v>
      </c>
      <c r="K369">
        <f t="shared" si="71"/>
        <v>0</v>
      </c>
      <c r="L369">
        <f t="shared" si="72"/>
        <v>0</v>
      </c>
      <c r="N369">
        <v>8932</v>
      </c>
      <c r="O369">
        <v>14185</v>
      </c>
      <c r="P369">
        <v>9350</v>
      </c>
      <c r="Q369">
        <v>9685</v>
      </c>
      <c r="R369">
        <v>14554</v>
      </c>
      <c r="S369">
        <v>9822</v>
      </c>
      <c r="T369">
        <v>6870</v>
      </c>
      <c r="U369">
        <v>11073</v>
      </c>
      <c r="V369">
        <v>16256</v>
      </c>
      <c r="AA369" t="s">
        <v>3974</v>
      </c>
      <c r="AC369">
        <v>8705</v>
      </c>
      <c r="AE369">
        <v>9463</v>
      </c>
      <c r="AG369" t="s">
        <v>3975</v>
      </c>
      <c r="AI369">
        <v>6831</v>
      </c>
      <c r="AP369" t="s">
        <v>3976</v>
      </c>
      <c r="AR369">
        <v>14130</v>
      </c>
      <c r="AT369">
        <v>14479</v>
      </c>
      <c r="AV369" t="s">
        <v>3977</v>
      </c>
      <c r="AX369">
        <v>10957</v>
      </c>
      <c r="BB369" t="s">
        <v>3978</v>
      </c>
      <c r="BD369">
        <v>8995</v>
      </c>
      <c r="BF369">
        <v>9610</v>
      </c>
      <c r="BH369" t="s">
        <v>3979</v>
      </c>
      <c r="BJ369">
        <v>15019</v>
      </c>
    </row>
    <row r="370" spans="1:62">
      <c r="A370">
        <f t="shared" si="61"/>
        <v>8.961</v>
      </c>
      <c r="B370">
        <f t="shared" si="62"/>
        <v>14.185</v>
      </c>
      <c r="C370">
        <f t="shared" si="63"/>
        <v>9.363</v>
      </c>
      <c r="D370">
        <f t="shared" si="64"/>
        <v>9.718</v>
      </c>
      <c r="E370">
        <f t="shared" si="65"/>
        <v>14.574</v>
      </c>
      <c r="F370">
        <f t="shared" si="66"/>
        <v>9.835</v>
      </c>
      <c r="G370">
        <f t="shared" si="67"/>
        <v>6.887</v>
      </c>
      <c r="H370">
        <f t="shared" si="68"/>
        <v>11.084</v>
      </c>
      <c r="I370">
        <f t="shared" si="69"/>
        <v>16.267</v>
      </c>
      <c r="J370">
        <f t="shared" si="70"/>
        <v>0</v>
      </c>
      <c r="K370">
        <f t="shared" si="71"/>
        <v>0</v>
      </c>
      <c r="L370">
        <f t="shared" si="72"/>
        <v>0</v>
      </c>
      <c r="N370">
        <v>8961</v>
      </c>
      <c r="O370">
        <v>14185</v>
      </c>
      <c r="P370">
        <v>9363</v>
      </c>
      <c r="Q370">
        <v>9718</v>
      </c>
      <c r="R370">
        <v>14574</v>
      </c>
      <c r="S370">
        <v>9835</v>
      </c>
      <c r="T370">
        <v>6887</v>
      </c>
      <c r="U370">
        <v>11084</v>
      </c>
      <c r="V370">
        <v>16267</v>
      </c>
      <c r="AA370" t="s">
        <v>3980</v>
      </c>
      <c r="AC370">
        <v>8755</v>
      </c>
      <c r="AE370">
        <v>9493</v>
      </c>
      <c r="AG370" t="s">
        <v>3981</v>
      </c>
      <c r="AI370">
        <v>6833</v>
      </c>
      <c r="AP370" t="s">
        <v>3982</v>
      </c>
      <c r="AR370">
        <v>14142</v>
      </c>
      <c r="AT370">
        <v>14482</v>
      </c>
      <c r="AV370" t="s">
        <v>3983</v>
      </c>
      <c r="AX370">
        <v>10964</v>
      </c>
      <c r="BB370" t="s">
        <v>3984</v>
      </c>
      <c r="BD370">
        <v>9046</v>
      </c>
      <c r="BF370">
        <v>9628</v>
      </c>
      <c r="BH370" t="s">
        <v>3985</v>
      </c>
      <c r="BJ370">
        <v>15138</v>
      </c>
    </row>
    <row r="371" spans="1:62">
      <c r="A371">
        <f t="shared" si="61"/>
        <v>8.973</v>
      </c>
      <c r="B371">
        <f t="shared" si="62"/>
        <v>14.192</v>
      </c>
      <c r="C371">
        <f t="shared" si="63"/>
        <v>9.382</v>
      </c>
      <c r="D371">
        <f t="shared" si="64"/>
        <v>9.744</v>
      </c>
      <c r="E371">
        <f t="shared" si="65"/>
        <v>14.611</v>
      </c>
      <c r="F371">
        <f t="shared" si="66"/>
        <v>9.854</v>
      </c>
      <c r="G371">
        <f t="shared" si="67"/>
        <v>6.909</v>
      </c>
      <c r="H371">
        <f t="shared" si="68"/>
        <v>11.087</v>
      </c>
      <c r="I371">
        <f t="shared" si="69"/>
        <v>16.429</v>
      </c>
      <c r="J371">
        <f t="shared" si="70"/>
        <v>0</v>
      </c>
      <c r="K371">
        <f t="shared" si="71"/>
        <v>0</v>
      </c>
      <c r="L371">
        <f t="shared" si="72"/>
        <v>0</v>
      </c>
      <c r="N371">
        <v>8973</v>
      </c>
      <c r="O371">
        <v>14192</v>
      </c>
      <c r="P371">
        <v>9382</v>
      </c>
      <c r="Q371">
        <v>9744</v>
      </c>
      <c r="R371">
        <v>14611</v>
      </c>
      <c r="S371">
        <v>9854</v>
      </c>
      <c r="T371">
        <v>6909</v>
      </c>
      <c r="U371">
        <v>11087</v>
      </c>
      <c r="V371">
        <v>16429</v>
      </c>
      <c r="AA371" t="s">
        <v>3986</v>
      </c>
      <c r="AC371">
        <v>8757</v>
      </c>
      <c r="AE371">
        <v>9511</v>
      </c>
      <c r="AG371" t="s">
        <v>3987</v>
      </c>
      <c r="AI371">
        <v>6835</v>
      </c>
      <c r="AP371" t="s">
        <v>3988</v>
      </c>
      <c r="AR371">
        <v>14142</v>
      </c>
      <c r="AT371">
        <v>14485</v>
      </c>
      <c r="AV371" t="s">
        <v>3989</v>
      </c>
      <c r="AX371">
        <v>10983</v>
      </c>
      <c r="BB371" t="s">
        <v>3990</v>
      </c>
      <c r="BD371">
        <v>9116</v>
      </c>
      <c r="BF371">
        <v>9659</v>
      </c>
      <c r="BH371" t="s">
        <v>3991</v>
      </c>
      <c r="BJ371">
        <v>15339</v>
      </c>
    </row>
    <row r="372" spans="1:62">
      <c r="A372">
        <f t="shared" si="61"/>
        <v>8.993</v>
      </c>
      <c r="B372">
        <f t="shared" si="62"/>
        <v>14.192</v>
      </c>
      <c r="C372">
        <f t="shared" si="63"/>
        <v>9.417</v>
      </c>
      <c r="D372">
        <f t="shared" si="64"/>
        <v>9.753</v>
      </c>
      <c r="E372">
        <f t="shared" si="65"/>
        <v>14.666</v>
      </c>
      <c r="F372">
        <f t="shared" si="66"/>
        <v>9.859</v>
      </c>
      <c r="G372">
        <f t="shared" si="67"/>
        <v>6.909</v>
      </c>
      <c r="H372">
        <f t="shared" si="68"/>
        <v>11.093</v>
      </c>
      <c r="I372">
        <f t="shared" si="69"/>
        <v>16.457</v>
      </c>
      <c r="J372">
        <f t="shared" si="70"/>
        <v>0</v>
      </c>
      <c r="K372">
        <f t="shared" si="71"/>
        <v>0</v>
      </c>
      <c r="L372">
        <f t="shared" si="72"/>
        <v>0</v>
      </c>
      <c r="N372">
        <v>8993</v>
      </c>
      <c r="O372">
        <v>14192</v>
      </c>
      <c r="P372">
        <v>9417</v>
      </c>
      <c r="Q372">
        <v>9753</v>
      </c>
      <c r="R372">
        <v>14666</v>
      </c>
      <c r="S372">
        <v>9859</v>
      </c>
      <c r="T372">
        <v>6909</v>
      </c>
      <c r="U372">
        <v>11093</v>
      </c>
      <c r="V372">
        <v>16457</v>
      </c>
      <c r="AA372" t="s">
        <v>3992</v>
      </c>
      <c r="AC372">
        <v>8789</v>
      </c>
      <c r="AE372">
        <v>9574</v>
      </c>
      <c r="AG372" t="s">
        <v>3993</v>
      </c>
      <c r="AI372">
        <v>6851</v>
      </c>
      <c r="AP372" t="s">
        <v>3994</v>
      </c>
      <c r="AR372">
        <v>14146</v>
      </c>
      <c r="AT372">
        <v>14489</v>
      </c>
      <c r="AV372" t="s">
        <v>3995</v>
      </c>
      <c r="AX372">
        <v>10990</v>
      </c>
      <c r="BB372" t="s">
        <v>3996</v>
      </c>
      <c r="BD372">
        <v>9139</v>
      </c>
      <c r="BF372">
        <v>9697</v>
      </c>
      <c r="BH372" t="s">
        <v>3997</v>
      </c>
      <c r="BJ372">
        <v>15375</v>
      </c>
    </row>
    <row r="373" spans="1:62">
      <c r="A373">
        <f t="shared" si="61"/>
        <v>9.003</v>
      </c>
      <c r="B373">
        <f t="shared" si="62"/>
        <v>14.194</v>
      </c>
      <c r="C373">
        <f t="shared" si="63"/>
        <v>9.433</v>
      </c>
      <c r="D373">
        <f t="shared" si="64"/>
        <v>9.845</v>
      </c>
      <c r="E373">
        <f t="shared" si="65"/>
        <v>14.694</v>
      </c>
      <c r="F373">
        <f t="shared" si="66"/>
        <v>9.882</v>
      </c>
      <c r="G373">
        <f t="shared" si="67"/>
        <v>6.911</v>
      </c>
      <c r="H373">
        <f t="shared" si="68"/>
        <v>11.108</v>
      </c>
      <c r="I373">
        <f t="shared" si="69"/>
        <v>16.896</v>
      </c>
      <c r="J373">
        <f t="shared" si="70"/>
        <v>0</v>
      </c>
      <c r="K373">
        <f t="shared" si="71"/>
        <v>0</v>
      </c>
      <c r="L373">
        <f t="shared" si="72"/>
        <v>0</v>
      </c>
      <c r="N373">
        <v>9003</v>
      </c>
      <c r="O373">
        <v>14194</v>
      </c>
      <c r="P373">
        <v>9433</v>
      </c>
      <c r="Q373">
        <v>9845</v>
      </c>
      <c r="R373">
        <v>14694</v>
      </c>
      <c r="S373">
        <v>9882</v>
      </c>
      <c r="T373">
        <v>6911</v>
      </c>
      <c r="U373">
        <v>11108</v>
      </c>
      <c r="V373">
        <v>16896</v>
      </c>
      <c r="AA373" t="s">
        <v>3998</v>
      </c>
      <c r="AC373">
        <v>8825</v>
      </c>
      <c r="AE373">
        <v>9599</v>
      </c>
      <c r="AG373" t="s">
        <v>3999</v>
      </c>
      <c r="AI373">
        <v>6865</v>
      </c>
      <c r="AP373" t="s">
        <v>4000</v>
      </c>
      <c r="AR373">
        <v>14174</v>
      </c>
      <c r="AT373">
        <v>14531</v>
      </c>
      <c r="AV373" t="s">
        <v>4001</v>
      </c>
      <c r="AX373">
        <v>11000</v>
      </c>
      <c r="BB373" t="s">
        <v>4002</v>
      </c>
      <c r="BD373">
        <v>9156</v>
      </c>
      <c r="BF373">
        <v>9725</v>
      </c>
      <c r="BH373" t="s">
        <v>4003</v>
      </c>
      <c r="BJ373">
        <v>15542</v>
      </c>
    </row>
    <row r="374" spans="1:62">
      <c r="A374">
        <f t="shared" si="61"/>
        <v>9.008</v>
      </c>
      <c r="B374">
        <f t="shared" si="62"/>
        <v>14.194</v>
      </c>
      <c r="C374">
        <f t="shared" si="63"/>
        <v>9.482</v>
      </c>
      <c r="D374">
        <f t="shared" si="64"/>
        <v>9.865</v>
      </c>
      <c r="E374">
        <f t="shared" si="65"/>
        <v>14.709</v>
      </c>
      <c r="F374">
        <f t="shared" si="66"/>
        <v>9.888</v>
      </c>
      <c r="G374">
        <f t="shared" si="67"/>
        <v>6.924</v>
      </c>
      <c r="H374">
        <f t="shared" si="68"/>
        <v>11.112</v>
      </c>
      <c r="I374">
        <f t="shared" si="69"/>
        <v>17.589</v>
      </c>
      <c r="J374">
        <f t="shared" si="70"/>
        <v>0</v>
      </c>
      <c r="K374">
        <f t="shared" si="71"/>
        <v>0</v>
      </c>
      <c r="L374">
        <f t="shared" si="72"/>
        <v>0</v>
      </c>
      <c r="N374">
        <v>9008</v>
      </c>
      <c r="O374">
        <v>14194</v>
      </c>
      <c r="P374">
        <v>9482</v>
      </c>
      <c r="Q374">
        <v>9865</v>
      </c>
      <c r="R374">
        <v>14709</v>
      </c>
      <c r="S374">
        <v>9888</v>
      </c>
      <c r="T374">
        <v>6924</v>
      </c>
      <c r="U374">
        <v>11112</v>
      </c>
      <c r="V374">
        <v>17589</v>
      </c>
      <c r="AA374" t="s">
        <v>4004</v>
      </c>
      <c r="AC374">
        <v>8826</v>
      </c>
      <c r="AE374">
        <v>9603</v>
      </c>
      <c r="AG374" t="s">
        <v>4005</v>
      </c>
      <c r="AI374">
        <v>6868</v>
      </c>
      <c r="AP374" t="s">
        <v>4006</v>
      </c>
      <c r="AR374">
        <v>14180</v>
      </c>
      <c r="AT374">
        <v>14534</v>
      </c>
      <c r="AV374" t="s">
        <v>4007</v>
      </c>
      <c r="AX374">
        <v>11034</v>
      </c>
      <c r="BB374" t="s">
        <v>4008</v>
      </c>
      <c r="BD374">
        <v>9161</v>
      </c>
      <c r="BF374">
        <v>9784</v>
      </c>
      <c r="BH374" t="s">
        <v>4009</v>
      </c>
      <c r="BJ374">
        <v>15586</v>
      </c>
    </row>
    <row r="375" spans="1:62">
      <c r="A375">
        <f t="shared" si="61"/>
        <v>9.024</v>
      </c>
      <c r="B375">
        <f t="shared" si="62"/>
        <v>14.198</v>
      </c>
      <c r="C375">
        <f t="shared" si="63"/>
        <v>9.485</v>
      </c>
      <c r="D375">
        <f t="shared" si="64"/>
        <v>9.93</v>
      </c>
      <c r="E375">
        <f t="shared" si="65"/>
        <v>14.723</v>
      </c>
      <c r="F375">
        <f t="shared" si="66"/>
        <v>9.914</v>
      </c>
      <c r="G375">
        <f t="shared" si="67"/>
        <v>6.956</v>
      </c>
      <c r="H375">
        <f t="shared" si="68"/>
        <v>11.116</v>
      </c>
      <c r="I375">
        <f t="shared" si="69"/>
        <v>17.598</v>
      </c>
      <c r="J375">
        <f t="shared" si="70"/>
        <v>0</v>
      </c>
      <c r="K375">
        <f t="shared" si="71"/>
        <v>0</v>
      </c>
      <c r="L375">
        <f t="shared" si="72"/>
        <v>0</v>
      </c>
      <c r="N375">
        <v>9024</v>
      </c>
      <c r="O375">
        <v>14198</v>
      </c>
      <c r="P375">
        <v>9485</v>
      </c>
      <c r="Q375">
        <v>9930</v>
      </c>
      <c r="R375">
        <v>14723</v>
      </c>
      <c r="S375">
        <v>9914</v>
      </c>
      <c r="T375">
        <v>6956</v>
      </c>
      <c r="U375">
        <v>11116</v>
      </c>
      <c r="V375">
        <v>17598</v>
      </c>
      <c r="AA375" t="s">
        <v>4010</v>
      </c>
      <c r="AC375">
        <v>8835</v>
      </c>
      <c r="AE375">
        <v>9619</v>
      </c>
      <c r="AG375" t="s">
        <v>4011</v>
      </c>
      <c r="AI375">
        <v>6869</v>
      </c>
      <c r="AP375" t="s">
        <v>4012</v>
      </c>
      <c r="AR375">
        <v>14183</v>
      </c>
      <c r="AT375">
        <v>14549</v>
      </c>
      <c r="AV375" t="s">
        <v>4013</v>
      </c>
      <c r="AX375">
        <v>11038</v>
      </c>
      <c r="BB375" t="s">
        <v>4014</v>
      </c>
      <c r="BD375">
        <v>9173</v>
      </c>
      <c r="BF375">
        <v>9800</v>
      </c>
      <c r="BH375" t="s">
        <v>4015</v>
      </c>
      <c r="BJ375">
        <v>15905</v>
      </c>
    </row>
    <row r="376" spans="1:62">
      <c r="A376">
        <f t="shared" si="61"/>
        <v>9.046</v>
      </c>
      <c r="B376">
        <f t="shared" si="62"/>
        <v>14.229</v>
      </c>
      <c r="C376">
        <f t="shared" si="63"/>
        <v>9.493</v>
      </c>
      <c r="D376">
        <f t="shared" si="64"/>
        <v>9.941</v>
      </c>
      <c r="E376">
        <f t="shared" si="65"/>
        <v>14.754</v>
      </c>
      <c r="F376">
        <f t="shared" si="66"/>
        <v>9.951</v>
      </c>
      <c r="G376">
        <f t="shared" si="67"/>
        <v>6.967</v>
      </c>
      <c r="H376">
        <f t="shared" si="68"/>
        <v>11.132</v>
      </c>
      <c r="I376">
        <f t="shared" si="69"/>
        <v>18.205</v>
      </c>
      <c r="J376">
        <f t="shared" si="70"/>
        <v>0</v>
      </c>
      <c r="K376">
        <f t="shared" si="71"/>
        <v>0</v>
      </c>
      <c r="L376">
        <f t="shared" si="72"/>
        <v>0</v>
      </c>
      <c r="N376">
        <v>9046</v>
      </c>
      <c r="O376">
        <v>14229</v>
      </c>
      <c r="P376">
        <v>9493</v>
      </c>
      <c r="Q376">
        <v>9941</v>
      </c>
      <c r="R376">
        <v>14754</v>
      </c>
      <c r="S376">
        <v>9951</v>
      </c>
      <c r="T376">
        <v>6967</v>
      </c>
      <c r="U376">
        <v>11132</v>
      </c>
      <c r="V376">
        <v>18205</v>
      </c>
      <c r="AA376" t="s">
        <v>4016</v>
      </c>
      <c r="AC376">
        <v>8889</v>
      </c>
      <c r="AE376">
        <v>9684</v>
      </c>
      <c r="AG376" t="s">
        <v>4017</v>
      </c>
      <c r="AI376">
        <v>6869</v>
      </c>
      <c r="AP376" t="s">
        <v>4018</v>
      </c>
      <c r="AR376">
        <v>14185</v>
      </c>
      <c r="AT376">
        <v>14554</v>
      </c>
      <c r="AV376" t="s">
        <v>4019</v>
      </c>
      <c r="AX376">
        <v>11073</v>
      </c>
      <c r="BB376" t="s">
        <v>4020</v>
      </c>
      <c r="BD376">
        <v>9193</v>
      </c>
      <c r="BF376">
        <v>9806</v>
      </c>
      <c r="BH376" t="s">
        <v>4021</v>
      </c>
      <c r="BJ376">
        <v>16047</v>
      </c>
    </row>
    <row r="377" spans="1:62">
      <c r="A377">
        <f t="shared" si="61"/>
        <v>9.071</v>
      </c>
      <c r="B377">
        <f t="shared" si="62"/>
        <v>14.261</v>
      </c>
      <c r="C377">
        <f t="shared" si="63"/>
        <v>9.498</v>
      </c>
      <c r="D377">
        <f t="shared" si="64"/>
        <v>10.047</v>
      </c>
      <c r="E377">
        <f t="shared" si="65"/>
        <v>14.794</v>
      </c>
      <c r="F377">
        <f t="shared" si="66"/>
        <v>9.952</v>
      </c>
      <c r="G377">
        <f t="shared" si="67"/>
        <v>6.978</v>
      </c>
      <c r="H377">
        <f t="shared" si="68"/>
        <v>11.14</v>
      </c>
      <c r="I377">
        <f t="shared" si="69"/>
        <v>18.272</v>
      </c>
      <c r="J377">
        <f t="shared" si="70"/>
        <v>0</v>
      </c>
      <c r="K377">
        <f t="shared" si="71"/>
        <v>0</v>
      </c>
      <c r="L377">
        <f t="shared" si="72"/>
        <v>0</v>
      </c>
      <c r="N377">
        <v>9071</v>
      </c>
      <c r="O377">
        <v>14261</v>
      </c>
      <c r="P377">
        <v>9498</v>
      </c>
      <c r="Q377">
        <v>10047</v>
      </c>
      <c r="R377">
        <v>14794</v>
      </c>
      <c r="S377">
        <v>9952</v>
      </c>
      <c r="T377">
        <v>6978</v>
      </c>
      <c r="U377">
        <v>11140</v>
      </c>
      <c r="V377">
        <v>18272</v>
      </c>
      <c r="AA377" t="s">
        <v>4022</v>
      </c>
      <c r="AC377">
        <v>8932</v>
      </c>
      <c r="AE377">
        <v>9685</v>
      </c>
      <c r="AG377" t="s">
        <v>4023</v>
      </c>
      <c r="AI377">
        <v>6870</v>
      </c>
      <c r="AP377" t="s">
        <v>4024</v>
      </c>
      <c r="AR377">
        <v>14185</v>
      </c>
      <c r="AT377">
        <v>14574</v>
      </c>
      <c r="AV377" t="s">
        <v>4025</v>
      </c>
      <c r="AX377">
        <v>11084</v>
      </c>
      <c r="BB377" t="s">
        <v>4026</v>
      </c>
      <c r="BD377">
        <v>9350</v>
      </c>
      <c r="BF377">
        <v>9822</v>
      </c>
      <c r="BH377" t="s">
        <v>4027</v>
      </c>
      <c r="BJ377">
        <v>16256</v>
      </c>
    </row>
    <row r="378" spans="1:62">
      <c r="A378">
        <f t="shared" si="61"/>
        <v>9.072</v>
      </c>
      <c r="B378">
        <f t="shared" si="62"/>
        <v>14.285</v>
      </c>
      <c r="C378">
        <f t="shared" si="63"/>
        <v>9.512</v>
      </c>
      <c r="D378">
        <f t="shared" si="64"/>
        <v>10.061</v>
      </c>
      <c r="E378">
        <f t="shared" si="65"/>
        <v>14.794</v>
      </c>
      <c r="F378">
        <f t="shared" si="66"/>
        <v>9.999</v>
      </c>
      <c r="G378">
        <f t="shared" si="67"/>
        <v>6.98</v>
      </c>
      <c r="H378">
        <f t="shared" si="68"/>
        <v>11.172</v>
      </c>
      <c r="I378">
        <f t="shared" si="69"/>
        <v>18.506</v>
      </c>
      <c r="J378">
        <f t="shared" si="70"/>
        <v>0</v>
      </c>
      <c r="K378">
        <f t="shared" si="71"/>
        <v>0</v>
      </c>
      <c r="L378">
        <f t="shared" si="72"/>
        <v>0</v>
      </c>
      <c r="N378">
        <v>9072</v>
      </c>
      <c r="O378">
        <v>14285</v>
      </c>
      <c r="P378">
        <v>9512</v>
      </c>
      <c r="Q378">
        <v>10061</v>
      </c>
      <c r="R378">
        <v>14794</v>
      </c>
      <c r="S378">
        <v>9999</v>
      </c>
      <c r="T378">
        <v>6980</v>
      </c>
      <c r="U378">
        <v>11172</v>
      </c>
      <c r="V378">
        <v>18506</v>
      </c>
      <c r="AA378" t="s">
        <v>4028</v>
      </c>
      <c r="AC378">
        <v>8961</v>
      </c>
      <c r="AE378">
        <v>9718</v>
      </c>
      <c r="AG378" t="s">
        <v>4029</v>
      </c>
      <c r="AI378">
        <v>6887</v>
      </c>
      <c r="AP378" t="s">
        <v>4030</v>
      </c>
      <c r="AR378">
        <v>14192</v>
      </c>
      <c r="AT378">
        <v>14611</v>
      </c>
      <c r="AV378" t="s">
        <v>4031</v>
      </c>
      <c r="AX378">
        <v>11087</v>
      </c>
      <c r="BB378" t="s">
        <v>4032</v>
      </c>
      <c r="BD378">
        <v>9363</v>
      </c>
      <c r="BF378">
        <v>9835</v>
      </c>
      <c r="BH378" t="s">
        <v>4033</v>
      </c>
      <c r="BJ378">
        <v>16267</v>
      </c>
    </row>
    <row r="379" spans="1:62">
      <c r="A379">
        <f t="shared" si="61"/>
        <v>9.104</v>
      </c>
      <c r="B379">
        <f t="shared" si="62"/>
        <v>14.288</v>
      </c>
      <c r="C379">
        <f t="shared" si="63"/>
        <v>9.513</v>
      </c>
      <c r="D379">
        <f t="shared" si="64"/>
        <v>10.101</v>
      </c>
      <c r="E379">
        <f t="shared" si="65"/>
        <v>14.799</v>
      </c>
      <c r="F379">
        <f t="shared" si="66"/>
        <v>10.037</v>
      </c>
      <c r="G379">
        <f t="shared" si="67"/>
        <v>6.985</v>
      </c>
      <c r="H379">
        <f t="shared" si="68"/>
        <v>11.18</v>
      </c>
      <c r="I379">
        <f t="shared" si="69"/>
        <v>18.634</v>
      </c>
      <c r="J379">
        <f t="shared" si="70"/>
        <v>0</v>
      </c>
      <c r="K379">
        <f t="shared" si="71"/>
        <v>0</v>
      </c>
      <c r="L379">
        <f t="shared" si="72"/>
        <v>0</v>
      </c>
      <c r="N379">
        <v>9104</v>
      </c>
      <c r="O379">
        <v>14288</v>
      </c>
      <c r="P379">
        <v>9513</v>
      </c>
      <c r="Q379">
        <v>10101</v>
      </c>
      <c r="R379">
        <v>14799</v>
      </c>
      <c r="S379">
        <v>10037</v>
      </c>
      <c r="T379">
        <v>6985</v>
      </c>
      <c r="U379">
        <v>11180</v>
      </c>
      <c r="V379">
        <v>18634</v>
      </c>
      <c r="AA379" t="s">
        <v>4034</v>
      </c>
      <c r="AC379">
        <v>8973</v>
      </c>
      <c r="AE379">
        <v>9744</v>
      </c>
      <c r="AG379" t="s">
        <v>4035</v>
      </c>
      <c r="AI379">
        <v>6909</v>
      </c>
      <c r="AP379" t="s">
        <v>4036</v>
      </c>
      <c r="AR379">
        <v>14192</v>
      </c>
      <c r="AT379">
        <v>14666</v>
      </c>
      <c r="AV379" t="s">
        <v>4037</v>
      </c>
      <c r="AX379">
        <v>11093</v>
      </c>
      <c r="BB379" t="s">
        <v>4038</v>
      </c>
      <c r="BD379">
        <v>9382</v>
      </c>
      <c r="BF379">
        <v>9854</v>
      </c>
      <c r="BH379" t="s">
        <v>4039</v>
      </c>
      <c r="BJ379">
        <v>16429</v>
      </c>
    </row>
    <row r="380" spans="1:62">
      <c r="A380">
        <f t="shared" si="61"/>
        <v>9.122</v>
      </c>
      <c r="B380">
        <f t="shared" si="62"/>
        <v>14.297</v>
      </c>
      <c r="C380">
        <f t="shared" si="63"/>
        <v>9.525</v>
      </c>
      <c r="D380">
        <f t="shared" si="64"/>
        <v>10.116</v>
      </c>
      <c r="E380">
        <f t="shared" si="65"/>
        <v>14.915</v>
      </c>
      <c r="F380">
        <f t="shared" si="66"/>
        <v>10.099</v>
      </c>
      <c r="G380">
        <f t="shared" si="67"/>
        <v>6.99</v>
      </c>
      <c r="H380">
        <f t="shared" si="68"/>
        <v>11.18</v>
      </c>
      <c r="I380">
        <f t="shared" si="69"/>
        <v>18.69</v>
      </c>
      <c r="J380">
        <f t="shared" si="70"/>
        <v>0</v>
      </c>
      <c r="K380">
        <f t="shared" si="71"/>
        <v>0</v>
      </c>
      <c r="L380">
        <f t="shared" si="72"/>
        <v>0</v>
      </c>
      <c r="N380">
        <v>9122</v>
      </c>
      <c r="O380">
        <v>14297</v>
      </c>
      <c r="P380">
        <v>9525</v>
      </c>
      <c r="Q380">
        <v>10116</v>
      </c>
      <c r="R380">
        <v>14915</v>
      </c>
      <c r="S380">
        <v>10099</v>
      </c>
      <c r="T380">
        <v>6990</v>
      </c>
      <c r="U380">
        <v>11180</v>
      </c>
      <c r="V380">
        <v>18690</v>
      </c>
      <c r="AA380" t="s">
        <v>4040</v>
      </c>
      <c r="AC380">
        <v>8993</v>
      </c>
      <c r="AE380">
        <v>9753</v>
      </c>
      <c r="AG380" t="s">
        <v>4041</v>
      </c>
      <c r="AI380">
        <v>6909</v>
      </c>
      <c r="AP380" t="s">
        <v>4042</v>
      </c>
      <c r="AR380">
        <v>14194</v>
      </c>
      <c r="AT380">
        <v>14694</v>
      </c>
      <c r="AV380" t="s">
        <v>4043</v>
      </c>
      <c r="AX380">
        <v>11108</v>
      </c>
      <c r="BB380" t="s">
        <v>4044</v>
      </c>
      <c r="BD380">
        <v>9417</v>
      </c>
      <c r="BF380">
        <v>9859</v>
      </c>
      <c r="BH380" t="s">
        <v>4045</v>
      </c>
      <c r="BJ380">
        <v>16457</v>
      </c>
    </row>
    <row r="381" spans="1:62">
      <c r="A381">
        <f t="shared" si="61"/>
        <v>9.156</v>
      </c>
      <c r="B381">
        <f t="shared" si="62"/>
        <v>14.315</v>
      </c>
      <c r="C381">
        <f t="shared" si="63"/>
        <v>9.539</v>
      </c>
      <c r="D381">
        <f t="shared" si="64"/>
        <v>10.159</v>
      </c>
      <c r="E381">
        <f t="shared" si="65"/>
        <v>14.942</v>
      </c>
      <c r="F381">
        <f t="shared" si="66"/>
        <v>10.228</v>
      </c>
      <c r="G381">
        <f t="shared" si="67"/>
        <v>6.997</v>
      </c>
      <c r="H381">
        <f t="shared" si="68"/>
        <v>11.238</v>
      </c>
      <c r="I381">
        <f t="shared" si="69"/>
        <v>18.905</v>
      </c>
      <c r="J381">
        <f t="shared" si="70"/>
        <v>0</v>
      </c>
      <c r="K381">
        <f t="shared" si="71"/>
        <v>0</v>
      </c>
      <c r="L381">
        <f t="shared" si="72"/>
        <v>0</v>
      </c>
      <c r="N381">
        <v>9156</v>
      </c>
      <c r="O381">
        <v>14315</v>
      </c>
      <c r="P381">
        <v>9539</v>
      </c>
      <c r="Q381">
        <v>10159</v>
      </c>
      <c r="R381">
        <v>14942</v>
      </c>
      <c r="S381">
        <v>10228</v>
      </c>
      <c r="T381">
        <v>6997</v>
      </c>
      <c r="U381">
        <v>11238</v>
      </c>
      <c r="V381">
        <v>18905</v>
      </c>
      <c r="AA381" t="s">
        <v>4046</v>
      </c>
      <c r="AC381">
        <v>9003</v>
      </c>
      <c r="AE381">
        <v>9845</v>
      </c>
      <c r="AG381" t="s">
        <v>4047</v>
      </c>
      <c r="AI381">
        <v>6911</v>
      </c>
      <c r="AP381" t="s">
        <v>4048</v>
      </c>
      <c r="AR381">
        <v>14194</v>
      </c>
      <c r="AT381">
        <v>14709</v>
      </c>
      <c r="AV381" t="s">
        <v>4049</v>
      </c>
      <c r="AX381">
        <v>11112</v>
      </c>
      <c r="BB381" t="s">
        <v>4050</v>
      </c>
      <c r="BD381">
        <v>9433</v>
      </c>
      <c r="BF381">
        <v>9882</v>
      </c>
      <c r="BH381" t="s">
        <v>4051</v>
      </c>
      <c r="BJ381">
        <v>16896</v>
      </c>
    </row>
    <row r="382" spans="1:62">
      <c r="A382">
        <f t="shared" si="61"/>
        <v>9.158</v>
      </c>
      <c r="B382">
        <f t="shared" si="62"/>
        <v>14.382</v>
      </c>
      <c r="C382">
        <f t="shared" si="63"/>
        <v>9.559</v>
      </c>
      <c r="D382">
        <f t="shared" si="64"/>
        <v>10.174</v>
      </c>
      <c r="E382">
        <f t="shared" si="65"/>
        <v>14.944</v>
      </c>
      <c r="F382">
        <f t="shared" si="66"/>
        <v>10.258</v>
      </c>
      <c r="G382">
        <f t="shared" si="67"/>
        <v>7.007</v>
      </c>
      <c r="H382">
        <f t="shared" si="68"/>
        <v>11.259</v>
      </c>
      <c r="I382">
        <f t="shared" si="69"/>
        <v>19.046</v>
      </c>
      <c r="J382">
        <f t="shared" si="70"/>
        <v>0</v>
      </c>
      <c r="K382">
        <f t="shared" si="71"/>
        <v>0</v>
      </c>
      <c r="L382">
        <f t="shared" si="72"/>
        <v>0</v>
      </c>
      <c r="N382">
        <v>9158</v>
      </c>
      <c r="O382">
        <v>14382</v>
      </c>
      <c r="P382">
        <v>9559</v>
      </c>
      <c r="Q382">
        <v>10174</v>
      </c>
      <c r="R382">
        <v>14944</v>
      </c>
      <c r="S382">
        <v>10258</v>
      </c>
      <c r="T382">
        <v>7007</v>
      </c>
      <c r="U382">
        <v>11259</v>
      </c>
      <c r="V382">
        <v>19046</v>
      </c>
      <c r="AA382" t="s">
        <v>4052</v>
      </c>
      <c r="AC382">
        <v>9008</v>
      </c>
      <c r="AE382">
        <v>9865</v>
      </c>
      <c r="AG382" t="s">
        <v>4053</v>
      </c>
      <c r="AI382">
        <v>6924</v>
      </c>
      <c r="AP382" t="s">
        <v>4054</v>
      </c>
      <c r="AR382">
        <v>14198</v>
      </c>
      <c r="AT382">
        <v>14723</v>
      </c>
      <c r="AV382" t="s">
        <v>4055</v>
      </c>
      <c r="AX382">
        <v>11116</v>
      </c>
      <c r="BB382" t="s">
        <v>4056</v>
      </c>
      <c r="BD382">
        <v>9482</v>
      </c>
      <c r="BF382">
        <v>9888</v>
      </c>
      <c r="BH382" t="s">
        <v>4057</v>
      </c>
      <c r="BJ382">
        <v>17589</v>
      </c>
    </row>
    <row r="383" spans="1:62">
      <c r="A383">
        <f t="shared" si="61"/>
        <v>9.201</v>
      </c>
      <c r="B383">
        <f t="shared" si="62"/>
        <v>14.385</v>
      </c>
      <c r="C383">
        <f t="shared" si="63"/>
        <v>9.6</v>
      </c>
      <c r="D383">
        <f t="shared" si="64"/>
        <v>10.22</v>
      </c>
      <c r="E383">
        <f t="shared" si="65"/>
        <v>14.975</v>
      </c>
      <c r="F383">
        <f t="shared" si="66"/>
        <v>10.407</v>
      </c>
      <c r="G383">
        <f t="shared" si="67"/>
        <v>7.011</v>
      </c>
      <c r="H383">
        <f t="shared" si="68"/>
        <v>11.349</v>
      </c>
      <c r="I383">
        <f t="shared" si="69"/>
        <v>19.181</v>
      </c>
      <c r="J383">
        <f t="shared" si="70"/>
        <v>0</v>
      </c>
      <c r="K383">
        <f t="shared" si="71"/>
        <v>0</v>
      </c>
      <c r="L383">
        <f t="shared" si="72"/>
        <v>0</v>
      </c>
      <c r="N383">
        <v>9201</v>
      </c>
      <c r="O383">
        <v>14385</v>
      </c>
      <c r="P383">
        <v>9600</v>
      </c>
      <c r="Q383">
        <v>10220</v>
      </c>
      <c r="R383">
        <v>14975</v>
      </c>
      <c r="S383">
        <v>10407</v>
      </c>
      <c r="T383">
        <v>7011</v>
      </c>
      <c r="U383">
        <v>11349</v>
      </c>
      <c r="V383">
        <v>19181</v>
      </c>
      <c r="AA383" t="s">
        <v>4058</v>
      </c>
      <c r="AC383">
        <v>9024</v>
      </c>
      <c r="AE383">
        <v>9930</v>
      </c>
      <c r="AG383" t="s">
        <v>4059</v>
      </c>
      <c r="AI383">
        <v>6956</v>
      </c>
      <c r="AP383" t="s">
        <v>4060</v>
      </c>
      <c r="AR383">
        <v>14229</v>
      </c>
      <c r="AT383">
        <v>14754</v>
      </c>
      <c r="AV383" t="s">
        <v>4061</v>
      </c>
      <c r="AX383">
        <v>11132</v>
      </c>
      <c r="BB383" t="s">
        <v>4062</v>
      </c>
      <c r="BD383">
        <v>9485</v>
      </c>
      <c r="BF383">
        <v>9914</v>
      </c>
      <c r="BH383" t="s">
        <v>4063</v>
      </c>
      <c r="BJ383">
        <v>17598</v>
      </c>
    </row>
    <row r="384" spans="1:62">
      <c r="A384">
        <f t="shared" si="61"/>
        <v>9.202</v>
      </c>
      <c r="B384">
        <f t="shared" si="62"/>
        <v>14.39</v>
      </c>
      <c r="C384">
        <f t="shared" si="63"/>
        <v>9.61</v>
      </c>
      <c r="D384">
        <f t="shared" si="64"/>
        <v>10.235</v>
      </c>
      <c r="E384">
        <f t="shared" si="65"/>
        <v>14.981</v>
      </c>
      <c r="F384">
        <f t="shared" si="66"/>
        <v>10.453</v>
      </c>
      <c r="G384">
        <f t="shared" si="67"/>
        <v>7.013</v>
      </c>
      <c r="H384">
        <f t="shared" si="68"/>
        <v>11.351</v>
      </c>
      <c r="I384">
        <f t="shared" si="69"/>
        <v>19.332</v>
      </c>
      <c r="J384">
        <f t="shared" si="70"/>
        <v>0</v>
      </c>
      <c r="K384">
        <f t="shared" si="71"/>
        <v>0</v>
      </c>
      <c r="L384">
        <f t="shared" si="72"/>
        <v>0</v>
      </c>
      <c r="N384">
        <v>9202</v>
      </c>
      <c r="O384">
        <v>14390</v>
      </c>
      <c r="P384">
        <v>9610</v>
      </c>
      <c r="Q384">
        <v>10235</v>
      </c>
      <c r="R384">
        <v>14981</v>
      </c>
      <c r="S384">
        <v>10453</v>
      </c>
      <c r="T384">
        <v>7013</v>
      </c>
      <c r="U384">
        <v>11351</v>
      </c>
      <c r="V384">
        <v>19332</v>
      </c>
      <c r="AA384" t="s">
        <v>4064</v>
      </c>
      <c r="AC384">
        <v>9046</v>
      </c>
      <c r="AE384">
        <v>9941</v>
      </c>
      <c r="AG384" t="s">
        <v>4065</v>
      </c>
      <c r="AI384">
        <v>6967</v>
      </c>
      <c r="AP384" t="s">
        <v>4066</v>
      </c>
      <c r="AR384">
        <v>14261</v>
      </c>
      <c r="AT384">
        <v>14794</v>
      </c>
      <c r="AV384" t="s">
        <v>4067</v>
      </c>
      <c r="AX384">
        <v>11140</v>
      </c>
      <c r="BB384" t="s">
        <v>4068</v>
      </c>
      <c r="BD384">
        <v>9493</v>
      </c>
      <c r="BF384">
        <v>9951</v>
      </c>
      <c r="BH384" t="s">
        <v>4069</v>
      </c>
      <c r="BJ384">
        <v>18205</v>
      </c>
    </row>
    <row r="385" spans="1:62">
      <c r="A385">
        <f t="shared" si="61"/>
        <v>9.213</v>
      </c>
      <c r="B385">
        <f t="shared" si="62"/>
        <v>14.401</v>
      </c>
      <c r="C385">
        <f t="shared" si="63"/>
        <v>9.628</v>
      </c>
      <c r="D385">
        <f t="shared" si="64"/>
        <v>10.266</v>
      </c>
      <c r="E385">
        <f t="shared" si="65"/>
        <v>14.983</v>
      </c>
      <c r="F385">
        <f t="shared" si="66"/>
        <v>10.464</v>
      </c>
      <c r="G385">
        <f t="shared" si="67"/>
        <v>7.032</v>
      </c>
      <c r="H385">
        <f t="shared" si="68"/>
        <v>11.433</v>
      </c>
      <c r="I385">
        <f t="shared" si="69"/>
        <v>19.719</v>
      </c>
      <c r="J385">
        <f t="shared" si="70"/>
        <v>0</v>
      </c>
      <c r="K385">
        <f t="shared" si="71"/>
        <v>0</v>
      </c>
      <c r="L385">
        <f t="shared" si="72"/>
        <v>0</v>
      </c>
      <c r="N385">
        <v>9213</v>
      </c>
      <c r="O385">
        <v>14401</v>
      </c>
      <c r="P385">
        <v>9628</v>
      </c>
      <c r="Q385">
        <v>10266</v>
      </c>
      <c r="R385">
        <v>14983</v>
      </c>
      <c r="S385">
        <v>10464</v>
      </c>
      <c r="T385">
        <v>7032</v>
      </c>
      <c r="U385">
        <v>11433</v>
      </c>
      <c r="V385">
        <v>19719</v>
      </c>
      <c r="AA385" t="s">
        <v>4070</v>
      </c>
      <c r="AC385">
        <v>9071</v>
      </c>
      <c r="AE385">
        <v>10047</v>
      </c>
      <c r="AG385" t="s">
        <v>4071</v>
      </c>
      <c r="AI385">
        <v>6978</v>
      </c>
      <c r="AP385" t="s">
        <v>4072</v>
      </c>
      <c r="AR385">
        <v>14285</v>
      </c>
      <c r="AT385">
        <v>14794</v>
      </c>
      <c r="AV385" t="s">
        <v>4073</v>
      </c>
      <c r="AX385">
        <v>11172</v>
      </c>
      <c r="BB385" t="s">
        <v>4074</v>
      </c>
      <c r="BD385">
        <v>9498</v>
      </c>
      <c r="BF385">
        <v>9952</v>
      </c>
      <c r="BH385" t="s">
        <v>4075</v>
      </c>
      <c r="BJ385">
        <v>18272</v>
      </c>
    </row>
    <row r="386" spans="1:62">
      <c r="A386">
        <f t="shared" si="61"/>
        <v>9.288</v>
      </c>
      <c r="B386">
        <f t="shared" si="62"/>
        <v>14.427</v>
      </c>
      <c r="C386">
        <f t="shared" si="63"/>
        <v>9.659</v>
      </c>
      <c r="D386">
        <f t="shared" si="64"/>
        <v>10.288</v>
      </c>
      <c r="E386">
        <f t="shared" si="65"/>
        <v>15.004</v>
      </c>
      <c r="F386">
        <f t="shared" si="66"/>
        <v>10.489</v>
      </c>
      <c r="G386">
        <f t="shared" si="67"/>
        <v>7.049</v>
      </c>
      <c r="H386">
        <f t="shared" si="68"/>
        <v>11.454</v>
      </c>
      <c r="I386">
        <f t="shared" si="69"/>
        <v>19.79</v>
      </c>
      <c r="J386">
        <f t="shared" si="70"/>
        <v>0</v>
      </c>
      <c r="K386">
        <f t="shared" si="71"/>
        <v>0</v>
      </c>
      <c r="L386">
        <f t="shared" si="72"/>
        <v>0</v>
      </c>
      <c r="N386">
        <v>9288</v>
      </c>
      <c r="O386">
        <v>14427</v>
      </c>
      <c r="P386">
        <v>9659</v>
      </c>
      <c r="Q386">
        <v>10288</v>
      </c>
      <c r="R386">
        <v>15004</v>
      </c>
      <c r="S386">
        <v>10489</v>
      </c>
      <c r="T386">
        <v>7049</v>
      </c>
      <c r="U386">
        <v>11454</v>
      </c>
      <c r="V386">
        <v>19790</v>
      </c>
      <c r="AA386" t="s">
        <v>4076</v>
      </c>
      <c r="AC386">
        <v>9072</v>
      </c>
      <c r="AE386">
        <v>10061</v>
      </c>
      <c r="AG386" t="s">
        <v>4077</v>
      </c>
      <c r="AI386">
        <v>6980</v>
      </c>
      <c r="AP386" t="s">
        <v>4078</v>
      </c>
      <c r="AR386">
        <v>14288</v>
      </c>
      <c r="AT386">
        <v>14799</v>
      </c>
      <c r="AV386" t="s">
        <v>4079</v>
      </c>
      <c r="AX386">
        <v>11180</v>
      </c>
      <c r="BB386" t="s">
        <v>4080</v>
      </c>
      <c r="BD386">
        <v>9512</v>
      </c>
      <c r="BF386">
        <v>9999</v>
      </c>
      <c r="BH386" t="s">
        <v>4081</v>
      </c>
      <c r="BJ386">
        <v>18506</v>
      </c>
    </row>
    <row r="387" spans="1:62">
      <c r="A387">
        <f t="shared" si="61"/>
        <v>9.308</v>
      </c>
      <c r="B387">
        <f t="shared" si="62"/>
        <v>14.446</v>
      </c>
      <c r="C387">
        <f t="shared" si="63"/>
        <v>9.697</v>
      </c>
      <c r="D387">
        <f t="shared" si="64"/>
        <v>10.388</v>
      </c>
      <c r="E387">
        <f t="shared" si="65"/>
        <v>15.024</v>
      </c>
      <c r="F387">
        <f t="shared" si="66"/>
        <v>10.528</v>
      </c>
      <c r="G387">
        <f t="shared" si="67"/>
        <v>7.091</v>
      </c>
      <c r="H387">
        <f t="shared" si="68"/>
        <v>11.456</v>
      </c>
      <c r="I387">
        <f t="shared" si="69"/>
        <v>19.796</v>
      </c>
      <c r="J387">
        <f t="shared" si="70"/>
        <v>0</v>
      </c>
      <c r="K387">
        <f t="shared" si="71"/>
        <v>0</v>
      </c>
      <c r="L387">
        <f t="shared" si="72"/>
        <v>0</v>
      </c>
      <c r="N387">
        <v>9308</v>
      </c>
      <c r="O387">
        <v>14446</v>
      </c>
      <c r="P387">
        <v>9697</v>
      </c>
      <c r="Q387">
        <v>10388</v>
      </c>
      <c r="R387">
        <v>15024</v>
      </c>
      <c r="S387">
        <v>10528</v>
      </c>
      <c r="T387">
        <v>7091</v>
      </c>
      <c r="U387">
        <v>11456</v>
      </c>
      <c r="V387">
        <v>19796</v>
      </c>
      <c r="AA387" t="s">
        <v>4082</v>
      </c>
      <c r="AC387">
        <v>9104</v>
      </c>
      <c r="AE387">
        <v>10101</v>
      </c>
      <c r="AG387" t="s">
        <v>4083</v>
      </c>
      <c r="AI387">
        <v>6985</v>
      </c>
      <c r="AP387" t="s">
        <v>4084</v>
      </c>
      <c r="AR387">
        <v>14297</v>
      </c>
      <c r="AT387">
        <v>14915</v>
      </c>
      <c r="AV387" t="s">
        <v>4085</v>
      </c>
      <c r="AX387">
        <v>11180</v>
      </c>
      <c r="BB387" t="s">
        <v>4086</v>
      </c>
      <c r="BD387">
        <v>9513</v>
      </c>
      <c r="BF387">
        <v>10037</v>
      </c>
      <c r="BH387" t="s">
        <v>4087</v>
      </c>
      <c r="BJ387">
        <v>18634</v>
      </c>
    </row>
    <row r="388" spans="1:62">
      <c r="A388">
        <f t="shared" ref="A388:A451" si="73">N388/1000</f>
        <v>9.353</v>
      </c>
      <c r="B388">
        <f t="shared" ref="B388:B451" si="74">O388/1000</f>
        <v>14.465</v>
      </c>
      <c r="C388">
        <f t="shared" ref="C388:C451" si="75">P388/1000</f>
        <v>9.725</v>
      </c>
      <c r="D388">
        <f t="shared" ref="D388:D451" si="76">Q388/1000</f>
        <v>10.399</v>
      </c>
      <c r="E388">
        <f t="shared" ref="E388:E451" si="77">R388/1000</f>
        <v>15.046</v>
      </c>
      <c r="F388">
        <f t="shared" ref="F388:F451" si="78">S388/1000</f>
        <v>10.597</v>
      </c>
      <c r="G388">
        <f t="shared" ref="G388:G451" si="79">T388/1000</f>
        <v>7.134</v>
      </c>
      <c r="H388">
        <f t="shared" ref="H388:H451" si="80">U388/1000</f>
        <v>11.465</v>
      </c>
      <c r="I388">
        <f t="shared" ref="I388:I451" si="81">V388/1000</f>
        <v>19.997</v>
      </c>
      <c r="J388">
        <f t="shared" ref="J388:J451" si="82">W388/1000</f>
        <v>0</v>
      </c>
      <c r="K388">
        <f t="shared" ref="K388:K451" si="83">X388/1000</f>
        <v>0</v>
      </c>
      <c r="L388">
        <f t="shared" ref="L388:L451" si="84">Y388/1000</f>
        <v>0</v>
      </c>
      <c r="N388">
        <v>9353</v>
      </c>
      <c r="O388">
        <v>14465</v>
      </c>
      <c r="P388">
        <v>9725</v>
      </c>
      <c r="Q388">
        <v>10399</v>
      </c>
      <c r="R388">
        <v>15046</v>
      </c>
      <c r="S388">
        <v>10597</v>
      </c>
      <c r="T388">
        <v>7134</v>
      </c>
      <c r="U388">
        <v>11465</v>
      </c>
      <c r="V388">
        <v>19997</v>
      </c>
      <c r="AA388" t="s">
        <v>4088</v>
      </c>
      <c r="AC388">
        <v>9122</v>
      </c>
      <c r="AE388">
        <v>10116</v>
      </c>
      <c r="AG388" t="s">
        <v>4089</v>
      </c>
      <c r="AI388">
        <v>6990</v>
      </c>
      <c r="AP388" t="s">
        <v>4090</v>
      </c>
      <c r="AR388">
        <v>14315</v>
      </c>
      <c r="AT388">
        <v>14942</v>
      </c>
      <c r="AV388" t="s">
        <v>4091</v>
      </c>
      <c r="AX388">
        <v>11238</v>
      </c>
      <c r="BB388" t="s">
        <v>4092</v>
      </c>
      <c r="BD388">
        <v>9525</v>
      </c>
      <c r="BF388">
        <v>10099</v>
      </c>
      <c r="BH388" t="s">
        <v>4093</v>
      </c>
      <c r="BJ388">
        <v>18690</v>
      </c>
    </row>
    <row r="389" spans="1:62">
      <c r="A389">
        <f t="shared" si="73"/>
        <v>9.357</v>
      </c>
      <c r="B389">
        <f t="shared" si="74"/>
        <v>14.466</v>
      </c>
      <c r="C389">
        <f t="shared" si="75"/>
        <v>9.784</v>
      </c>
      <c r="D389">
        <f t="shared" si="76"/>
        <v>10.426</v>
      </c>
      <c r="E389">
        <f t="shared" si="77"/>
        <v>15.087</v>
      </c>
      <c r="F389">
        <f t="shared" si="78"/>
        <v>10.598</v>
      </c>
      <c r="G389">
        <f t="shared" si="79"/>
        <v>7.14</v>
      </c>
      <c r="H389">
        <f t="shared" si="80"/>
        <v>11.486</v>
      </c>
      <c r="I389">
        <f t="shared" si="81"/>
        <v>20.313</v>
      </c>
      <c r="J389">
        <f t="shared" si="82"/>
        <v>0</v>
      </c>
      <c r="K389">
        <f t="shared" si="83"/>
        <v>0</v>
      </c>
      <c r="L389">
        <f t="shared" si="84"/>
        <v>0</v>
      </c>
      <c r="N389">
        <v>9357</v>
      </c>
      <c r="O389">
        <v>14466</v>
      </c>
      <c r="P389">
        <v>9784</v>
      </c>
      <c r="Q389">
        <v>10426</v>
      </c>
      <c r="R389">
        <v>15087</v>
      </c>
      <c r="S389">
        <v>10598</v>
      </c>
      <c r="T389">
        <v>7140</v>
      </c>
      <c r="U389">
        <v>11486</v>
      </c>
      <c r="V389">
        <v>20313</v>
      </c>
      <c r="AA389" t="s">
        <v>4094</v>
      </c>
      <c r="AC389">
        <v>9156</v>
      </c>
      <c r="AE389">
        <v>10159</v>
      </c>
      <c r="AG389" t="s">
        <v>4095</v>
      </c>
      <c r="AI389">
        <v>6997</v>
      </c>
      <c r="AP389" t="s">
        <v>4096</v>
      </c>
      <c r="AR389">
        <v>14382</v>
      </c>
      <c r="AT389">
        <v>14944</v>
      </c>
      <c r="AV389" t="s">
        <v>4097</v>
      </c>
      <c r="AX389">
        <v>11259</v>
      </c>
      <c r="BB389" t="s">
        <v>4098</v>
      </c>
      <c r="BD389">
        <v>9539</v>
      </c>
      <c r="BF389">
        <v>10228</v>
      </c>
      <c r="BH389" t="s">
        <v>4099</v>
      </c>
      <c r="BJ389">
        <v>18905</v>
      </c>
    </row>
    <row r="390" spans="1:62">
      <c r="A390">
        <f t="shared" si="73"/>
        <v>9.404</v>
      </c>
      <c r="B390">
        <f t="shared" si="74"/>
        <v>14.474</v>
      </c>
      <c r="C390">
        <f t="shared" si="75"/>
        <v>9.8</v>
      </c>
      <c r="D390">
        <f t="shared" si="76"/>
        <v>10.532</v>
      </c>
      <c r="E390">
        <f t="shared" si="77"/>
        <v>15.089</v>
      </c>
      <c r="F390">
        <f t="shared" si="78"/>
        <v>10.641</v>
      </c>
      <c r="G390">
        <f t="shared" si="79"/>
        <v>7.153</v>
      </c>
      <c r="H390">
        <f t="shared" si="80"/>
        <v>11.508</v>
      </c>
      <c r="I390">
        <f t="shared" si="81"/>
        <v>20.674</v>
      </c>
      <c r="J390">
        <f t="shared" si="82"/>
        <v>0</v>
      </c>
      <c r="K390">
        <f t="shared" si="83"/>
        <v>0</v>
      </c>
      <c r="L390">
        <f t="shared" si="84"/>
        <v>0</v>
      </c>
      <c r="N390">
        <v>9404</v>
      </c>
      <c r="O390">
        <v>14474</v>
      </c>
      <c r="P390">
        <v>9800</v>
      </c>
      <c r="Q390">
        <v>10532</v>
      </c>
      <c r="R390">
        <v>15089</v>
      </c>
      <c r="S390">
        <v>10641</v>
      </c>
      <c r="T390">
        <v>7153</v>
      </c>
      <c r="U390">
        <v>11508</v>
      </c>
      <c r="V390">
        <v>20674</v>
      </c>
      <c r="AA390" t="s">
        <v>4100</v>
      </c>
      <c r="AC390">
        <v>9158</v>
      </c>
      <c r="AE390">
        <v>10174</v>
      </c>
      <c r="AG390" t="s">
        <v>4101</v>
      </c>
      <c r="AI390">
        <v>7007</v>
      </c>
      <c r="AP390" t="s">
        <v>4102</v>
      </c>
      <c r="AR390">
        <v>14385</v>
      </c>
      <c r="AT390">
        <v>14975</v>
      </c>
      <c r="AV390" t="s">
        <v>4103</v>
      </c>
      <c r="AX390">
        <v>11349</v>
      </c>
      <c r="BB390" t="s">
        <v>4104</v>
      </c>
      <c r="BD390">
        <v>9559</v>
      </c>
      <c r="BF390">
        <v>10258</v>
      </c>
      <c r="BH390" t="s">
        <v>4105</v>
      </c>
      <c r="BJ390">
        <v>19046</v>
      </c>
    </row>
    <row r="391" spans="1:62">
      <c r="A391">
        <f t="shared" si="73"/>
        <v>9.463</v>
      </c>
      <c r="B391">
        <f t="shared" si="74"/>
        <v>14.479</v>
      </c>
      <c r="C391">
        <f t="shared" si="75"/>
        <v>9.806</v>
      </c>
      <c r="D391">
        <f t="shared" si="76"/>
        <v>10.538</v>
      </c>
      <c r="E391">
        <f t="shared" si="77"/>
        <v>15.092</v>
      </c>
      <c r="F391">
        <f t="shared" si="78"/>
        <v>10.671</v>
      </c>
      <c r="G391">
        <f t="shared" si="79"/>
        <v>7.156</v>
      </c>
      <c r="H391">
        <f t="shared" si="80"/>
        <v>11.557</v>
      </c>
      <c r="I391">
        <f t="shared" si="81"/>
        <v>20.797</v>
      </c>
      <c r="J391">
        <f t="shared" si="82"/>
        <v>0</v>
      </c>
      <c r="K391">
        <f t="shared" si="83"/>
        <v>0</v>
      </c>
      <c r="L391">
        <f t="shared" si="84"/>
        <v>0</v>
      </c>
      <c r="N391">
        <v>9463</v>
      </c>
      <c r="O391">
        <v>14479</v>
      </c>
      <c r="P391">
        <v>9806</v>
      </c>
      <c r="Q391">
        <v>10538</v>
      </c>
      <c r="R391">
        <v>15092</v>
      </c>
      <c r="S391">
        <v>10671</v>
      </c>
      <c r="T391">
        <v>7156</v>
      </c>
      <c r="U391">
        <v>11557</v>
      </c>
      <c r="V391">
        <v>20797</v>
      </c>
      <c r="AA391" t="s">
        <v>4106</v>
      </c>
      <c r="AC391">
        <v>9201</v>
      </c>
      <c r="AE391">
        <v>10220</v>
      </c>
      <c r="AG391" t="s">
        <v>4107</v>
      </c>
      <c r="AI391">
        <v>7011</v>
      </c>
      <c r="AP391" t="s">
        <v>4108</v>
      </c>
      <c r="AR391">
        <v>14390</v>
      </c>
      <c r="AT391">
        <v>14981</v>
      </c>
      <c r="AV391" t="s">
        <v>4109</v>
      </c>
      <c r="AX391">
        <v>11351</v>
      </c>
      <c r="BB391" t="s">
        <v>4110</v>
      </c>
      <c r="BD391">
        <v>9600</v>
      </c>
      <c r="BF391">
        <v>10407</v>
      </c>
      <c r="BH391" t="s">
        <v>4111</v>
      </c>
      <c r="BJ391">
        <v>19181</v>
      </c>
    </row>
    <row r="392" spans="1:62">
      <c r="A392">
        <f t="shared" si="73"/>
        <v>9.493</v>
      </c>
      <c r="B392">
        <f t="shared" si="74"/>
        <v>14.482</v>
      </c>
      <c r="C392">
        <f t="shared" si="75"/>
        <v>9.822</v>
      </c>
      <c r="D392">
        <f t="shared" si="76"/>
        <v>10.579</v>
      </c>
      <c r="E392">
        <f t="shared" si="77"/>
        <v>15.113</v>
      </c>
      <c r="F392">
        <f t="shared" si="78"/>
        <v>10.677</v>
      </c>
      <c r="G392">
        <f t="shared" si="79"/>
        <v>7.169</v>
      </c>
      <c r="H392">
        <f t="shared" si="80"/>
        <v>11.559</v>
      </c>
      <c r="I392">
        <f t="shared" si="81"/>
        <v>21.077</v>
      </c>
      <c r="J392">
        <f t="shared" si="82"/>
        <v>0</v>
      </c>
      <c r="K392">
        <f t="shared" si="83"/>
        <v>0</v>
      </c>
      <c r="L392">
        <f t="shared" si="84"/>
        <v>0</v>
      </c>
      <c r="N392">
        <v>9493</v>
      </c>
      <c r="O392">
        <v>14482</v>
      </c>
      <c r="P392">
        <v>9822</v>
      </c>
      <c r="Q392">
        <v>10579</v>
      </c>
      <c r="R392">
        <v>15113</v>
      </c>
      <c r="S392">
        <v>10677</v>
      </c>
      <c r="T392">
        <v>7169</v>
      </c>
      <c r="U392">
        <v>11559</v>
      </c>
      <c r="V392">
        <v>21077</v>
      </c>
      <c r="AA392" t="s">
        <v>4112</v>
      </c>
      <c r="AC392">
        <v>9202</v>
      </c>
      <c r="AE392">
        <v>10235</v>
      </c>
      <c r="AG392" t="s">
        <v>4113</v>
      </c>
      <c r="AI392">
        <v>7013</v>
      </c>
      <c r="AP392" t="s">
        <v>4114</v>
      </c>
      <c r="AR392">
        <v>14401</v>
      </c>
      <c r="AT392">
        <v>14983</v>
      </c>
      <c r="AV392" t="s">
        <v>4115</v>
      </c>
      <c r="AX392">
        <v>11433</v>
      </c>
      <c r="BB392" t="s">
        <v>4116</v>
      </c>
      <c r="BD392">
        <v>9610</v>
      </c>
      <c r="BF392">
        <v>10453</v>
      </c>
      <c r="BH392" t="s">
        <v>4117</v>
      </c>
      <c r="BJ392">
        <v>19332</v>
      </c>
    </row>
    <row r="393" spans="1:62">
      <c r="A393">
        <f t="shared" si="73"/>
        <v>9.511</v>
      </c>
      <c r="B393">
        <f t="shared" si="74"/>
        <v>14.485</v>
      </c>
      <c r="C393">
        <f t="shared" si="75"/>
        <v>9.835</v>
      </c>
      <c r="D393">
        <f t="shared" si="76"/>
        <v>10.86</v>
      </c>
      <c r="E393">
        <f t="shared" si="77"/>
        <v>15.13</v>
      </c>
      <c r="F393">
        <f t="shared" si="78"/>
        <v>10.757</v>
      </c>
      <c r="G393">
        <f t="shared" si="79"/>
        <v>7.17</v>
      </c>
      <c r="H393">
        <f t="shared" si="80"/>
        <v>11.576</v>
      </c>
      <c r="I393">
        <f t="shared" si="81"/>
        <v>21.311</v>
      </c>
      <c r="J393">
        <f t="shared" si="82"/>
        <v>0</v>
      </c>
      <c r="K393">
        <f t="shared" si="83"/>
        <v>0</v>
      </c>
      <c r="L393">
        <f t="shared" si="84"/>
        <v>0</v>
      </c>
      <c r="N393">
        <v>9511</v>
      </c>
      <c r="O393">
        <v>14485</v>
      </c>
      <c r="P393">
        <v>9835</v>
      </c>
      <c r="Q393">
        <v>10860</v>
      </c>
      <c r="R393">
        <v>15130</v>
      </c>
      <c r="S393">
        <v>10757</v>
      </c>
      <c r="T393">
        <v>7170</v>
      </c>
      <c r="U393">
        <v>11576</v>
      </c>
      <c r="V393">
        <v>21311</v>
      </c>
      <c r="AA393" t="s">
        <v>4118</v>
      </c>
      <c r="AC393">
        <v>9213</v>
      </c>
      <c r="AE393">
        <v>10266</v>
      </c>
      <c r="AG393" t="s">
        <v>4119</v>
      </c>
      <c r="AI393">
        <v>7032</v>
      </c>
      <c r="AP393" t="s">
        <v>4120</v>
      </c>
      <c r="AR393">
        <v>14427</v>
      </c>
      <c r="AT393">
        <v>15004</v>
      </c>
      <c r="AV393" t="s">
        <v>4121</v>
      </c>
      <c r="AX393">
        <v>11454</v>
      </c>
      <c r="BB393" t="s">
        <v>4122</v>
      </c>
      <c r="BD393">
        <v>9628</v>
      </c>
      <c r="BF393">
        <v>10464</v>
      </c>
      <c r="BH393" t="s">
        <v>4123</v>
      </c>
      <c r="BJ393">
        <v>19719</v>
      </c>
    </row>
    <row r="394" spans="1:62">
      <c r="A394">
        <f t="shared" si="73"/>
        <v>9.574</v>
      </c>
      <c r="B394">
        <f t="shared" si="74"/>
        <v>14.489</v>
      </c>
      <c r="C394">
        <f t="shared" si="75"/>
        <v>9.854</v>
      </c>
      <c r="D394">
        <f t="shared" si="76"/>
        <v>10.865</v>
      </c>
      <c r="E394">
        <f t="shared" si="77"/>
        <v>15.147</v>
      </c>
      <c r="F394">
        <f t="shared" si="78"/>
        <v>10.793</v>
      </c>
      <c r="G394">
        <f t="shared" si="79"/>
        <v>7.175</v>
      </c>
      <c r="H394">
        <f t="shared" si="80"/>
        <v>11.594</v>
      </c>
      <c r="I394">
        <f t="shared" si="81"/>
        <v>21.485</v>
      </c>
      <c r="J394">
        <f t="shared" si="82"/>
        <v>0</v>
      </c>
      <c r="K394">
        <f t="shared" si="83"/>
        <v>0</v>
      </c>
      <c r="L394">
        <f t="shared" si="84"/>
        <v>0</v>
      </c>
      <c r="N394">
        <v>9574</v>
      </c>
      <c r="O394">
        <v>14489</v>
      </c>
      <c r="P394">
        <v>9854</v>
      </c>
      <c r="Q394">
        <v>10865</v>
      </c>
      <c r="R394">
        <v>15147</v>
      </c>
      <c r="S394">
        <v>10793</v>
      </c>
      <c r="T394">
        <v>7175</v>
      </c>
      <c r="U394">
        <v>11594</v>
      </c>
      <c r="V394">
        <v>21485</v>
      </c>
      <c r="AA394" t="s">
        <v>4124</v>
      </c>
      <c r="AC394">
        <v>9288</v>
      </c>
      <c r="AE394">
        <v>10288</v>
      </c>
      <c r="AG394" t="s">
        <v>4125</v>
      </c>
      <c r="AI394">
        <v>7049</v>
      </c>
      <c r="AP394" t="s">
        <v>4126</v>
      </c>
      <c r="AR394">
        <v>14446</v>
      </c>
      <c r="AT394">
        <v>15024</v>
      </c>
      <c r="AV394" t="s">
        <v>4127</v>
      </c>
      <c r="AX394">
        <v>11456</v>
      </c>
      <c r="BB394" t="s">
        <v>4128</v>
      </c>
      <c r="BD394">
        <v>9659</v>
      </c>
      <c r="BF394">
        <v>10489</v>
      </c>
      <c r="BH394" t="s">
        <v>4129</v>
      </c>
      <c r="BJ394">
        <v>19790</v>
      </c>
    </row>
    <row r="395" spans="1:62">
      <c r="A395">
        <f t="shared" si="73"/>
        <v>9.599</v>
      </c>
      <c r="B395">
        <f t="shared" si="74"/>
        <v>14.531</v>
      </c>
      <c r="C395">
        <f t="shared" si="75"/>
        <v>9.859</v>
      </c>
      <c r="D395">
        <f t="shared" si="76"/>
        <v>10.896</v>
      </c>
      <c r="E395">
        <f t="shared" si="77"/>
        <v>15.156</v>
      </c>
      <c r="F395">
        <f t="shared" si="78"/>
        <v>10.847</v>
      </c>
      <c r="G395">
        <f t="shared" si="79"/>
        <v>7.18</v>
      </c>
      <c r="H395">
        <f t="shared" si="80"/>
        <v>11.612</v>
      </c>
      <c r="I395">
        <f t="shared" si="81"/>
        <v>21.557</v>
      </c>
      <c r="J395">
        <f t="shared" si="82"/>
        <v>0</v>
      </c>
      <c r="K395">
        <f t="shared" si="83"/>
        <v>0</v>
      </c>
      <c r="L395">
        <f t="shared" si="84"/>
        <v>0</v>
      </c>
      <c r="N395">
        <v>9599</v>
      </c>
      <c r="O395">
        <v>14531</v>
      </c>
      <c r="P395">
        <v>9859</v>
      </c>
      <c r="Q395">
        <v>10896</v>
      </c>
      <c r="R395">
        <v>15156</v>
      </c>
      <c r="S395">
        <v>10847</v>
      </c>
      <c r="T395">
        <v>7180</v>
      </c>
      <c r="U395">
        <v>11612</v>
      </c>
      <c r="V395">
        <v>21557</v>
      </c>
      <c r="AA395" t="s">
        <v>4130</v>
      </c>
      <c r="AC395">
        <v>9308</v>
      </c>
      <c r="AE395">
        <v>10388</v>
      </c>
      <c r="AG395" t="s">
        <v>4131</v>
      </c>
      <c r="AI395">
        <v>7091</v>
      </c>
      <c r="AP395" t="s">
        <v>4132</v>
      </c>
      <c r="AR395">
        <v>14465</v>
      </c>
      <c r="AT395">
        <v>15046</v>
      </c>
      <c r="AV395" t="s">
        <v>4133</v>
      </c>
      <c r="AX395">
        <v>11465</v>
      </c>
      <c r="BB395" t="s">
        <v>4134</v>
      </c>
      <c r="BD395">
        <v>9697</v>
      </c>
      <c r="BF395">
        <v>10528</v>
      </c>
      <c r="BH395" t="s">
        <v>4135</v>
      </c>
      <c r="BJ395">
        <v>19796</v>
      </c>
    </row>
    <row r="396" spans="1:62">
      <c r="A396">
        <f t="shared" si="73"/>
        <v>9.603</v>
      </c>
      <c r="B396">
        <f t="shared" si="74"/>
        <v>14.534</v>
      </c>
      <c r="C396">
        <f t="shared" si="75"/>
        <v>9.882</v>
      </c>
      <c r="D396">
        <f t="shared" si="76"/>
        <v>10.943</v>
      </c>
      <c r="E396">
        <f t="shared" si="77"/>
        <v>15.159</v>
      </c>
      <c r="F396">
        <f t="shared" si="78"/>
        <v>10.862</v>
      </c>
      <c r="G396">
        <f t="shared" si="79"/>
        <v>7.212</v>
      </c>
      <c r="H396">
        <f t="shared" si="80"/>
        <v>11.616</v>
      </c>
      <c r="I396">
        <f t="shared" si="81"/>
        <v>21.603</v>
      </c>
      <c r="J396">
        <f t="shared" si="82"/>
        <v>0</v>
      </c>
      <c r="K396">
        <f t="shared" si="83"/>
        <v>0</v>
      </c>
      <c r="L396">
        <f t="shared" si="84"/>
        <v>0</v>
      </c>
      <c r="N396">
        <v>9603</v>
      </c>
      <c r="O396">
        <v>14534</v>
      </c>
      <c r="P396">
        <v>9882</v>
      </c>
      <c r="Q396">
        <v>10943</v>
      </c>
      <c r="R396">
        <v>15159</v>
      </c>
      <c r="S396">
        <v>10862</v>
      </c>
      <c r="T396">
        <v>7212</v>
      </c>
      <c r="U396">
        <v>11616</v>
      </c>
      <c r="V396">
        <v>21603</v>
      </c>
      <c r="AA396" t="s">
        <v>4136</v>
      </c>
      <c r="AC396">
        <v>9353</v>
      </c>
      <c r="AE396">
        <v>10399</v>
      </c>
      <c r="AG396" t="s">
        <v>4137</v>
      </c>
      <c r="AI396">
        <v>7134</v>
      </c>
      <c r="AP396" t="s">
        <v>4138</v>
      </c>
      <c r="AR396">
        <v>14466</v>
      </c>
      <c r="AT396">
        <v>15087</v>
      </c>
      <c r="AV396" t="s">
        <v>4139</v>
      </c>
      <c r="AX396">
        <v>11486</v>
      </c>
      <c r="BB396" t="s">
        <v>4140</v>
      </c>
      <c r="BD396">
        <v>9725</v>
      </c>
      <c r="BF396">
        <v>10597</v>
      </c>
      <c r="BH396" t="s">
        <v>4141</v>
      </c>
      <c r="BJ396">
        <v>19997</v>
      </c>
    </row>
    <row r="397" spans="1:62">
      <c r="A397">
        <f t="shared" si="73"/>
        <v>9.619</v>
      </c>
      <c r="B397">
        <f t="shared" si="74"/>
        <v>14.549</v>
      </c>
      <c r="C397">
        <f t="shared" si="75"/>
        <v>9.888</v>
      </c>
      <c r="D397">
        <f t="shared" si="76"/>
        <v>10.944</v>
      </c>
      <c r="E397">
        <f t="shared" si="77"/>
        <v>15.196</v>
      </c>
      <c r="F397">
        <f t="shared" si="78"/>
        <v>10.889</v>
      </c>
      <c r="G397">
        <f t="shared" si="79"/>
        <v>7.22</v>
      </c>
      <c r="H397">
        <f t="shared" si="80"/>
        <v>11.628</v>
      </c>
      <c r="I397">
        <f t="shared" si="81"/>
        <v>21.952</v>
      </c>
      <c r="J397">
        <f t="shared" si="82"/>
        <v>0</v>
      </c>
      <c r="K397">
        <f t="shared" si="83"/>
        <v>0</v>
      </c>
      <c r="L397">
        <f t="shared" si="84"/>
        <v>0</v>
      </c>
      <c r="N397">
        <v>9619</v>
      </c>
      <c r="O397">
        <v>14549</v>
      </c>
      <c r="P397">
        <v>9888</v>
      </c>
      <c r="Q397">
        <v>10944</v>
      </c>
      <c r="R397">
        <v>15196</v>
      </c>
      <c r="S397">
        <v>10889</v>
      </c>
      <c r="T397">
        <v>7220</v>
      </c>
      <c r="U397">
        <v>11628</v>
      </c>
      <c r="V397">
        <v>21952</v>
      </c>
      <c r="AA397" t="s">
        <v>4142</v>
      </c>
      <c r="AC397">
        <v>9357</v>
      </c>
      <c r="AE397">
        <v>10426</v>
      </c>
      <c r="AG397" t="s">
        <v>4143</v>
      </c>
      <c r="AI397">
        <v>7140</v>
      </c>
      <c r="AP397" t="s">
        <v>4144</v>
      </c>
      <c r="AR397">
        <v>14474</v>
      </c>
      <c r="AT397">
        <v>15089</v>
      </c>
      <c r="AV397" t="s">
        <v>4145</v>
      </c>
      <c r="AX397">
        <v>11508</v>
      </c>
      <c r="BB397" t="s">
        <v>4146</v>
      </c>
      <c r="BD397">
        <v>9784</v>
      </c>
      <c r="BF397">
        <v>10598</v>
      </c>
      <c r="BH397" t="s">
        <v>4147</v>
      </c>
      <c r="BJ397">
        <v>20313</v>
      </c>
    </row>
    <row r="398" spans="1:62">
      <c r="A398">
        <f t="shared" si="73"/>
        <v>9.684</v>
      </c>
      <c r="B398">
        <f t="shared" si="74"/>
        <v>14.554</v>
      </c>
      <c r="C398">
        <f t="shared" si="75"/>
        <v>9.914</v>
      </c>
      <c r="D398">
        <f t="shared" si="76"/>
        <v>10.955</v>
      </c>
      <c r="E398">
        <f t="shared" si="77"/>
        <v>15.202</v>
      </c>
      <c r="F398">
        <f t="shared" si="78"/>
        <v>10.949</v>
      </c>
      <c r="G398">
        <f t="shared" si="79"/>
        <v>7.245</v>
      </c>
      <c r="H398">
        <f t="shared" si="80"/>
        <v>11.629</v>
      </c>
      <c r="I398">
        <f t="shared" si="81"/>
        <v>22.11</v>
      </c>
      <c r="J398">
        <f t="shared" si="82"/>
        <v>0</v>
      </c>
      <c r="K398">
        <f t="shared" si="83"/>
        <v>0</v>
      </c>
      <c r="L398">
        <f t="shared" si="84"/>
        <v>0</v>
      </c>
      <c r="N398">
        <v>9684</v>
      </c>
      <c r="O398">
        <v>14554</v>
      </c>
      <c r="P398">
        <v>9914</v>
      </c>
      <c r="Q398">
        <v>10955</v>
      </c>
      <c r="R398">
        <v>15202</v>
      </c>
      <c r="S398">
        <v>10949</v>
      </c>
      <c r="T398">
        <v>7245</v>
      </c>
      <c r="U398">
        <v>11629</v>
      </c>
      <c r="V398">
        <v>22110</v>
      </c>
      <c r="AA398" t="s">
        <v>4148</v>
      </c>
      <c r="AC398">
        <v>9404</v>
      </c>
      <c r="AE398">
        <v>10532</v>
      </c>
      <c r="AG398" t="s">
        <v>4149</v>
      </c>
      <c r="AI398">
        <v>7153</v>
      </c>
      <c r="AP398" t="s">
        <v>4150</v>
      </c>
      <c r="AR398">
        <v>14479</v>
      </c>
      <c r="AT398">
        <v>15092</v>
      </c>
      <c r="AV398" t="s">
        <v>4151</v>
      </c>
      <c r="AX398">
        <v>11557</v>
      </c>
      <c r="BB398" t="s">
        <v>4152</v>
      </c>
      <c r="BD398">
        <v>9800</v>
      </c>
      <c r="BF398">
        <v>10641</v>
      </c>
      <c r="BH398" t="s">
        <v>4153</v>
      </c>
      <c r="BJ398">
        <v>20674</v>
      </c>
    </row>
    <row r="399" spans="1:62">
      <c r="A399">
        <f t="shared" si="73"/>
        <v>9.685</v>
      </c>
      <c r="B399">
        <f t="shared" si="74"/>
        <v>14.574</v>
      </c>
      <c r="C399">
        <f t="shared" si="75"/>
        <v>9.951</v>
      </c>
      <c r="D399">
        <f t="shared" si="76"/>
        <v>10.974</v>
      </c>
      <c r="E399">
        <f t="shared" si="77"/>
        <v>15.217</v>
      </c>
      <c r="F399">
        <f t="shared" si="78"/>
        <v>10.971</v>
      </c>
      <c r="G399">
        <f t="shared" si="79"/>
        <v>7.27</v>
      </c>
      <c r="H399">
        <f t="shared" si="80"/>
        <v>11.631</v>
      </c>
      <c r="I399">
        <f t="shared" si="81"/>
        <v>22.29</v>
      </c>
      <c r="J399">
        <f t="shared" si="82"/>
        <v>0</v>
      </c>
      <c r="K399">
        <f t="shared" si="83"/>
        <v>0</v>
      </c>
      <c r="L399">
        <f t="shared" si="84"/>
        <v>0</v>
      </c>
      <c r="N399">
        <v>9685</v>
      </c>
      <c r="O399">
        <v>14574</v>
      </c>
      <c r="P399">
        <v>9951</v>
      </c>
      <c r="Q399">
        <v>10974</v>
      </c>
      <c r="R399">
        <v>15217</v>
      </c>
      <c r="S399">
        <v>10971</v>
      </c>
      <c r="T399">
        <v>7270</v>
      </c>
      <c r="U399">
        <v>11631</v>
      </c>
      <c r="V399">
        <v>22290</v>
      </c>
      <c r="AA399" t="s">
        <v>4154</v>
      </c>
      <c r="AC399">
        <v>9463</v>
      </c>
      <c r="AE399">
        <v>10538</v>
      </c>
      <c r="AG399" t="s">
        <v>4155</v>
      </c>
      <c r="AI399">
        <v>7156</v>
      </c>
      <c r="AP399" t="s">
        <v>4156</v>
      </c>
      <c r="AR399">
        <v>14482</v>
      </c>
      <c r="AT399">
        <v>15113</v>
      </c>
      <c r="AV399" t="s">
        <v>4157</v>
      </c>
      <c r="AX399">
        <v>11559</v>
      </c>
      <c r="BB399" t="s">
        <v>4158</v>
      </c>
      <c r="BD399">
        <v>9806</v>
      </c>
      <c r="BF399">
        <v>10671</v>
      </c>
      <c r="BH399" t="s">
        <v>4159</v>
      </c>
      <c r="BJ399">
        <v>20797</v>
      </c>
    </row>
    <row r="400" spans="1:62">
      <c r="A400">
        <f t="shared" si="73"/>
        <v>9.718</v>
      </c>
      <c r="B400">
        <f t="shared" si="74"/>
        <v>14.611</v>
      </c>
      <c r="C400">
        <f t="shared" si="75"/>
        <v>9.952</v>
      </c>
      <c r="D400">
        <f t="shared" si="76"/>
        <v>10.983</v>
      </c>
      <c r="E400">
        <f t="shared" si="77"/>
        <v>15.234</v>
      </c>
      <c r="F400">
        <f t="shared" si="78"/>
        <v>10.991</v>
      </c>
      <c r="G400">
        <f t="shared" si="79"/>
        <v>7.302</v>
      </c>
      <c r="H400">
        <f t="shared" si="80"/>
        <v>11.642</v>
      </c>
      <c r="I400">
        <f t="shared" si="81"/>
        <v>22.999</v>
      </c>
      <c r="J400">
        <f t="shared" si="82"/>
        <v>0</v>
      </c>
      <c r="K400">
        <f t="shared" si="83"/>
        <v>0</v>
      </c>
      <c r="L400">
        <f t="shared" si="84"/>
        <v>0</v>
      </c>
      <c r="N400">
        <v>9718</v>
      </c>
      <c r="O400">
        <v>14611</v>
      </c>
      <c r="P400">
        <v>9952</v>
      </c>
      <c r="Q400">
        <v>10983</v>
      </c>
      <c r="R400">
        <v>15234</v>
      </c>
      <c r="S400">
        <v>10991</v>
      </c>
      <c r="T400">
        <v>7302</v>
      </c>
      <c r="U400">
        <v>11642</v>
      </c>
      <c r="V400">
        <v>22999</v>
      </c>
      <c r="AA400" t="s">
        <v>4160</v>
      </c>
      <c r="AC400">
        <v>9493</v>
      </c>
      <c r="AE400">
        <v>10579</v>
      </c>
      <c r="AG400" t="s">
        <v>4161</v>
      </c>
      <c r="AI400">
        <v>7169</v>
      </c>
      <c r="AP400" t="s">
        <v>4162</v>
      </c>
      <c r="AR400">
        <v>14485</v>
      </c>
      <c r="AT400">
        <v>15130</v>
      </c>
      <c r="AV400" t="s">
        <v>4163</v>
      </c>
      <c r="AX400">
        <v>11576</v>
      </c>
      <c r="BB400" t="s">
        <v>4164</v>
      </c>
      <c r="BD400">
        <v>9822</v>
      </c>
      <c r="BF400">
        <v>10677</v>
      </c>
      <c r="BH400" t="s">
        <v>4165</v>
      </c>
      <c r="BJ400">
        <v>21077</v>
      </c>
    </row>
    <row r="401" spans="1:62">
      <c r="A401">
        <f t="shared" si="73"/>
        <v>9.744</v>
      </c>
      <c r="B401">
        <f t="shared" si="74"/>
        <v>14.666</v>
      </c>
      <c r="C401">
        <f t="shared" si="75"/>
        <v>9.999</v>
      </c>
      <c r="D401">
        <f t="shared" si="76"/>
        <v>10.99</v>
      </c>
      <c r="E401">
        <f t="shared" si="77"/>
        <v>15.281</v>
      </c>
      <c r="F401">
        <f t="shared" si="78"/>
        <v>11.018</v>
      </c>
      <c r="G401">
        <f t="shared" si="79"/>
        <v>7.303</v>
      </c>
      <c r="H401">
        <f t="shared" si="80"/>
        <v>11.642</v>
      </c>
      <c r="I401">
        <f t="shared" si="81"/>
        <v>23.015</v>
      </c>
      <c r="J401">
        <f t="shared" si="82"/>
        <v>0</v>
      </c>
      <c r="K401">
        <f t="shared" si="83"/>
        <v>0</v>
      </c>
      <c r="L401">
        <f t="shared" si="84"/>
        <v>0</v>
      </c>
      <c r="N401">
        <v>9744</v>
      </c>
      <c r="O401">
        <v>14666</v>
      </c>
      <c r="P401">
        <v>9999</v>
      </c>
      <c r="Q401">
        <v>10990</v>
      </c>
      <c r="R401">
        <v>15281</v>
      </c>
      <c r="S401">
        <v>11018</v>
      </c>
      <c r="T401">
        <v>7303</v>
      </c>
      <c r="U401">
        <v>11642</v>
      </c>
      <c r="V401">
        <v>23015</v>
      </c>
      <c r="AA401" t="s">
        <v>4166</v>
      </c>
      <c r="AC401">
        <v>9511</v>
      </c>
      <c r="AE401">
        <v>10860</v>
      </c>
      <c r="AG401" t="s">
        <v>4167</v>
      </c>
      <c r="AI401">
        <v>7170</v>
      </c>
      <c r="AP401" t="s">
        <v>4168</v>
      </c>
      <c r="AR401">
        <v>14489</v>
      </c>
      <c r="AT401">
        <v>15147</v>
      </c>
      <c r="AV401" t="s">
        <v>4169</v>
      </c>
      <c r="AX401">
        <v>11594</v>
      </c>
      <c r="BB401" t="s">
        <v>4170</v>
      </c>
      <c r="BD401">
        <v>9835</v>
      </c>
      <c r="BF401">
        <v>10757</v>
      </c>
      <c r="BH401" t="s">
        <v>4171</v>
      </c>
      <c r="BJ401">
        <v>21311</v>
      </c>
    </row>
    <row r="402" spans="1:62">
      <c r="A402">
        <f t="shared" si="73"/>
        <v>9.753</v>
      </c>
      <c r="B402">
        <f t="shared" si="74"/>
        <v>14.694</v>
      </c>
      <c r="C402">
        <f t="shared" si="75"/>
        <v>10.037</v>
      </c>
      <c r="D402">
        <f t="shared" si="76"/>
        <v>11.015</v>
      </c>
      <c r="E402">
        <f t="shared" si="77"/>
        <v>15.286</v>
      </c>
      <c r="F402">
        <f t="shared" si="78"/>
        <v>11.139</v>
      </c>
      <c r="G402">
        <f t="shared" si="79"/>
        <v>7.305</v>
      </c>
      <c r="H402">
        <f t="shared" si="80"/>
        <v>11.643</v>
      </c>
      <c r="I402">
        <f t="shared" si="81"/>
        <v>23.193</v>
      </c>
      <c r="J402">
        <f t="shared" si="82"/>
        <v>0</v>
      </c>
      <c r="K402">
        <f t="shared" si="83"/>
        <v>0</v>
      </c>
      <c r="L402">
        <f t="shared" si="84"/>
        <v>0</v>
      </c>
      <c r="N402">
        <v>9753</v>
      </c>
      <c r="O402">
        <v>14694</v>
      </c>
      <c r="P402">
        <v>10037</v>
      </c>
      <c r="Q402">
        <v>11015</v>
      </c>
      <c r="R402">
        <v>15286</v>
      </c>
      <c r="S402">
        <v>11139</v>
      </c>
      <c r="T402">
        <v>7305</v>
      </c>
      <c r="U402">
        <v>11643</v>
      </c>
      <c r="V402">
        <v>23193</v>
      </c>
      <c r="AA402" t="s">
        <v>4172</v>
      </c>
      <c r="AC402">
        <v>9574</v>
      </c>
      <c r="AE402">
        <v>10865</v>
      </c>
      <c r="AG402" t="s">
        <v>4173</v>
      </c>
      <c r="AI402">
        <v>7175</v>
      </c>
      <c r="AP402" t="s">
        <v>4174</v>
      </c>
      <c r="AR402">
        <v>14531</v>
      </c>
      <c r="AT402">
        <v>15156</v>
      </c>
      <c r="AV402" t="s">
        <v>4175</v>
      </c>
      <c r="AX402">
        <v>11612</v>
      </c>
      <c r="BB402" t="s">
        <v>4176</v>
      </c>
      <c r="BD402">
        <v>9854</v>
      </c>
      <c r="BF402">
        <v>10793</v>
      </c>
      <c r="BH402" t="s">
        <v>4177</v>
      </c>
      <c r="BJ402">
        <v>21485</v>
      </c>
    </row>
    <row r="403" spans="1:62">
      <c r="A403">
        <f t="shared" si="73"/>
        <v>9.845</v>
      </c>
      <c r="B403">
        <f t="shared" si="74"/>
        <v>14.709</v>
      </c>
      <c r="C403">
        <f t="shared" si="75"/>
        <v>10.099</v>
      </c>
      <c r="D403">
        <f t="shared" si="76"/>
        <v>11.078</v>
      </c>
      <c r="E403">
        <f t="shared" si="77"/>
        <v>15.299</v>
      </c>
      <c r="F403">
        <f t="shared" si="78"/>
        <v>11.171</v>
      </c>
      <c r="G403">
        <f t="shared" si="79"/>
        <v>7.319</v>
      </c>
      <c r="H403">
        <f t="shared" si="80"/>
        <v>11.645</v>
      </c>
      <c r="I403">
        <f t="shared" si="81"/>
        <v>23.25</v>
      </c>
      <c r="J403">
        <f t="shared" si="82"/>
        <v>0</v>
      </c>
      <c r="K403">
        <f t="shared" si="83"/>
        <v>0</v>
      </c>
      <c r="L403">
        <f t="shared" si="84"/>
        <v>0</v>
      </c>
      <c r="N403">
        <v>9845</v>
      </c>
      <c r="O403">
        <v>14709</v>
      </c>
      <c r="P403">
        <v>10099</v>
      </c>
      <c r="Q403">
        <v>11078</v>
      </c>
      <c r="R403">
        <v>15299</v>
      </c>
      <c r="S403">
        <v>11171</v>
      </c>
      <c r="T403">
        <v>7319</v>
      </c>
      <c r="U403">
        <v>11645</v>
      </c>
      <c r="V403">
        <v>23250</v>
      </c>
      <c r="AA403" t="s">
        <v>4178</v>
      </c>
      <c r="AC403">
        <v>9599</v>
      </c>
      <c r="AE403">
        <v>10896</v>
      </c>
      <c r="AG403" t="s">
        <v>4179</v>
      </c>
      <c r="AI403">
        <v>7180</v>
      </c>
      <c r="AP403" t="s">
        <v>4180</v>
      </c>
      <c r="AR403">
        <v>14534</v>
      </c>
      <c r="AT403">
        <v>15159</v>
      </c>
      <c r="AV403" t="s">
        <v>4181</v>
      </c>
      <c r="AX403">
        <v>11616</v>
      </c>
      <c r="BB403" t="s">
        <v>4182</v>
      </c>
      <c r="BD403">
        <v>9859</v>
      </c>
      <c r="BF403">
        <v>10847</v>
      </c>
      <c r="BH403" t="s">
        <v>4183</v>
      </c>
      <c r="BJ403">
        <v>21557</v>
      </c>
    </row>
    <row r="404" spans="1:62">
      <c r="A404">
        <f t="shared" si="73"/>
        <v>9.865</v>
      </c>
      <c r="B404">
        <f t="shared" si="74"/>
        <v>14.723</v>
      </c>
      <c r="C404">
        <f t="shared" si="75"/>
        <v>10.194</v>
      </c>
      <c r="D404">
        <f t="shared" si="76"/>
        <v>11.103</v>
      </c>
      <c r="E404">
        <f t="shared" si="77"/>
        <v>15.311</v>
      </c>
      <c r="F404">
        <f t="shared" si="78"/>
        <v>11.207</v>
      </c>
      <c r="G404">
        <f t="shared" si="79"/>
        <v>7.32</v>
      </c>
      <c r="H404">
        <f t="shared" si="80"/>
        <v>11.684</v>
      </c>
      <c r="I404">
        <f t="shared" si="81"/>
        <v>23.303</v>
      </c>
      <c r="J404">
        <f t="shared" si="82"/>
        <v>0</v>
      </c>
      <c r="K404">
        <f t="shared" si="83"/>
        <v>0</v>
      </c>
      <c r="L404">
        <f t="shared" si="84"/>
        <v>0</v>
      </c>
      <c r="N404">
        <v>9865</v>
      </c>
      <c r="O404">
        <v>14723</v>
      </c>
      <c r="P404">
        <v>10194</v>
      </c>
      <c r="Q404">
        <v>11103</v>
      </c>
      <c r="R404">
        <v>15311</v>
      </c>
      <c r="S404">
        <v>11207</v>
      </c>
      <c r="T404">
        <v>7320</v>
      </c>
      <c r="U404">
        <v>11684</v>
      </c>
      <c r="V404">
        <v>23303</v>
      </c>
      <c r="AA404" t="s">
        <v>4184</v>
      </c>
      <c r="AC404">
        <v>9603</v>
      </c>
      <c r="AE404">
        <v>10943</v>
      </c>
      <c r="AG404" t="s">
        <v>4185</v>
      </c>
      <c r="AI404">
        <v>7212</v>
      </c>
      <c r="AP404" t="s">
        <v>4186</v>
      </c>
      <c r="AR404">
        <v>14549</v>
      </c>
      <c r="AT404">
        <v>15196</v>
      </c>
      <c r="AV404" t="s">
        <v>4187</v>
      </c>
      <c r="AX404">
        <v>11628</v>
      </c>
      <c r="BB404" t="s">
        <v>4188</v>
      </c>
      <c r="BD404">
        <v>9882</v>
      </c>
      <c r="BF404">
        <v>10862</v>
      </c>
      <c r="BH404" t="s">
        <v>4189</v>
      </c>
      <c r="BJ404">
        <v>21603</v>
      </c>
    </row>
    <row r="405" spans="1:62">
      <c r="A405">
        <f t="shared" si="73"/>
        <v>9.93</v>
      </c>
      <c r="B405">
        <f t="shared" si="74"/>
        <v>14.754</v>
      </c>
      <c r="C405">
        <f t="shared" si="75"/>
        <v>10.228</v>
      </c>
      <c r="D405">
        <f t="shared" si="76"/>
        <v>11.126</v>
      </c>
      <c r="E405">
        <f t="shared" si="77"/>
        <v>15.317</v>
      </c>
      <c r="F405">
        <f t="shared" si="78"/>
        <v>11.209</v>
      </c>
      <c r="G405">
        <f t="shared" si="79"/>
        <v>7.321</v>
      </c>
      <c r="H405">
        <f t="shared" si="80"/>
        <v>11.735</v>
      </c>
      <c r="I405">
        <f t="shared" si="81"/>
        <v>23.402</v>
      </c>
      <c r="J405">
        <f t="shared" si="82"/>
        <v>0</v>
      </c>
      <c r="K405">
        <f t="shared" si="83"/>
        <v>0</v>
      </c>
      <c r="L405">
        <f t="shared" si="84"/>
        <v>0</v>
      </c>
      <c r="N405">
        <v>9930</v>
      </c>
      <c r="O405">
        <v>14754</v>
      </c>
      <c r="P405">
        <v>10228</v>
      </c>
      <c r="Q405">
        <v>11126</v>
      </c>
      <c r="R405">
        <v>15317</v>
      </c>
      <c r="S405">
        <v>11209</v>
      </c>
      <c r="T405">
        <v>7321</v>
      </c>
      <c r="U405">
        <v>11735</v>
      </c>
      <c r="V405">
        <v>23402</v>
      </c>
      <c r="AA405" t="s">
        <v>4190</v>
      </c>
      <c r="AC405">
        <v>9619</v>
      </c>
      <c r="AE405">
        <v>10944</v>
      </c>
      <c r="AG405" t="s">
        <v>4191</v>
      </c>
      <c r="AI405">
        <v>7220</v>
      </c>
      <c r="AP405" t="s">
        <v>4192</v>
      </c>
      <c r="AR405">
        <v>14554</v>
      </c>
      <c r="AT405">
        <v>15202</v>
      </c>
      <c r="AV405" t="s">
        <v>4193</v>
      </c>
      <c r="AX405">
        <v>11629</v>
      </c>
      <c r="BB405" t="s">
        <v>4194</v>
      </c>
      <c r="BD405">
        <v>9888</v>
      </c>
      <c r="BF405">
        <v>10889</v>
      </c>
      <c r="BH405" t="s">
        <v>4195</v>
      </c>
      <c r="BJ405">
        <v>21952</v>
      </c>
    </row>
    <row r="406" spans="1:62">
      <c r="A406">
        <f t="shared" si="73"/>
        <v>9.941</v>
      </c>
      <c r="B406">
        <f t="shared" si="74"/>
        <v>14.794</v>
      </c>
      <c r="C406">
        <f t="shared" si="75"/>
        <v>10.258</v>
      </c>
      <c r="D406">
        <f t="shared" si="76"/>
        <v>11.2</v>
      </c>
      <c r="E406">
        <f t="shared" si="77"/>
        <v>15.32</v>
      </c>
      <c r="F406">
        <f t="shared" si="78"/>
        <v>11.285</v>
      </c>
      <c r="G406">
        <f t="shared" si="79"/>
        <v>7.331</v>
      </c>
      <c r="H406">
        <f t="shared" si="80"/>
        <v>11.747</v>
      </c>
      <c r="I406">
        <f t="shared" si="81"/>
        <v>23.495</v>
      </c>
      <c r="J406">
        <f t="shared" si="82"/>
        <v>0</v>
      </c>
      <c r="K406">
        <f t="shared" si="83"/>
        <v>0</v>
      </c>
      <c r="L406">
        <f t="shared" si="84"/>
        <v>0</v>
      </c>
      <c r="N406">
        <v>9941</v>
      </c>
      <c r="O406">
        <v>14794</v>
      </c>
      <c r="P406">
        <v>10258</v>
      </c>
      <c r="Q406">
        <v>11200</v>
      </c>
      <c r="R406">
        <v>15320</v>
      </c>
      <c r="S406">
        <v>11285</v>
      </c>
      <c r="T406">
        <v>7331</v>
      </c>
      <c r="U406">
        <v>11747</v>
      </c>
      <c r="V406">
        <v>23495</v>
      </c>
      <c r="AA406" t="s">
        <v>4196</v>
      </c>
      <c r="AC406">
        <v>9684</v>
      </c>
      <c r="AE406">
        <v>10955</v>
      </c>
      <c r="AG406" t="s">
        <v>4197</v>
      </c>
      <c r="AI406">
        <v>7245</v>
      </c>
      <c r="AP406" t="s">
        <v>4198</v>
      </c>
      <c r="AR406">
        <v>14574</v>
      </c>
      <c r="AT406">
        <v>15217</v>
      </c>
      <c r="AV406" t="s">
        <v>4199</v>
      </c>
      <c r="AX406">
        <v>11631</v>
      </c>
      <c r="BB406" t="s">
        <v>4200</v>
      </c>
      <c r="BD406">
        <v>9914</v>
      </c>
      <c r="BF406">
        <v>10949</v>
      </c>
      <c r="BH406" t="s">
        <v>4201</v>
      </c>
      <c r="BJ406">
        <v>22110</v>
      </c>
    </row>
    <row r="407" spans="1:62">
      <c r="A407">
        <f t="shared" si="73"/>
        <v>10.047</v>
      </c>
      <c r="B407">
        <f t="shared" si="74"/>
        <v>14.794</v>
      </c>
      <c r="C407">
        <f t="shared" si="75"/>
        <v>10.407</v>
      </c>
      <c r="D407">
        <f t="shared" si="76"/>
        <v>11.268</v>
      </c>
      <c r="E407">
        <f t="shared" si="77"/>
        <v>15.342</v>
      </c>
      <c r="F407">
        <f t="shared" si="78"/>
        <v>11.384</v>
      </c>
      <c r="G407">
        <f t="shared" si="79"/>
        <v>7.361</v>
      </c>
      <c r="H407">
        <f t="shared" si="80"/>
        <v>11.767</v>
      </c>
      <c r="I407">
        <f t="shared" si="81"/>
        <v>23.754</v>
      </c>
      <c r="J407">
        <f t="shared" si="82"/>
        <v>0</v>
      </c>
      <c r="K407">
        <f t="shared" si="83"/>
        <v>0</v>
      </c>
      <c r="L407">
        <f t="shared" si="84"/>
        <v>0</v>
      </c>
      <c r="N407">
        <v>10047</v>
      </c>
      <c r="O407">
        <v>14794</v>
      </c>
      <c r="P407">
        <v>10407</v>
      </c>
      <c r="Q407">
        <v>11268</v>
      </c>
      <c r="R407">
        <v>15342</v>
      </c>
      <c r="S407">
        <v>11384</v>
      </c>
      <c r="T407">
        <v>7361</v>
      </c>
      <c r="U407">
        <v>11767</v>
      </c>
      <c r="V407">
        <v>23754</v>
      </c>
      <c r="AA407" t="s">
        <v>4202</v>
      </c>
      <c r="AC407">
        <v>9685</v>
      </c>
      <c r="AE407">
        <v>10974</v>
      </c>
      <c r="AG407" t="s">
        <v>4203</v>
      </c>
      <c r="AI407">
        <v>7270</v>
      </c>
      <c r="AP407" t="s">
        <v>4204</v>
      </c>
      <c r="AR407">
        <v>14611</v>
      </c>
      <c r="AT407">
        <v>15234</v>
      </c>
      <c r="AV407" t="s">
        <v>4205</v>
      </c>
      <c r="AX407">
        <v>11642</v>
      </c>
      <c r="BB407" t="s">
        <v>4206</v>
      </c>
      <c r="BD407">
        <v>9951</v>
      </c>
      <c r="BF407">
        <v>10971</v>
      </c>
      <c r="BH407" t="s">
        <v>4207</v>
      </c>
      <c r="BJ407">
        <v>22290</v>
      </c>
    </row>
    <row r="408" spans="1:62">
      <c r="A408">
        <f t="shared" si="73"/>
        <v>10.061</v>
      </c>
      <c r="B408">
        <f t="shared" si="74"/>
        <v>14.799</v>
      </c>
      <c r="C408">
        <f t="shared" si="75"/>
        <v>10.453</v>
      </c>
      <c r="D408">
        <f t="shared" si="76"/>
        <v>11.279</v>
      </c>
      <c r="E408">
        <f t="shared" si="77"/>
        <v>15.357</v>
      </c>
      <c r="F408">
        <f t="shared" si="78"/>
        <v>11.399</v>
      </c>
      <c r="G408">
        <f t="shared" si="79"/>
        <v>7.371</v>
      </c>
      <c r="H408">
        <f t="shared" si="80"/>
        <v>11.78</v>
      </c>
      <c r="I408">
        <f t="shared" si="81"/>
        <v>24.641</v>
      </c>
      <c r="J408">
        <f t="shared" si="82"/>
        <v>0</v>
      </c>
      <c r="K408">
        <f t="shared" si="83"/>
        <v>0</v>
      </c>
      <c r="L408">
        <f t="shared" si="84"/>
        <v>0</v>
      </c>
      <c r="N408">
        <v>10061</v>
      </c>
      <c r="O408">
        <v>14799</v>
      </c>
      <c r="P408">
        <v>10453</v>
      </c>
      <c r="Q408">
        <v>11279</v>
      </c>
      <c r="R408">
        <v>15357</v>
      </c>
      <c r="S408">
        <v>11399</v>
      </c>
      <c r="T408">
        <v>7371</v>
      </c>
      <c r="U408">
        <v>11780</v>
      </c>
      <c r="V408">
        <v>24641</v>
      </c>
      <c r="AA408" t="s">
        <v>4208</v>
      </c>
      <c r="AC408">
        <v>9718</v>
      </c>
      <c r="AE408">
        <v>10983</v>
      </c>
      <c r="AG408" t="s">
        <v>4209</v>
      </c>
      <c r="AI408">
        <v>7302</v>
      </c>
      <c r="AP408" t="s">
        <v>4210</v>
      </c>
      <c r="AR408">
        <v>14666</v>
      </c>
      <c r="AT408">
        <v>15281</v>
      </c>
      <c r="AV408" t="s">
        <v>4211</v>
      </c>
      <c r="AX408">
        <v>11642</v>
      </c>
      <c r="BB408" t="s">
        <v>4212</v>
      </c>
      <c r="BD408">
        <v>9952</v>
      </c>
      <c r="BF408">
        <v>10991</v>
      </c>
      <c r="BH408" t="s">
        <v>4213</v>
      </c>
      <c r="BJ408">
        <v>22999</v>
      </c>
    </row>
    <row r="409" spans="1:62">
      <c r="A409">
        <f t="shared" si="73"/>
        <v>10.101</v>
      </c>
      <c r="B409">
        <f t="shared" si="74"/>
        <v>14.915</v>
      </c>
      <c r="C409">
        <f t="shared" si="75"/>
        <v>10.458</v>
      </c>
      <c r="D409">
        <f t="shared" si="76"/>
        <v>11.282</v>
      </c>
      <c r="E409">
        <f t="shared" si="77"/>
        <v>15.366</v>
      </c>
      <c r="F409">
        <f t="shared" si="78"/>
        <v>11.429</v>
      </c>
      <c r="G409">
        <f t="shared" si="79"/>
        <v>7.389</v>
      </c>
      <c r="H409">
        <f t="shared" si="80"/>
        <v>11.789</v>
      </c>
      <c r="I409">
        <f t="shared" si="81"/>
        <v>25.233</v>
      </c>
      <c r="J409">
        <f t="shared" si="82"/>
        <v>0</v>
      </c>
      <c r="K409">
        <f t="shared" si="83"/>
        <v>0</v>
      </c>
      <c r="L409">
        <f t="shared" si="84"/>
        <v>0</v>
      </c>
      <c r="N409">
        <v>10101</v>
      </c>
      <c r="O409">
        <v>14915</v>
      </c>
      <c r="P409">
        <v>10458</v>
      </c>
      <c r="Q409">
        <v>11282</v>
      </c>
      <c r="R409">
        <v>15366</v>
      </c>
      <c r="S409">
        <v>11429</v>
      </c>
      <c r="T409">
        <v>7389</v>
      </c>
      <c r="U409">
        <v>11789</v>
      </c>
      <c r="V409">
        <v>25233</v>
      </c>
      <c r="AA409" t="s">
        <v>4214</v>
      </c>
      <c r="AC409">
        <v>9744</v>
      </c>
      <c r="AE409">
        <v>10990</v>
      </c>
      <c r="AG409" t="s">
        <v>4215</v>
      </c>
      <c r="AI409">
        <v>7303</v>
      </c>
      <c r="AP409" t="s">
        <v>4216</v>
      </c>
      <c r="AR409">
        <v>14694</v>
      </c>
      <c r="AT409">
        <v>15286</v>
      </c>
      <c r="AV409" t="s">
        <v>4217</v>
      </c>
      <c r="AX409">
        <v>11643</v>
      </c>
      <c r="BB409" t="s">
        <v>4218</v>
      </c>
      <c r="BD409">
        <v>9999</v>
      </c>
      <c r="BF409">
        <v>11018</v>
      </c>
      <c r="BH409" t="s">
        <v>4219</v>
      </c>
      <c r="BJ409">
        <v>23015</v>
      </c>
    </row>
    <row r="410" spans="1:62">
      <c r="A410">
        <f t="shared" si="73"/>
        <v>10.116</v>
      </c>
      <c r="B410">
        <f t="shared" si="74"/>
        <v>14.942</v>
      </c>
      <c r="C410">
        <f t="shared" si="75"/>
        <v>10.464</v>
      </c>
      <c r="D410">
        <f t="shared" si="76"/>
        <v>11.286</v>
      </c>
      <c r="E410">
        <f t="shared" si="77"/>
        <v>15.378</v>
      </c>
      <c r="F410">
        <f t="shared" si="78"/>
        <v>11.435</v>
      </c>
      <c r="G410">
        <f t="shared" si="79"/>
        <v>7.416</v>
      </c>
      <c r="H410">
        <f t="shared" si="80"/>
        <v>11.792</v>
      </c>
      <c r="I410">
        <f t="shared" si="81"/>
        <v>25.296</v>
      </c>
      <c r="J410">
        <f t="shared" si="82"/>
        <v>0</v>
      </c>
      <c r="K410">
        <f t="shared" si="83"/>
        <v>0</v>
      </c>
      <c r="L410">
        <f t="shared" si="84"/>
        <v>0</v>
      </c>
      <c r="N410">
        <v>10116</v>
      </c>
      <c r="O410">
        <v>14942</v>
      </c>
      <c r="P410">
        <v>10464</v>
      </c>
      <c r="Q410">
        <v>11286</v>
      </c>
      <c r="R410">
        <v>15378</v>
      </c>
      <c r="S410">
        <v>11435</v>
      </c>
      <c r="T410">
        <v>7416</v>
      </c>
      <c r="U410">
        <v>11792</v>
      </c>
      <c r="V410">
        <v>25296</v>
      </c>
      <c r="AA410" t="s">
        <v>4220</v>
      </c>
      <c r="AC410">
        <v>9753</v>
      </c>
      <c r="AE410">
        <v>11015</v>
      </c>
      <c r="AG410" t="s">
        <v>4221</v>
      </c>
      <c r="AI410">
        <v>7305</v>
      </c>
      <c r="AP410" t="s">
        <v>4222</v>
      </c>
      <c r="AR410">
        <v>14709</v>
      </c>
      <c r="AT410">
        <v>15299</v>
      </c>
      <c r="AV410" t="s">
        <v>4223</v>
      </c>
      <c r="AX410">
        <v>11645</v>
      </c>
      <c r="BB410" t="s">
        <v>4224</v>
      </c>
      <c r="BD410">
        <v>10037</v>
      </c>
      <c r="BF410">
        <v>11139</v>
      </c>
      <c r="BH410" t="s">
        <v>4225</v>
      </c>
      <c r="BJ410">
        <v>23193</v>
      </c>
    </row>
    <row r="411" spans="1:62">
      <c r="A411">
        <f t="shared" si="73"/>
        <v>10.159</v>
      </c>
      <c r="B411">
        <f t="shared" si="74"/>
        <v>14.944</v>
      </c>
      <c r="C411">
        <f t="shared" si="75"/>
        <v>10.489</v>
      </c>
      <c r="D411">
        <f t="shared" si="76"/>
        <v>11.32</v>
      </c>
      <c r="E411">
        <f t="shared" si="77"/>
        <v>15.391</v>
      </c>
      <c r="F411">
        <f t="shared" si="78"/>
        <v>11.49</v>
      </c>
      <c r="G411">
        <f t="shared" si="79"/>
        <v>7.42</v>
      </c>
      <c r="H411">
        <f t="shared" si="80"/>
        <v>11.802</v>
      </c>
      <c r="I411">
        <f t="shared" si="81"/>
        <v>25.315</v>
      </c>
      <c r="J411">
        <f t="shared" si="82"/>
        <v>0</v>
      </c>
      <c r="K411">
        <f t="shared" si="83"/>
        <v>0</v>
      </c>
      <c r="L411">
        <f t="shared" si="84"/>
        <v>0</v>
      </c>
      <c r="N411">
        <v>10159</v>
      </c>
      <c r="O411">
        <v>14944</v>
      </c>
      <c r="P411">
        <v>10489</v>
      </c>
      <c r="Q411">
        <v>11320</v>
      </c>
      <c r="R411">
        <v>15391</v>
      </c>
      <c r="S411">
        <v>11490</v>
      </c>
      <c r="T411">
        <v>7420</v>
      </c>
      <c r="U411">
        <v>11802</v>
      </c>
      <c r="V411">
        <v>25315</v>
      </c>
      <c r="AA411" t="s">
        <v>4226</v>
      </c>
      <c r="AC411">
        <v>9845</v>
      </c>
      <c r="AE411">
        <v>11078</v>
      </c>
      <c r="AG411" t="s">
        <v>4227</v>
      </c>
      <c r="AI411">
        <v>7319</v>
      </c>
      <c r="AP411" t="s">
        <v>4228</v>
      </c>
      <c r="AR411">
        <v>14723</v>
      </c>
      <c r="AT411">
        <v>15311</v>
      </c>
      <c r="AV411" t="s">
        <v>4229</v>
      </c>
      <c r="AX411">
        <v>11684</v>
      </c>
      <c r="BB411" t="s">
        <v>4230</v>
      </c>
      <c r="BD411">
        <v>10099</v>
      </c>
      <c r="BF411">
        <v>11171</v>
      </c>
      <c r="BH411" t="s">
        <v>4231</v>
      </c>
      <c r="BJ411">
        <v>23250</v>
      </c>
    </row>
    <row r="412" spans="1:62">
      <c r="A412">
        <f t="shared" si="73"/>
        <v>10.174</v>
      </c>
      <c r="B412">
        <f t="shared" si="74"/>
        <v>14.975</v>
      </c>
      <c r="C412">
        <f t="shared" si="75"/>
        <v>10.528</v>
      </c>
      <c r="D412">
        <f t="shared" si="76"/>
        <v>11.328</v>
      </c>
      <c r="E412">
        <f t="shared" si="77"/>
        <v>15.409</v>
      </c>
      <c r="F412">
        <f t="shared" si="78"/>
        <v>11.511</v>
      </c>
      <c r="G412">
        <f t="shared" si="79"/>
        <v>7.428</v>
      </c>
      <c r="H412">
        <f t="shared" si="80"/>
        <v>11.802</v>
      </c>
      <c r="I412">
        <f t="shared" si="81"/>
        <v>25.348</v>
      </c>
      <c r="J412">
        <f t="shared" si="82"/>
        <v>0</v>
      </c>
      <c r="K412">
        <f t="shared" si="83"/>
        <v>0</v>
      </c>
      <c r="L412">
        <f t="shared" si="84"/>
        <v>0</v>
      </c>
      <c r="N412">
        <v>10174</v>
      </c>
      <c r="O412">
        <v>14975</v>
      </c>
      <c r="P412">
        <v>10528</v>
      </c>
      <c r="Q412">
        <v>11328</v>
      </c>
      <c r="R412">
        <v>15409</v>
      </c>
      <c r="S412">
        <v>11511</v>
      </c>
      <c r="T412">
        <v>7428</v>
      </c>
      <c r="U412">
        <v>11802</v>
      </c>
      <c r="V412">
        <v>25348</v>
      </c>
      <c r="AA412" t="s">
        <v>4232</v>
      </c>
      <c r="AC412">
        <v>9865</v>
      </c>
      <c r="AE412">
        <v>11103</v>
      </c>
      <c r="AG412" t="s">
        <v>4233</v>
      </c>
      <c r="AI412">
        <v>7320</v>
      </c>
      <c r="AP412" t="s">
        <v>4234</v>
      </c>
      <c r="AR412">
        <v>14754</v>
      </c>
      <c r="AT412">
        <v>15317</v>
      </c>
      <c r="AV412" t="s">
        <v>4235</v>
      </c>
      <c r="AX412">
        <v>11735</v>
      </c>
      <c r="BB412" t="s">
        <v>4236</v>
      </c>
      <c r="BD412">
        <v>10194</v>
      </c>
      <c r="BF412">
        <v>11207</v>
      </c>
      <c r="BH412" t="s">
        <v>4237</v>
      </c>
      <c r="BJ412">
        <v>23303</v>
      </c>
    </row>
    <row r="413" spans="1:62">
      <c r="A413">
        <f t="shared" si="73"/>
        <v>10.22</v>
      </c>
      <c r="B413">
        <f t="shared" si="74"/>
        <v>14.981</v>
      </c>
      <c r="C413">
        <f t="shared" si="75"/>
        <v>10.597</v>
      </c>
      <c r="D413">
        <f t="shared" si="76"/>
        <v>11.393</v>
      </c>
      <c r="E413">
        <f t="shared" si="77"/>
        <v>15.422</v>
      </c>
      <c r="F413">
        <f t="shared" si="78"/>
        <v>11.529</v>
      </c>
      <c r="G413">
        <f t="shared" si="79"/>
        <v>7.438</v>
      </c>
      <c r="H413">
        <f t="shared" si="80"/>
        <v>11.807</v>
      </c>
      <c r="I413">
        <f t="shared" si="81"/>
        <v>25.535</v>
      </c>
      <c r="J413">
        <f t="shared" si="82"/>
        <v>0</v>
      </c>
      <c r="K413">
        <f t="shared" si="83"/>
        <v>0</v>
      </c>
      <c r="L413">
        <f t="shared" si="84"/>
        <v>0</v>
      </c>
      <c r="N413">
        <v>10220</v>
      </c>
      <c r="O413">
        <v>14981</v>
      </c>
      <c r="P413">
        <v>10597</v>
      </c>
      <c r="Q413">
        <v>11393</v>
      </c>
      <c r="R413">
        <v>15422</v>
      </c>
      <c r="S413">
        <v>11529</v>
      </c>
      <c r="T413">
        <v>7438</v>
      </c>
      <c r="U413">
        <v>11807</v>
      </c>
      <c r="V413">
        <v>25535</v>
      </c>
      <c r="AA413" t="s">
        <v>4238</v>
      </c>
      <c r="AC413">
        <v>9930</v>
      </c>
      <c r="AE413">
        <v>11126</v>
      </c>
      <c r="AG413" t="s">
        <v>4239</v>
      </c>
      <c r="AI413">
        <v>7321</v>
      </c>
      <c r="AP413" t="s">
        <v>4240</v>
      </c>
      <c r="AR413">
        <v>14794</v>
      </c>
      <c r="AT413">
        <v>15320</v>
      </c>
      <c r="AV413" t="s">
        <v>4241</v>
      </c>
      <c r="AX413">
        <v>11747</v>
      </c>
      <c r="BB413" t="s">
        <v>4242</v>
      </c>
      <c r="BD413">
        <v>10228</v>
      </c>
      <c r="BF413">
        <v>11209</v>
      </c>
      <c r="BH413" t="s">
        <v>4243</v>
      </c>
      <c r="BJ413">
        <v>23402</v>
      </c>
    </row>
    <row r="414" spans="1:62">
      <c r="A414">
        <f t="shared" si="73"/>
        <v>10.235</v>
      </c>
      <c r="B414">
        <f t="shared" si="74"/>
        <v>14.983</v>
      </c>
      <c r="C414">
        <f t="shared" si="75"/>
        <v>10.598</v>
      </c>
      <c r="D414">
        <f t="shared" si="76"/>
        <v>11.434</v>
      </c>
      <c r="E414">
        <f t="shared" si="77"/>
        <v>15.439</v>
      </c>
      <c r="F414">
        <f t="shared" si="78"/>
        <v>11.578</v>
      </c>
      <c r="G414">
        <f t="shared" si="79"/>
        <v>7.448</v>
      </c>
      <c r="H414">
        <f t="shared" si="80"/>
        <v>11.822</v>
      </c>
      <c r="I414">
        <f t="shared" si="81"/>
        <v>25.842</v>
      </c>
      <c r="J414">
        <f t="shared" si="82"/>
        <v>0</v>
      </c>
      <c r="K414">
        <f t="shared" si="83"/>
        <v>0</v>
      </c>
      <c r="L414">
        <f t="shared" si="84"/>
        <v>0</v>
      </c>
      <c r="N414">
        <v>10235</v>
      </c>
      <c r="O414">
        <v>14983</v>
      </c>
      <c r="P414">
        <v>10598</v>
      </c>
      <c r="Q414">
        <v>11434</v>
      </c>
      <c r="R414">
        <v>15439</v>
      </c>
      <c r="S414">
        <v>11578</v>
      </c>
      <c r="T414">
        <v>7448</v>
      </c>
      <c r="U414">
        <v>11822</v>
      </c>
      <c r="V414">
        <v>25842</v>
      </c>
      <c r="AA414" t="s">
        <v>4244</v>
      </c>
      <c r="AC414">
        <v>9941</v>
      </c>
      <c r="AE414">
        <v>11200</v>
      </c>
      <c r="AG414" t="s">
        <v>4245</v>
      </c>
      <c r="AI414">
        <v>7331</v>
      </c>
      <c r="AP414" t="s">
        <v>4246</v>
      </c>
      <c r="AR414">
        <v>14794</v>
      </c>
      <c r="AT414">
        <v>15342</v>
      </c>
      <c r="AV414" t="s">
        <v>4247</v>
      </c>
      <c r="AX414">
        <v>11767</v>
      </c>
      <c r="BB414" t="s">
        <v>4248</v>
      </c>
      <c r="BD414">
        <v>10258</v>
      </c>
      <c r="BF414">
        <v>11285</v>
      </c>
      <c r="BH414" t="s">
        <v>4249</v>
      </c>
      <c r="BJ414">
        <v>23495</v>
      </c>
    </row>
    <row r="415" spans="1:62">
      <c r="A415">
        <f t="shared" si="73"/>
        <v>10.266</v>
      </c>
      <c r="B415">
        <f t="shared" si="74"/>
        <v>15.004</v>
      </c>
      <c r="C415">
        <f t="shared" si="75"/>
        <v>10.641</v>
      </c>
      <c r="D415">
        <f t="shared" si="76"/>
        <v>11.457</v>
      </c>
      <c r="E415">
        <f t="shared" si="77"/>
        <v>15.548</v>
      </c>
      <c r="F415">
        <f t="shared" si="78"/>
        <v>11.692</v>
      </c>
      <c r="G415">
        <f t="shared" si="79"/>
        <v>7.478</v>
      </c>
      <c r="H415">
        <f t="shared" si="80"/>
        <v>11.831</v>
      </c>
      <c r="I415">
        <f t="shared" si="81"/>
        <v>26.291</v>
      </c>
      <c r="J415">
        <f t="shared" si="82"/>
        <v>0</v>
      </c>
      <c r="K415">
        <f t="shared" si="83"/>
        <v>0</v>
      </c>
      <c r="L415">
        <f t="shared" si="84"/>
        <v>0</v>
      </c>
      <c r="N415">
        <v>10266</v>
      </c>
      <c r="O415">
        <v>15004</v>
      </c>
      <c r="P415">
        <v>10641</v>
      </c>
      <c r="Q415">
        <v>11457</v>
      </c>
      <c r="R415">
        <v>15548</v>
      </c>
      <c r="S415">
        <v>11692</v>
      </c>
      <c r="T415">
        <v>7478</v>
      </c>
      <c r="U415">
        <v>11831</v>
      </c>
      <c r="V415">
        <v>26291</v>
      </c>
      <c r="AA415" t="s">
        <v>4250</v>
      </c>
      <c r="AC415">
        <v>10047</v>
      </c>
      <c r="AE415">
        <v>11268</v>
      </c>
      <c r="AG415" t="s">
        <v>4251</v>
      </c>
      <c r="AI415">
        <v>7361</v>
      </c>
      <c r="AP415" t="s">
        <v>4252</v>
      </c>
      <c r="AR415">
        <v>14799</v>
      </c>
      <c r="AT415">
        <v>15357</v>
      </c>
      <c r="AV415" t="s">
        <v>4253</v>
      </c>
      <c r="AX415">
        <v>11780</v>
      </c>
      <c r="BB415" t="s">
        <v>4254</v>
      </c>
      <c r="BD415">
        <v>10407</v>
      </c>
      <c r="BF415">
        <v>11384</v>
      </c>
      <c r="BH415" t="s">
        <v>4255</v>
      </c>
      <c r="BJ415">
        <v>23754</v>
      </c>
    </row>
    <row r="416" spans="1:62">
      <c r="A416">
        <f t="shared" si="73"/>
        <v>10.288</v>
      </c>
      <c r="B416">
        <f t="shared" si="74"/>
        <v>15.024</v>
      </c>
      <c r="C416">
        <f t="shared" si="75"/>
        <v>10.671</v>
      </c>
      <c r="D416">
        <f t="shared" si="76"/>
        <v>11.465</v>
      </c>
      <c r="E416">
        <f t="shared" si="77"/>
        <v>15.553</v>
      </c>
      <c r="F416">
        <f t="shared" si="78"/>
        <v>11.707</v>
      </c>
      <c r="G416">
        <f t="shared" si="79"/>
        <v>7.508</v>
      </c>
      <c r="H416">
        <f t="shared" si="80"/>
        <v>11.835</v>
      </c>
      <c r="I416">
        <f t="shared" si="81"/>
        <v>26.61</v>
      </c>
      <c r="J416">
        <f t="shared" si="82"/>
        <v>0</v>
      </c>
      <c r="K416">
        <f t="shared" si="83"/>
        <v>0</v>
      </c>
      <c r="L416">
        <f t="shared" si="84"/>
        <v>0</v>
      </c>
      <c r="N416">
        <v>10288</v>
      </c>
      <c r="O416">
        <v>15024</v>
      </c>
      <c r="P416">
        <v>10671</v>
      </c>
      <c r="Q416">
        <v>11465</v>
      </c>
      <c r="R416">
        <v>15553</v>
      </c>
      <c r="S416">
        <v>11707</v>
      </c>
      <c r="T416">
        <v>7508</v>
      </c>
      <c r="U416">
        <v>11835</v>
      </c>
      <c r="V416">
        <v>26610</v>
      </c>
      <c r="AA416" t="s">
        <v>4256</v>
      </c>
      <c r="AC416">
        <v>10061</v>
      </c>
      <c r="AE416">
        <v>11279</v>
      </c>
      <c r="AG416" t="s">
        <v>4257</v>
      </c>
      <c r="AI416">
        <v>7371</v>
      </c>
      <c r="AP416" t="s">
        <v>4258</v>
      </c>
      <c r="AR416">
        <v>14915</v>
      </c>
      <c r="AT416">
        <v>15366</v>
      </c>
      <c r="AV416" t="s">
        <v>4259</v>
      </c>
      <c r="AX416">
        <v>11789</v>
      </c>
      <c r="BB416" t="s">
        <v>4260</v>
      </c>
      <c r="BD416">
        <v>10453</v>
      </c>
      <c r="BF416">
        <v>11399</v>
      </c>
      <c r="BH416" t="s">
        <v>4261</v>
      </c>
      <c r="BJ416">
        <v>24641</v>
      </c>
    </row>
    <row r="417" spans="1:62">
      <c r="A417">
        <f t="shared" si="73"/>
        <v>10.388</v>
      </c>
      <c r="B417">
        <f t="shared" si="74"/>
        <v>15.046</v>
      </c>
      <c r="C417">
        <f t="shared" si="75"/>
        <v>10.677</v>
      </c>
      <c r="D417">
        <f t="shared" si="76"/>
        <v>11.466</v>
      </c>
      <c r="E417">
        <f t="shared" si="77"/>
        <v>15.603</v>
      </c>
      <c r="F417">
        <f t="shared" si="78"/>
        <v>11.738</v>
      </c>
      <c r="G417">
        <f t="shared" si="79"/>
        <v>7.52</v>
      </c>
      <c r="H417">
        <f t="shared" si="80"/>
        <v>11.845</v>
      </c>
      <c r="I417">
        <f t="shared" si="81"/>
        <v>26.661</v>
      </c>
      <c r="J417">
        <f t="shared" si="82"/>
        <v>0</v>
      </c>
      <c r="K417">
        <f t="shared" si="83"/>
        <v>0</v>
      </c>
      <c r="L417">
        <f t="shared" si="84"/>
        <v>0</v>
      </c>
      <c r="N417">
        <v>10388</v>
      </c>
      <c r="O417">
        <v>15046</v>
      </c>
      <c r="P417">
        <v>10677</v>
      </c>
      <c r="Q417">
        <v>11466</v>
      </c>
      <c r="R417">
        <v>15603</v>
      </c>
      <c r="S417">
        <v>11738</v>
      </c>
      <c r="T417">
        <v>7520</v>
      </c>
      <c r="U417">
        <v>11845</v>
      </c>
      <c r="V417">
        <v>26661</v>
      </c>
      <c r="AA417" t="s">
        <v>4262</v>
      </c>
      <c r="AC417">
        <v>10101</v>
      </c>
      <c r="AE417">
        <v>11282</v>
      </c>
      <c r="AG417" t="s">
        <v>4263</v>
      </c>
      <c r="AI417">
        <v>7389</v>
      </c>
      <c r="AP417" t="s">
        <v>4264</v>
      </c>
      <c r="AR417">
        <v>14942</v>
      </c>
      <c r="AT417">
        <v>15378</v>
      </c>
      <c r="AV417" t="s">
        <v>4265</v>
      </c>
      <c r="AX417">
        <v>11792</v>
      </c>
      <c r="BB417" t="s">
        <v>4266</v>
      </c>
      <c r="BD417">
        <v>10458</v>
      </c>
      <c r="BF417">
        <v>11429</v>
      </c>
      <c r="BH417" t="s">
        <v>4267</v>
      </c>
      <c r="BJ417">
        <v>25233</v>
      </c>
    </row>
    <row r="418" spans="1:62">
      <c r="A418">
        <f t="shared" si="73"/>
        <v>10.399</v>
      </c>
      <c r="B418">
        <f t="shared" si="74"/>
        <v>15.087</v>
      </c>
      <c r="C418">
        <f t="shared" si="75"/>
        <v>10.757</v>
      </c>
      <c r="D418">
        <f t="shared" si="76"/>
        <v>11.519</v>
      </c>
      <c r="E418">
        <f t="shared" si="77"/>
        <v>15.742</v>
      </c>
      <c r="F418">
        <f t="shared" si="78"/>
        <v>11.743</v>
      </c>
      <c r="G418">
        <f t="shared" si="79"/>
        <v>7.541</v>
      </c>
      <c r="H418">
        <f t="shared" si="80"/>
        <v>11.853</v>
      </c>
      <c r="I418">
        <f t="shared" si="81"/>
        <v>26.789</v>
      </c>
      <c r="J418">
        <f t="shared" si="82"/>
        <v>0</v>
      </c>
      <c r="K418">
        <f t="shared" si="83"/>
        <v>0</v>
      </c>
      <c r="L418">
        <f t="shared" si="84"/>
        <v>0</v>
      </c>
      <c r="N418">
        <v>10399</v>
      </c>
      <c r="O418">
        <v>15087</v>
      </c>
      <c r="P418">
        <v>10757</v>
      </c>
      <c r="Q418">
        <v>11519</v>
      </c>
      <c r="R418">
        <v>15742</v>
      </c>
      <c r="S418">
        <v>11743</v>
      </c>
      <c r="T418">
        <v>7541</v>
      </c>
      <c r="U418">
        <v>11853</v>
      </c>
      <c r="V418">
        <v>26789</v>
      </c>
      <c r="AA418" t="s">
        <v>4268</v>
      </c>
      <c r="AC418">
        <v>10116</v>
      </c>
      <c r="AE418">
        <v>11286</v>
      </c>
      <c r="AG418" t="s">
        <v>4269</v>
      </c>
      <c r="AI418">
        <v>7416</v>
      </c>
      <c r="AP418" t="s">
        <v>4270</v>
      </c>
      <c r="AR418">
        <v>14944</v>
      </c>
      <c r="AT418">
        <v>15391</v>
      </c>
      <c r="AV418" t="s">
        <v>4271</v>
      </c>
      <c r="AX418">
        <v>11802</v>
      </c>
      <c r="BB418" t="s">
        <v>4272</v>
      </c>
      <c r="BD418">
        <v>10464</v>
      </c>
      <c r="BF418">
        <v>11435</v>
      </c>
      <c r="BH418" t="s">
        <v>4273</v>
      </c>
      <c r="BJ418">
        <v>25296</v>
      </c>
    </row>
    <row r="419" spans="1:62">
      <c r="A419">
        <f t="shared" si="73"/>
        <v>10.426</v>
      </c>
      <c r="B419">
        <f t="shared" si="74"/>
        <v>15.089</v>
      </c>
      <c r="C419">
        <f t="shared" si="75"/>
        <v>10.793</v>
      </c>
      <c r="D419">
        <f t="shared" si="76"/>
        <v>11.562</v>
      </c>
      <c r="E419">
        <f t="shared" si="77"/>
        <v>15.758</v>
      </c>
      <c r="F419">
        <f t="shared" si="78"/>
        <v>11.794</v>
      </c>
      <c r="G419">
        <f t="shared" si="79"/>
        <v>7.581</v>
      </c>
      <c r="H419">
        <f t="shared" si="80"/>
        <v>11.885</v>
      </c>
      <c r="I419">
        <f t="shared" si="81"/>
        <v>27.114</v>
      </c>
      <c r="J419">
        <f t="shared" si="82"/>
        <v>0</v>
      </c>
      <c r="K419">
        <f t="shared" si="83"/>
        <v>0</v>
      </c>
      <c r="L419">
        <f t="shared" si="84"/>
        <v>0</v>
      </c>
      <c r="N419">
        <v>10426</v>
      </c>
      <c r="O419">
        <v>15089</v>
      </c>
      <c r="P419">
        <v>10793</v>
      </c>
      <c r="Q419">
        <v>11562</v>
      </c>
      <c r="R419">
        <v>15758</v>
      </c>
      <c r="S419">
        <v>11794</v>
      </c>
      <c r="T419">
        <v>7581</v>
      </c>
      <c r="U419">
        <v>11885</v>
      </c>
      <c r="V419">
        <v>27114</v>
      </c>
      <c r="AA419" t="s">
        <v>4274</v>
      </c>
      <c r="AC419">
        <v>10159</v>
      </c>
      <c r="AE419">
        <v>11320</v>
      </c>
      <c r="AG419" t="s">
        <v>4275</v>
      </c>
      <c r="AI419">
        <v>7420</v>
      </c>
      <c r="AP419" t="s">
        <v>4276</v>
      </c>
      <c r="AR419">
        <v>14975</v>
      </c>
      <c r="AT419">
        <v>15409</v>
      </c>
      <c r="AV419" t="s">
        <v>4277</v>
      </c>
      <c r="AX419">
        <v>11802</v>
      </c>
      <c r="BB419" t="s">
        <v>4278</v>
      </c>
      <c r="BD419">
        <v>10489</v>
      </c>
      <c r="BF419">
        <v>11490</v>
      </c>
      <c r="BH419" t="s">
        <v>4279</v>
      </c>
      <c r="BJ419">
        <v>25315</v>
      </c>
    </row>
    <row r="420" spans="1:62">
      <c r="A420">
        <f t="shared" si="73"/>
        <v>10.532</v>
      </c>
      <c r="B420">
        <f t="shared" si="74"/>
        <v>15.092</v>
      </c>
      <c r="C420">
        <f t="shared" si="75"/>
        <v>10.816</v>
      </c>
      <c r="D420">
        <f t="shared" si="76"/>
        <v>11.563</v>
      </c>
      <c r="E420">
        <f t="shared" si="77"/>
        <v>15.759</v>
      </c>
      <c r="F420">
        <f t="shared" si="78"/>
        <v>11.811</v>
      </c>
      <c r="G420">
        <f t="shared" si="79"/>
        <v>7.595</v>
      </c>
      <c r="H420">
        <f t="shared" si="80"/>
        <v>11.912</v>
      </c>
      <c r="I420">
        <f t="shared" si="81"/>
        <v>27.412</v>
      </c>
      <c r="J420">
        <f t="shared" si="82"/>
        <v>0</v>
      </c>
      <c r="K420">
        <f t="shared" si="83"/>
        <v>0</v>
      </c>
      <c r="L420">
        <f t="shared" si="84"/>
        <v>0</v>
      </c>
      <c r="N420">
        <v>10532</v>
      </c>
      <c r="O420">
        <v>15092</v>
      </c>
      <c r="P420">
        <v>10816</v>
      </c>
      <c r="Q420">
        <v>11563</v>
      </c>
      <c r="R420">
        <v>15759</v>
      </c>
      <c r="S420">
        <v>11811</v>
      </c>
      <c r="T420">
        <v>7595</v>
      </c>
      <c r="U420">
        <v>11912</v>
      </c>
      <c r="V420">
        <v>27412</v>
      </c>
      <c r="AA420" t="s">
        <v>4280</v>
      </c>
      <c r="AC420">
        <v>10174</v>
      </c>
      <c r="AE420">
        <v>11328</v>
      </c>
      <c r="AG420" t="s">
        <v>4281</v>
      </c>
      <c r="AI420">
        <v>7428</v>
      </c>
      <c r="AP420" t="s">
        <v>4282</v>
      </c>
      <c r="AR420">
        <v>14981</v>
      </c>
      <c r="AT420">
        <v>15422</v>
      </c>
      <c r="AV420" t="s">
        <v>4283</v>
      </c>
      <c r="AX420">
        <v>11807</v>
      </c>
      <c r="BB420" t="s">
        <v>4284</v>
      </c>
      <c r="BD420">
        <v>10528</v>
      </c>
      <c r="BF420">
        <v>11511</v>
      </c>
      <c r="BH420" t="s">
        <v>4285</v>
      </c>
      <c r="BJ420">
        <v>25348</v>
      </c>
    </row>
    <row r="421" spans="1:62">
      <c r="A421">
        <f t="shared" si="73"/>
        <v>10.538</v>
      </c>
      <c r="B421">
        <f t="shared" si="74"/>
        <v>15.113</v>
      </c>
      <c r="C421">
        <f t="shared" si="75"/>
        <v>10.847</v>
      </c>
      <c r="D421">
        <f t="shared" si="76"/>
        <v>11.604</v>
      </c>
      <c r="E421">
        <f t="shared" si="77"/>
        <v>15.81</v>
      </c>
      <c r="F421">
        <f t="shared" si="78"/>
        <v>11.842</v>
      </c>
      <c r="G421">
        <f t="shared" si="79"/>
        <v>7.6</v>
      </c>
      <c r="H421">
        <f t="shared" si="80"/>
        <v>11.986</v>
      </c>
      <c r="I421">
        <f t="shared" si="81"/>
        <v>27.557</v>
      </c>
      <c r="J421">
        <f t="shared" si="82"/>
        <v>0</v>
      </c>
      <c r="K421">
        <f t="shared" si="83"/>
        <v>0</v>
      </c>
      <c r="L421">
        <f t="shared" si="84"/>
        <v>0</v>
      </c>
      <c r="N421">
        <v>10538</v>
      </c>
      <c r="O421">
        <v>15113</v>
      </c>
      <c r="P421">
        <v>10847</v>
      </c>
      <c r="Q421">
        <v>11604</v>
      </c>
      <c r="R421">
        <v>15810</v>
      </c>
      <c r="S421">
        <v>11842</v>
      </c>
      <c r="T421">
        <v>7600</v>
      </c>
      <c r="U421">
        <v>11986</v>
      </c>
      <c r="V421">
        <v>27557</v>
      </c>
      <c r="AA421" t="s">
        <v>4286</v>
      </c>
      <c r="AC421">
        <v>10220</v>
      </c>
      <c r="AE421">
        <v>11393</v>
      </c>
      <c r="AG421" t="s">
        <v>4287</v>
      </c>
      <c r="AI421">
        <v>7438</v>
      </c>
      <c r="AP421" t="s">
        <v>4288</v>
      </c>
      <c r="AR421">
        <v>14983</v>
      </c>
      <c r="AT421">
        <v>15439</v>
      </c>
      <c r="AV421" t="s">
        <v>4289</v>
      </c>
      <c r="AX421">
        <v>11822</v>
      </c>
      <c r="BB421" t="s">
        <v>4290</v>
      </c>
      <c r="BD421">
        <v>10597</v>
      </c>
      <c r="BF421">
        <v>11529</v>
      </c>
      <c r="BH421" t="s">
        <v>4291</v>
      </c>
      <c r="BJ421">
        <v>25535</v>
      </c>
    </row>
    <row r="422" spans="1:62">
      <c r="A422">
        <f t="shared" si="73"/>
        <v>10.579</v>
      </c>
      <c r="B422">
        <f t="shared" si="74"/>
        <v>15.13</v>
      </c>
      <c r="C422">
        <f t="shared" si="75"/>
        <v>10.862</v>
      </c>
      <c r="D422">
        <f t="shared" si="76"/>
        <v>11.628</v>
      </c>
      <c r="E422">
        <f t="shared" si="77"/>
        <v>15.814</v>
      </c>
      <c r="F422">
        <f t="shared" si="78"/>
        <v>11.888</v>
      </c>
      <c r="G422">
        <f t="shared" si="79"/>
        <v>7.6</v>
      </c>
      <c r="H422">
        <f t="shared" si="80"/>
        <v>12.021</v>
      </c>
      <c r="I422">
        <f t="shared" si="81"/>
        <v>28.229</v>
      </c>
      <c r="J422">
        <f t="shared" si="82"/>
        <v>0</v>
      </c>
      <c r="K422">
        <f t="shared" si="83"/>
        <v>0</v>
      </c>
      <c r="L422">
        <f t="shared" si="84"/>
        <v>0</v>
      </c>
      <c r="N422">
        <v>10579</v>
      </c>
      <c r="O422">
        <v>15130</v>
      </c>
      <c r="P422">
        <v>10862</v>
      </c>
      <c r="Q422">
        <v>11628</v>
      </c>
      <c r="R422">
        <v>15814</v>
      </c>
      <c r="S422">
        <v>11888</v>
      </c>
      <c r="T422">
        <v>7600</v>
      </c>
      <c r="U422">
        <v>12021</v>
      </c>
      <c r="V422">
        <v>28229</v>
      </c>
      <c r="AA422" t="s">
        <v>4292</v>
      </c>
      <c r="AC422">
        <v>10235</v>
      </c>
      <c r="AE422">
        <v>11434</v>
      </c>
      <c r="AG422" t="s">
        <v>4293</v>
      </c>
      <c r="AI422">
        <v>7448</v>
      </c>
      <c r="AP422" t="s">
        <v>4294</v>
      </c>
      <c r="AR422">
        <v>15004</v>
      </c>
      <c r="AT422">
        <v>15548</v>
      </c>
      <c r="AV422" t="s">
        <v>4295</v>
      </c>
      <c r="AX422">
        <v>11831</v>
      </c>
      <c r="BB422" t="s">
        <v>4296</v>
      </c>
      <c r="BD422">
        <v>10598</v>
      </c>
      <c r="BF422">
        <v>11578</v>
      </c>
      <c r="BH422" t="s">
        <v>4297</v>
      </c>
      <c r="BJ422">
        <v>25842</v>
      </c>
    </row>
    <row r="423" spans="1:62">
      <c r="A423">
        <f t="shared" si="73"/>
        <v>10.86</v>
      </c>
      <c r="B423">
        <f t="shared" si="74"/>
        <v>15.147</v>
      </c>
      <c r="C423">
        <f t="shared" si="75"/>
        <v>10.889</v>
      </c>
      <c r="D423">
        <f t="shared" si="76"/>
        <v>11.68</v>
      </c>
      <c r="E423">
        <f t="shared" si="77"/>
        <v>15.842</v>
      </c>
      <c r="F423">
        <f t="shared" si="78"/>
        <v>11.892</v>
      </c>
      <c r="G423">
        <f t="shared" si="79"/>
        <v>7.61</v>
      </c>
      <c r="H423">
        <f t="shared" si="80"/>
        <v>12.037</v>
      </c>
      <c r="I423">
        <f t="shared" si="81"/>
        <v>28.383</v>
      </c>
      <c r="J423">
        <f t="shared" si="82"/>
        <v>0</v>
      </c>
      <c r="K423">
        <f t="shared" si="83"/>
        <v>0</v>
      </c>
      <c r="L423">
        <f t="shared" si="84"/>
        <v>0</v>
      </c>
      <c r="N423">
        <v>10860</v>
      </c>
      <c r="O423">
        <v>15147</v>
      </c>
      <c r="P423">
        <v>10889</v>
      </c>
      <c r="Q423">
        <v>11680</v>
      </c>
      <c r="R423">
        <v>15842</v>
      </c>
      <c r="S423">
        <v>11892</v>
      </c>
      <c r="T423">
        <v>7610</v>
      </c>
      <c r="U423">
        <v>12037</v>
      </c>
      <c r="V423">
        <v>28383</v>
      </c>
      <c r="AA423" t="s">
        <v>4298</v>
      </c>
      <c r="AC423">
        <v>10266</v>
      </c>
      <c r="AE423">
        <v>11457</v>
      </c>
      <c r="AG423" t="s">
        <v>4299</v>
      </c>
      <c r="AI423">
        <v>7478</v>
      </c>
      <c r="AP423" t="s">
        <v>4300</v>
      </c>
      <c r="AR423">
        <v>15024</v>
      </c>
      <c r="AT423">
        <v>15553</v>
      </c>
      <c r="AV423" t="s">
        <v>4301</v>
      </c>
      <c r="AX423">
        <v>11835</v>
      </c>
      <c r="BB423" t="s">
        <v>4302</v>
      </c>
      <c r="BD423">
        <v>10641</v>
      </c>
      <c r="BF423">
        <v>11692</v>
      </c>
      <c r="BH423" t="s">
        <v>4303</v>
      </c>
      <c r="BJ423">
        <v>26291</v>
      </c>
    </row>
    <row r="424" spans="1:62">
      <c r="A424">
        <f t="shared" si="73"/>
        <v>10.865</v>
      </c>
      <c r="B424">
        <f t="shared" si="74"/>
        <v>15.156</v>
      </c>
      <c r="C424">
        <f t="shared" si="75"/>
        <v>10.949</v>
      </c>
      <c r="D424">
        <f t="shared" si="76"/>
        <v>11.747</v>
      </c>
      <c r="E424">
        <f t="shared" si="77"/>
        <v>15.851</v>
      </c>
      <c r="F424">
        <f t="shared" si="78"/>
        <v>11.915</v>
      </c>
      <c r="G424">
        <f t="shared" si="79"/>
        <v>7.624</v>
      </c>
      <c r="H424">
        <f t="shared" si="80"/>
        <v>12.058</v>
      </c>
      <c r="I424">
        <f t="shared" si="81"/>
        <v>28.513</v>
      </c>
      <c r="J424">
        <f t="shared" si="82"/>
        <v>0</v>
      </c>
      <c r="K424">
        <f t="shared" si="83"/>
        <v>0</v>
      </c>
      <c r="L424">
        <f t="shared" si="84"/>
        <v>0</v>
      </c>
      <c r="N424">
        <v>10865</v>
      </c>
      <c r="O424">
        <v>15156</v>
      </c>
      <c r="P424">
        <v>10949</v>
      </c>
      <c r="Q424">
        <v>11747</v>
      </c>
      <c r="R424">
        <v>15851</v>
      </c>
      <c r="S424">
        <v>11915</v>
      </c>
      <c r="T424">
        <v>7624</v>
      </c>
      <c r="U424">
        <v>12058</v>
      </c>
      <c r="V424">
        <v>28513</v>
      </c>
      <c r="AA424" t="s">
        <v>4304</v>
      </c>
      <c r="AC424">
        <v>10288</v>
      </c>
      <c r="AE424">
        <v>11465</v>
      </c>
      <c r="AG424" t="s">
        <v>4305</v>
      </c>
      <c r="AI424">
        <v>7508</v>
      </c>
      <c r="AP424" t="s">
        <v>4306</v>
      </c>
      <c r="AR424">
        <v>15046</v>
      </c>
      <c r="AT424">
        <v>15603</v>
      </c>
      <c r="AV424" t="s">
        <v>4307</v>
      </c>
      <c r="AX424">
        <v>11845</v>
      </c>
      <c r="BB424" t="s">
        <v>4308</v>
      </c>
      <c r="BD424">
        <v>10671</v>
      </c>
      <c r="BF424">
        <v>11707</v>
      </c>
      <c r="BH424" t="s">
        <v>4309</v>
      </c>
      <c r="BJ424">
        <v>26610</v>
      </c>
    </row>
    <row r="425" spans="1:62">
      <c r="A425">
        <f t="shared" si="73"/>
        <v>10.896</v>
      </c>
      <c r="B425">
        <f t="shared" si="74"/>
        <v>15.159</v>
      </c>
      <c r="C425">
        <f t="shared" si="75"/>
        <v>10.971</v>
      </c>
      <c r="D425">
        <f t="shared" si="76"/>
        <v>11.76</v>
      </c>
      <c r="E425">
        <f t="shared" si="77"/>
        <v>15.927</v>
      </c>
      <c r="F425">
        <f t="shared" si="78"/>
        <v>11.977</v>
      </c>
      <c r="G425">
        <f t="shared" si="79"/>
        <v>7.674</v>
      </c>
      <c r="H425">
        <f t="shared" si="80"/>
        <v>12.1</v>
      </c>
      <c r="I425">
        <f t="shared" si="81"/>
        <v>28.522</v>
      </c>
      <c r="J425">
        <f t="shared" si="82"/>
        <v>0</v>
      </c>
      <c r="K425">
        <f t="shared" si="83"/>
        <v>0</v>
      </c>
      <c r="L425">
        <f t="shared" si="84"/>
        <v>0</v>
      </c>
      <c r="N425">
        <v>10896</v>
      </c>
      <c r="O425">
        <v>15159</v>
      </c>
      <c r="P425">
        <v>10971</v>
      </c>
      <c r="Q425">
        <v>11760</v>
      </c>
      <c r="R425">
        <v>15927</v>
      </c>
      <c r="S425">
        <v>11977</v>
      </c>
      <c r="T425">
        <v>7674</v>
      </c>
      <c r="U425">
        <v>12100</v>
      </c>
      <c r="V425">
        <v>28522</v>
      </c>
      <c r="AA425" t="s">
        <v>4310</v>
      </c>
      <c r="AC425">
        <v>10388</v>
      </c>
      <c r="AE425">
        <v>11466</v>
      </c>
      <c r="AG425" t="s">
        <v>4311</v>
      </c>
      <c r="AI425">
        <v>7520</v>
      </c>
      <c r="AP425" t="s">
        <v>4312</v>
      </c>
      <c r="AR425">
        <v>15087</v>
      </c>
      <c r="AT425">
        <v>15742</v>
      </c>
      <c r="AV425" t="s">
        <v>4313</v>
      </c>
      <c r="AX425">
        <v>11853</v>
      </c>
      <c r="BB425" t="s">
        <v>4314</v>
      </c>
      <c r="BD425">
        <v>10677</v>
      </c>
      <c r="BF425">
        <v>11738</v>
      </c>
      <c r="BH425" t="s">
        <v>4315</v>
      </c>
      <c r="BJ425">
        <v>26661</v>
      </c>
    </row>
    <row r="426" spans="1:62">
      <c r="A426">
        <f t="shared" si="73"/>
        <v>10.943</v>
      </c>
      <c r="B426">
        <f t="shared" si="74"/>
        <v>15.196</v>
      </c>
      <c r="C426">
        <f t="shared" si="75"/>
        <v>10.991</v>
      </c>
      <c r="D426">
        <f t="shared" si="76"/>
        <v>11.76</v>
      </c>
      <c r="E426">
        <f t="shared" si="77"/>
        <v>15.928</v>
      </c>
      <c r="F426">
        <f t="shared" si="78"/>
        <v>11.995</v>
      </c>
      <c r="G426">
        <f t="shared" si="79"/>
        <v>7.706</v>
      </c>
      <c r="H426">
        <f t="shared" si="80"/>
        <v>12.265</v>
      </c>
      <c r="I426">
        <f t="shared" si="81"/>
        <v>28.916</v>
      </c>
      <c r="J426">
        <f t="shared" si="82"/>
        <v>0</v>
      </c>
      <c r="K426">
        <f t="shared" si="83"/>
        <v>0</v>
      </c>
      <c r="L426">
        <f t="shared" si="84"/>
        <v>0</v>
      </c>
      <c r="N426">
        <v>10943</v>
      </c>
      <c r="O426">
        <v>15196</v>
      </c>
      <c r="P426">
        <v>10991</v>
      </c>
      <c r="Q426">
        <v>11760</v>
      </c>
      <c r="R426">
        <v>15928</v>
      </c>
      <c r="S426">
        <v>11995</v>
      </c>
      <c r="T426">
        <v>7706</v>
      </c>
      <c r="U426">
        <v>12265</v>
      </c>
      <c r="V426">
        <v>28916</v>
      </c>
      <c r="AA426" t="s">
        <v>4316</v>
      </c>
      <c r="AC426">
        <v>10399</v>
      </c>
      <c r="AE426">
        <v>11519</v>
      </c>
      <c r="AG426" t="s">
        <v>4317</v>
      </c>
      <c r="AI426">
        <v>7541</v>
      </c>
      <c r="AP426" t="s">
        <v>4318</v>
      </c>
      <c r="AR426">
        <v>15089</v>
      </c>
      <c r="AT426">
        <v>15758</v>
      </c>
      <c r="AV426" t="s">
        <v>4319</v>
      </c>
      <c r="AX426">
        <v>11885</v>
      </c>
      <c r="BB426" t="s">
        <v>4320</v>
      </c>
      <c r="BD426">
        <v>10757</v>
      </c>
      <c r="BF426">
        <v>11743</v>
      </c>
      <c r="BH426" t="s">
        <v>4321</v>
      </c>
      <c r="BJ426">
        <v>26789</v>
      </c>
    </row>
    <row r="427" spans="1:62">
      <c r="A427">
        <f t="shared" si="73"/>
        <v>10.944</v>
      </c>
      <c r="B427">
        <f t="shared" si="74"/>
        <v>15.202</v>
      </c>
      <c r="C427">
        <f t="shared" si="75"/>
        <v>11.018</v>
      </c>
      <c r="D427">
        <f t="shared" si="76"/>
        <v>11.777</v>
      </c>
      <c r="E427">
        <f t="shared" si="77"/>
        <v>15.994</v>
      </c>
      <c r="F427">
        <f t="shared" si="78"/>
        <v>11.997</v>
      </c>
      <c r="G427">
        <f t="shared" si="79"/>
        <v>7.732</v>
      </c>
      <c r="H427">
        <f t="shared" si="80"/>
        <v>12.272</v>
      </c>
      <c r="I427">
        <f t="shared" si="81"/>
        <v>29.096</v>
      </c>
      <c r="J427">
        <f t="shared" si="82"/>
        <v>0</v>
      </c>
      <c r="K427">
        <f t="shared" si="83"/>
        <v>0</v>
      </c>
      <c r="L427">
        <f t="shared" si="84"/>
        <v>0</v>
      </c>
      <c r="N427">
        <v>10944</v>
      </c>
      <c r="O427">
        <v>15202</v>
      </c>
      <c r="P427">
        <v>11018</v>
      </c>
      <c r="Q427">
        <v>11777</v>
      </c>
      <c r="R427">
        <v>15994</v>
      </c>
      <c r="S427">
        <v>11997</v>
      </c>
      <c r="T427">
        <v>7732</v>
      </c>
      <c r="U427">
        <v>12272</v>
      </c>
      <c r="V427">
        <v>29096</v>
      </c>
      <c r="AA427" t="s">
        <v>4322</v>
      </c>
      <c r="AC427">
        <v>10426</v>
      </c>
      <c r="AE427">
        <v>11562</v>
      </c>
      <c r="AG427" t="s">
        <v>4323</v>
      </c>
      <c r="AI427">
        <v>7581</v>
      </c>
      <c r="AP427" t="s">
        <v>4324</v>
      </c>
      <c r="AR427">
        <v>15092</v>
      </c>
      <c r="AT427">
        <v>15759</v>
      </c>
      <c r="AV427" t="s">
        <v>4325</v>
      </c>
      <c r="AX427">
        <v>11912</v>
      </c>
      <c r="BB427" t="s">
        <v>4326</v>
      </c>
      <c r="BD427">
        <v>10793</v>
      </c>
      <c r="BF427">
        <v>11794</v>
      </c>
      <c r="BH427" t="s">
        <v>4327</v>
      </c>
      <c r="BJ427">
        <v>27114</v>
      </c>
    </row>
    <row r="428" spans="1:62">
      <c r="A428">
        <f t="shared" si="73"/>
        <v>10.955</v>
      </c>
      <c r="B428">
        <f t="shared" si="74"/>
        <v>15.217</v>
      </c>
      <c r="C428">
        <f t="shared" si="75"/>
        <v>11.139</v>
      </c>
      <c r="D428">
        <f t="shared" si="76"/>
        <v>11.79</v>
      </c>
      <c r="E428">
        <f t="shared" si="77"/>
        <v>16.014</v>
      </c>
      <c r="F428">
        <f t="shared" si="78"/>
        <v>12.012</v>
      </c>
      <c r="G428">
        <f t="shared" si="79"/>
        <v>7.739</v>
      </c>
      <c r="H428">
        <f t="shared" si="80"/>
        <v>12.274</v>
      </c>
      <c r="I428">
        <f t="shared" si="81"/>
        <v>29.36</v>
      </c>
      <c r="J428">
        <f t="shared" si="82"/>
        <v>0</v>
      </c>
      <c r="K428">
        <f t="shared" si="83"/>
        <v>0</v>
      </c>
      <c r="L428">
        <f t="shared" si="84"/>
        <v>0</v>
      </c>
      <c r="N428">
        <v>10955</v>
      </c>
      <c r="O428">
        <v>15217</v>
      </c>
      <c r="P428">
        <v>11139</v>
      </c>
      <c r="Q428">
        <v>11790</v>
      </c>
      <c r="R428">
        <v>16014</v>
      </c>
      <c r="S428">
        <v>12012</v>
      </c>
      <c r="T428">
        <v>7739</v>
      </c>
      <c r="U428">
        <v>12274</v>
      </c>
      <c r="V428">
        <v>29360</v>
      </c>
      <c r="AA428" t="s">
        <v>4328</v>
      </c>
      <c r="AC428">
        <v>10532</v>
      </c>
      <c r="AE428">
        <v>11563</v>
      </c>
      <c r="AG428" t="s">
        <v>4329</v>
      </c>
      <c r="AI428">
        <v>7595</v>
      </c>
      <c r="AP428" t="s">
        <v>4330</v>
      </c>
      <c r="AR428">
        <v>15113</v>
      </c>
      <c r="AT428">
        <v>15810</v>
      </c>
      <c r="AV428" t="s">
        <v>4331</v>
      </c>
      <c r="AX428">
        <v>11986</v>
      </c>
      <c r="BB428" t="s">
        <v>4332</v>
      </c>
      <c r="BD428">
        <v>10816</v>
      </c>
      <c r="BF428">
        <v>11811</v>
      </c>
      <c r="BH428" t="s">
        <v>4333</v>
      </c>
      <c r="BJ428">
        <v>27412</v>
      </c>
    </row>
    <row r="429" spans="1:62">
      <c r="A429">
        <f t="shared" si="73"/>
        <v>10.974</v>
      </c>
      <c r="B429">
        <f t="shared" si="74"/>
        <v>15.234</v>
      </c>
      <c r="C429">
        <f t="shared" si="75"/>
        <v>11.171</v>
      </c>
      <c r="D429">
        <f t="shared" si="76"/>
        <v>11.792</v>
      </c>
      <c r="E429">
        <f t="shared" si="77"/>
        <v>16.038</v>
      </c>
      <c r="F429">
        <f t="shared" si="78"/>
        <v>12.037</v>
      </c>
      <c r="G429">
        <f t="shared" si="79"/>
        <v>7.786</v>
      </c>
      <c r="H429">
        <f t="shared" si="80"/>
        <v>12.351</v>
      </c>
      <c r="I429">
        <f t="shared" si="81"/>
        <v>29.85</v>
      </c>
      <c r="J429">
        <f t="shared" si="82"/>
        <v>0</v>
      </c>
      <c r="K429">
        <f t="shared" si="83"/>
        <v>0</v>
      </c>
      <c r="L429">
        <f t="shared" si="84"/>
        <v>0</v>
      </c>
      <c r="N429">
        <v>10974</v>
      </c>
      <c r="O429">
        <v>15234</v>
      </c>
      <c r="P429">
        <v>11171</v>
      </c>
      <c r="Q429">
        <v>11792</v>
      </c>
      <c r="R429">
        <v>16038</v>
      </c>
      <c r="S429">
        <v>12037</v>
      </c>
      <c r="T429">
        <v>7786</v>
      </c>
      <c r="U429">
        <v>12351</v>
      </c>
      <c r="V429">
        <v>29850</v>
      </c>
      <c r="AA429" t="s">
        <v>4334</v>
      </c>
      <c r="AC429">
        <v>10538</v>
      </c>
      <c r="AE429">
        <v>11604</v>
      </c>
      <c r="AG429" t="s">
        <v>4335</v>
      </c>
      <c r="AI429">
        <v>7600</v>
      </c>
      <c r="AP429" t="s">
        <v>4336</v>
      </c>
      <c r="AR429">
        <v>15130</v>
      </c>
      <c r="AT429">
        <v>15814</v>
      </c>
      <c r="AV429" t="s">
        <v>4337</v>
      </c>
      <c r="AX429">
        <v>12021</v>
      </c>
      <c r="BB429" t="s">
        <v>4338</v>
      </c>
      <c r="BD429">
        <v>10847</v>
      </c>
      <c r="BF429">
        <v>11842</v>
      </c>
      <c r="BH429" t="s">
        <v>4339</v>
      </c>
      <c r="BJ429">
        <v>27557</v>
      </c>
    </row>
    <row r="430" spans="1:62">
      <c r="A430">
        <f t="shared" si="73"/>
        <v>10.983</v>
      </c>
      <c r="B430">
        <f t="shared" si="74"/>
        <v>15.281</v>
      </c>
      <c r="C430">
        <f t="shared" si="75"/>
        <v>11.207</v>
      </c>
      <c r="D430">
        <f t="shared" si="76"/>
        <v>11.863</v>
      </c>
      <c r="E430">
        <f t="shared" si="77"/>
        <v>16.071</v>
      </c>
      <c r="F430">
        <f t="shared" si="78"/>
        <v>12.087</v>
      </c>
      <c r="G430">
        <f t="shared" si="79"/>
        <v>7.787</v>
      </c>
      <c r="H430">
        <f t="shared" si="80"/>
        <v>12.367</v>
      </c>
      <c r="I430">
        <f t="shared" si="81"/>
        <v>29.865</v>
      </c>
      <c r="J430">
        <f t="shared" si="82"/>
        <v>0</v>
      </c>
      <c r="K430">
        <f t="shared" si="83"/>
        <v>0</v>
      </c>
      <c r="L430">
        <f t="shared" si="84"/>
        <v>0</v>
      </c>
      <c r="N430">
        <v>10983</v>
      </c>
      <c r="O430">
        <v>15281</v>
      </c>
      <c r="P430">
        <v>11207</v>
      </c>
      <c r="Q430">
        <v>11863</v>
      </c>
      <c r="R430">
        <v>16071</v>
      </c>
      <c r="S430">
        <v>12087</v>
      </c>
      <c r="T430">
        <v>7787</v>
      </c>
      <c r="U430">
        <v>12367</v>
      </c>
      <c r="V430">
        <v>29865</v>
      </c>
      <c r="AA430" t="s">
        <v>4340</v>
      </c>
      <c r="AC430">
        <v>10579</v>
      </c>
      <c r="AE430">
        <v>11628</v>
      </c>
      <c r="AG430" t="s">
        <v>4341</v>
      </c>
      <c r="AI430">
        <v>7600</v>
      </c>
      <c r="AP430" t="s">
        <v>4342</v>
      </c>
      <c r="AR430">
        <v>15147</v>
      </c>
      <c r="AT430">
        <v>15842</v>
      </c>
      <c r="AV430" t="s">
        <v>4343</v>
      </c>
      <c r="AX430">
        <v>12037</v>
      </c>
      <c r="BB430" t="s">
        <v>4344</v>
      </c>
      <c r="BD430">
        <v>10862</v>
      </c>
      <c r="BF430">
        <v>11888</v>
      </c>
      <c r="BH430" t="s">
        <v>4345</v>
      </c>
      <c r="BJ430">
        <v>28229</v>
      </c>
    </row>
    <row r="431" spans="1:62">
      <c r="A431">
        <f t="shared" si="73"/>
        <v>10.99</v>
      </c>
      <c r="B431">
        <f t="shared" si="74"/>
        <v>15.286</v>
      </c>
      <c r="C431">
        <f t="shared" si="75"/>
        <v>11.209</v>
      </c>
      <c r="D431">
        <f t="shared" si="76"/>
        <v>11.871</v>
      </c>
      <c r="E431">
        <f t="shared" si="77"/>
        <v>16.114</v>
      </c>
      <c r="F431">
        <f t="shared" si="78"/>
        <v>12.122</v>
      </c>
      <c r="G431">
        <f t="shared" si="79"/>
        <v>7.812</v>
      </c>
      <c r="H431">
        <f t="shared" si="80"/>
        <v>12.453</v>
      </c>
      <c r="I431">
        <f t="shared" si="81"/>
        <v>30.271</v>
      </c>
      <c r="J431">
        <f t="shared" si="82"/>
        <v>0</v>
      </c>
      <c r="K431">
        <f t="shared" si="83"/>
        <v>0</v>
      </c>
      <c r="L431">
        <f t="shared" si="84"/>
        <v>0</v>
      </c>
      <c r="N431">
        <v>10990</v>
      </c>
      <c r="O431">
        <v>15286</v>
      </c>
      <c r="P431">
        <v>11209</v>
      </c>
      <c r="Q431">
        <v>11871</v>
      </c>
      <c r="R431">
        <v>16114</v>
      </c>
      <c r="S431">
        <v>12122</v>
      </c>
      <c r="T431">
        <v>7812</v>
      </c>
      <c r="U431">
        <v>12453</v>
      </c>
      <c r="V431">
        <v>30271</v>
      </c>
      <c r="AA431" t="s">
        <v>4346</v>
      </c>
      <c r="AC431">
        <v>10860</v>
      </c>
      <c r="AE431">
        <v>11680</v>
      </c>
      <c r="AG431" t="s">
        <v>4347</v>
      </c>
      <c r="AI431">
        <v>7610</v>
      </c>
      <c r="AP431" t="s">
        <v>4348</v>
      </c>
      <c r="AR431">
        <v>15156</v>
      </c>
      <c r="AT431">
        <v>15851</v>
      </c>
      <c r="AV431" t="s">
        <v>4349</v>
      </c>
      <c r="AX431">
        <v>12058</v>
      </c>
      <c r="BB431" t="s">
        <v>4350</v>
      </c>
      <c r="BD431">
        <v>10889</v>
      </c>
      <c r="BF431">
        <v>11892</v>
      </c>
      <c r="BH431" t="s">
        <v>4351</v>
      </c>
      <c r="BJ431">
        <v>28383</v>
      </c>
    </row>
    <row r="432" spans="1:62">
      <c r="A432">
        <f t="shared" si="73"/>
        <v>11.015</v>
      </c>
      <c r="B432">
        <f t="shared" si="74"/>
        <v>15.299</v>
      </c>
      <c r="C432">
        <f t="shared" si="75"/>
        <v>11.285</v>
      </c>
      <c r="D432">
        <f t="shared" si="76"/>
        <v>11.899</v>
      </c>
      <c r="E432">
        <f t="shared" si="77"/>
        <v>16.141</v>
      </c>
      <c r="F432">
        <f t="shared" si="78"/>
        <v>12.125</v>
      </c>
      <c r="G432">
        <f t="shared" si="79"/>
        <v>7.814</v>
      </c>
      <c r="H432">
        <f t="shared" si="80"/>
        <v>12.453</v>
      </c>
      <c r="I432">
        <f t="shared" si="81"/>
        <v>30.586</v>
      </c>
      <c r="J432">
        <f t="shared" si="82"/>
        <v>0</v>
      </c>
      <c r="K432">
        <f t="shared" si="83"/>
        <v>0</v>
      </c>
      <c r="L432">
        <f t="shared" si="84"/>
        <v>0</v>
      </c>
      <c r="N432">
        <v>11015</v>
      </c>
      <c r="O432">
        <v>15299</v>
      </c>
      <c r="P432">
        <v>11285</v>
      </c>
      <c r="Q432">
        <v>11899</v>
      </c>
      <c r="R432">
        <v>16141</v>
      </c>
      <c r="S432">
        <v>12125</v>
      </c>
      <c r="T432">
        <v>7814</v>
      </c>
      <c r="U432">
        <v>12453</v>
      </c>
      <c r="V432">
        <v>30586</v>
      </c>
      <c r="AA432" t="s">
        <v>4352</v>
      </c>
      <c r="AC432">
        <v>10865</v>
      </c>
      <c r="AE432">
        <v>11747</v>
      </c>
      <c r="AG432" t="s">
        <v>4353</v>
      </c>
      <c r="AI432">
        <v>7624</v>
      </c>
      <c r="AP432" t="s">
        <v>4354</v>
      </c>
      <c r="AR432">
        <v>15159</v>
      </c>
      <c r="AT432">
        <v>15927</v>
      </c>
      <c r="AV432" t="s">
        <v>4355</v>
      </c>
      <c r="AX432">
        <v>12100</v>
      </c>
      <c r="BB432" t="s">
        <v>4356</v>
      </c>
      <c r="BD432">
        <v>10949</v>
      </c>
      <c r="BF432">
        <v>11915</v>
      </c>
      <c r="BH432" t="s">
        <v>4357</v>
      </c>
      <c r="BJ432">
        <v>28513</v>
      </c>
    </row>
    <row r="433" spans="1:62">
      <c r="A433">
        <f t="shared" si="73"/>
        <v>11.078</v>
      </c>
      <c r="B433">
        <f t="shared" si="74"/>
        <v>15.311</v>
      </c>
      <c r="C433">
        <f t="shared" si="75"/>
        <v>11.384</v>
      </c>
      <c r="D433">
        <f t="shared" si="76"/>
        <v>11.912</v>
      </c>
      <c r="E433">
        <f t="shared" si="77"/>
        <v>16.196</v>
      </c>
      <c r="F433">
        <f t="shared" si="78"/>
        <v>12.208</v>
      </c>
      <c r="G433">
        <f t="shared" si="79"/>
        <v>7.85</v>
      </c>
      <c r="H433">
        <f t="shared" si="80"/>
        <v>12.454</v>
      </c>
      <c r="I433">
        <f t="shared" si="81"/>
        <v>30.617</v>
      </c>
      <c r="J433">
        <f t="shared" si="82"/>
        <v>0</v>
      </c>
      <c r="K433">
        <f t="shared" si="83"/>
        <v>0</v>
      </c>
      <c r="L433">
        <f t="shared" si="84"/>
        <v>0</v>
      </c>
      <c r="N433">
        <v>11078</v>
      </c>
      <c r="O433">
        <v>15311</v>
      </c>
      <c r="P433">
        <v>11384</v>
      </c>
      <c r="Q433">
        <v>11912</v>
      </c>
      <c r="R433">
        <v>16196</v>
      </c>
      <c r="S433">
        <v>12208</v>
      </c>
      <c r="T433">
        <v>7850</v>
      </c>
      <c r="U433">
        <v>12454</v>
      </c>
      <c r="V433">
        <v>30617</v>
      </c>
      <c r="AA433" t="s">
        <v>4358</v>
      </c>
      <c r="AC433">
        <v>10896</v>
      </c>
      <c r="AE433">
        <v>11760</v>
      </c>
      <c r="AG433" t="s">
        <v>4359</v>
      </c>
      <c r="AI433">
        <v>7674</v>
      </c>
      <c r="AP433" t="s">
        <v>4360</v>
      </c>
      <c r="AR433">
        <v>15196</v>
      </c>
      <c r="AT433">
        <v>15928</v>
      </c>
      <c r="AV433" t="s">
        <v>4361</v>
      </c>
      <c r="AX433">
        <v>12265</v>
      </c>
      <c r="BB433" t="s">
        <v>4362</v>
      </c>
      <c r="BD433">
        <v>10971</v>
      </c>
      <c r="BF433">
        <v>11977</v>
      </c>
      <c r="BH433" t="s">
        <v>4363</v>
      </c>
      <c r="BJ433">
        <v>28522</v>
      </c>
    </row>
    <row r="434" spans="1:62">
      <c r="A434">
        <f t="shared" si="73"/>
        <v>11.103</v>
      </c>
      <c r="B434">
        <f t="shared" si="74"/>
        <v>15.317</v>
      </c>
      <c r="C434">
        <f t="shared" si="75"/>
        <v>11.399</v>
      </c>
      <c r="D434">
        <f t="shared" si="76"/>
        <v>11.912</v>
      </c>
      <c r="E434">
        <f t="shared" si="77"/>
        <v>16.212</v>
      </c>
      <c r="F434">
        <f t="shared" si="78"/>
        <v>12.214</v>
      </c>
      <c r="G434">
        <f t="shared" si="79"/>
        <v>7.854</v>
      </c>
      <c r="H434">
        <f t="shared" si="80"/>
        <v>12.463</v>
      </c>
      <c r="I434">
        <f t="shared" si="81"/>
        <v>30.688</v>
      </c>
      <c r="J434">
        <f t="shared" si="82"/>
        <v>0</v>
      </c>
      <c r="K434">
        <f t="shared" si="83"/>
        <v>0</v>
      </c>
      <c r="L434">
        <f t="shared" si="84"/>
        <v>0</v>
      </c>
      <c r="N434">
        <v>11103</v>
      </c>
      <c r="O434">
        <v>15317</v>
      </c>
      <c r="P434">
        <v>11399</v>
      </c>
      <c r="Q434">
        <v>11912</v>
      </c>
      <c r="R434">
        <v>16212</v>
      </c>
      <c r="S434">
        <v>12214</v>
      </c>
      <c r="T434">
        <v>7854</v>
      </c>
      <c r="U434">
        <v>12463</v>
      </c>
      <c r="V434">
        <v>30688</v>
      </c>
      <c r="AA434" t="s">
        <v>4364</v>
      </c>
      <c r="AC434">
        <v>10943</v>
      </c>
      <c r="AE434">
        <v>11760</v>
      </c>
      <c r="AG434" t="s">
        <v>4365</v>
      </c>
      <c r="AI434">
        <v>7706</v>
      </c>
      <c r="AP434" t="s">
        <v>4366</v>
      </c>
      <c r="AR434">
        <v>15202</v>
      </c>
      <c r="AT434">
        <v>15994</v>
      </c>
      <c r="AV434" t="s">
        <v>4367</v>
      </c>
      <c r="AX434">
        <v>12272</v>
      </c>
      <c r="BB434" t="s">
        <v>4368</v>
      </c>
      <c r="BD434">
        <v>10991</v>
      </c>
      <c r="BF434">
        <v>11995</v>
      </c>
      <c r="BH434" t="s">
        <v>4369</v>
      </c>
      <c r="BJ434">
        <v>28916</v>
      </c>
    </row>
    <row r="435" spans="1:62">
      <c r="A435">
        <f t="shared" si="73"/>
        <v>11.126</v>
      </c>
      <c r="B435">
        <f t="shared" si="74"/>
        <v>15.32</v>
      </c>
      <c r="C435">
        <f t="shared" si="75"/>
        <v>11.429</v>
      </c>
      <c r="D435">
        <f t="shared" si="76"/>
        <v>11.927</v>
      </c>
      <c r="E435">
        <f t="shared" si="77"/>
        <v>16.272</v>
      </c>
      <c r="F435">
        <f t="shared" si="78"/>
        <v>12.251</v>
      </c>
      <c r="G435">
        <f t="shared" si="79"/>
        <v>7.88</v>
      </c>
      <c r="H435">
        <f t="shared" si="80"/>
        <v>12.477</v>
      </c>
      <c r="I435">
        <f t="shared" si="81"/>
        <v>31.164</v>
      </c>
      <c r="J435">
        <f t="shared" si="82"/>
        <v>0</v>
      </c>
      <c r="K435">
        <f t="shared" si="83"/>
        <v>0</v>
      </c>
      <c r="L435">
        <f t="shared" si="84"/>
        <v>0</v>
      </c>
      <c r="N435">
        <v>11126</v>
      </c>
      <c r="O435">
        <v>15320</v>
      </c>
      <c r="P435">
        <v>11429</v>
      </c>
      <c r="Q435">
        <v>11927</v>
      </c>
      <c r="R435">
        <v>16272</v>
      </c>
      <c r="S435">
        <v>12251</v>
      </c>
      <c r="T435">
        <v>7880</v>
      </c>
      <c r="U435">
        <v>12477</v>
      </c>
      <c r="V435">
        <v>31164</v>
      </c>
      <c r="AA435" t="s">
        <v>4370</v>
      </c>
      <c r="AC435">
        <v>10944</v>
      </c>
      <c r="AE435">
        <v>11777</v>
      </c>
      <c r="AG435" t="s">
        <v>4371</v>
      </c>
      <c r="AI435">
        <v>7732</v>
      </c>
      <c r="AP435" t="s">
        <v>4372</v>
      </c>
      <c r="AR435">
        <v>15217</v>
      </c>
      <c r="AT435">
        <v>16014</v>
      </c>
      <c r="AV435" t="s">
        <v>4373</v>
      </c>
      <c r="AX435">
        <v>12274</v>
      </c>
      <c r="BB435" t="s">
        <v>4374</v>
      </c>
      <c r="BD435">
        <v>11018</v>
      </c>
      <c r="BF435">
        <v>11997</v>
      </c>
      <c r="BH435" t="s">
        <v>4375</v>
      </c>
      <c r="BJ435">
        <v>29096</v>
      </c>
    </row>
    <row r="436" spans="1:62">
      <c r="A436">
        <f t="shared" si="73"/>
        <v>11.2</v>
      </c>
      <c r="B436">
        <f t="shared" si="74"/>
        <v>15.342</v>
      </c>
      <c r="C436">
        <f t="shared" si="75"/>
        <v>11.435</v>
      </c>
      <c r="D436">
        <f t="shared" si="76"/>
        <v>12.018</v>
      </c>
      <c r="E436">
        <f t="shared" si="77"/>
        <v>16.279</v>
      </c>
      <c r="F436">
        <f t="shared" si="78"/>
        <v>12.253</v>
      </c>
      <c r="G436">
        <f t="shared" si="79"/>
        <v>7.895</v>
      </c>
      <c r="H436">
        <f t="shared" si="80"/>
        <v>12.497</v>
      </c>
      <c r="I436">
        <f t="shared" si="81"/>
        <v>31.504</v>
      </c>
      <c r="J436">
        <f t="shared" si="82"/>
        <v>0</v>
      </c>
      <c r="K436">
        <f t="shared" si="83"/>
        <v>0</v>
      </c>
      <c r="L436">
        <f t="shared" si="84"/>
        <v>0</v>
      </c>
      <c r="N436">
        <v>11200</v>
      </c>
      <c r="O436">
        <v>15342</v>
      </c>
      <c r="P436">
        <v>11435</v>
      </c>
      <c r="Q436">
        <v>12018</v>
      </c>
      <c r="R436">
        <v>16279</v>
      </c>
      <c r="S436">
        <v>12253</v>
      </c>
      <c r="T436">
        <v>7895</v>
      </c>
      <c r="U436">
        <v>12497</v>
      </c>
      <c r="V436">
        <v>31504</v>
      </c>
      <c r="AA436" t="s">
        <v>4376</v>
      </c>
      <c r="AC436">
        <v>10955</v>
      </c>
      <c r="AE436">
        <v>11790</v>
      </c>
      <c r="AG436" t="s">
        <v>4377</v>
      </c>
      <c r="AI436">
        <v>7739</v>
      </c>
      <c r="AP436" t="s">
        <v>4378</v>
      </c>
      <c r="AR436">
        <v>15234</v>
      </c>
      <c r="AT436">
        <v>16038</v>
      </c>
      <c r="AV436" t="s">
        <v>4379</v>
      </c>
      <c r="AX436">
        <v>12351</v>
      </c>
      <c r="BB436" t="s">
        <v>4380</v>
      </c>
      <c r="BD436">
        <v>11139</v>
      </c>
      <c r="BF436">
        <v>12012</v>
      </c>
      <c r="BH436" t="s">
        <v>4381</v>
      </c>
      <c r="BJ436">
        <v>29360</v>
      </c>
    </row>
    <row r="437" spans="1:62">
      <c r="A437">
        <f t="shared" si="73"/>
        <v>11.268</v>
      </c>
      <c r="B437">
        <f t="shared" si="74"/>
        <v>15.357</v>
      </c>
      <c r="C437">
        <f t="shared" si="75"/>
        <v>11.49</v>
      </c>
      <c r="D437">
        <f t="shared" si="76"/>
        <v>12.023</v>
      </c>
      <c r="E437">
        <f t="shared" si="77"/>
        <v>16.306</v>
      </c>
      <c r="F437">
        <f t="shared" si="78"/>
        <v>12.325</v>
      </c>
      <c r="G437">
        <f t="shared" si="79"/>
        <v>7.91</v>
      </c>
      <c r="H437">
        <f t="shared" si="80"/>
        <v>12.51</v>
      </c>
      <c r="I437">
        <f t="shared" si="81"/>
        <v>32.063</v>
      </c>
      <c r="J437">
        <f t="shared" si="82"/>
        <v>0</v>
      </c>
      <c r="K437">
        <f t="shared" si="83"/>
        <v>0</v>
      </c>
      <c r="L437">
        <f t="shared" si="84"/>
        <v>0</v>
      </c>
      <c r="N437">
        <v>11268</v>
      </c>
      <c r="O437">
        <v>15357</v>
      </c>
      <c r="P437">
        <v>11490</v>
      </c>
      <c r="Q437">
        <v>12023</v>
      </c>
      <c r="R437">
        <v>16306</v>
      </c>
      <c r="S437">
        <v>12325</v>
      </c>
      <c r="T437">
        <v>7910</v>
      </c>
      <c r="U437">
        <v>12510</v>
      </c>
      <c r="V437">
        <v>32063</v>
      </c>
      <c r="AA437" t="s">
        <v>4382</v>
      </c>
      <c r="AC437">
        <v>10974</v>
      </c>
      <c r="AE437">
        <v>11792</v>
      </c>
      <c r="AG437" t="s">
        <v>4383</v>
      </c>
      <c r="AI437">
        <v>7786</v>
      </c>
      <c r="AP437" t="s">
        <v>4384</v>
      </c>
      <c r="AR437">
        <v>15281</v>
      </c>
      <c r="AT437">
        <v>16071</v>
      </c>
      <c r="AV437" t="s">
        <v>4385</v>
      </c>
      <c r="AX437">
        <v>12367</v>
      </c>
      <c r="BB437" t="s">
        <v>4386</v>
      </c>
      <c r="BD437">
        <v>11171</v>
      </c>
      <c r="BF437">
        <v>12037</v>
      </c>
      <c r="BH437" t="s">
        <v>4387</v>
      </c>
      <c r="BJ437">
        <v>29850</v>
      </c>
    </row>
    <row r="438" spans="1:62">
      <c r="A438">
        <f t="shared" si="73"/>
        <v>11.279</v>
      </c>
      <c r="B438">
        <f t="shared" si="74"/>
        <v>15.366</v>
      </c>
      <c r="C438">
        <f t="shared" si="75"/>
        <v>11.511</v>
      </c>
      <c r="D438">
        <f t="shared" si="76"/>
        <v>12.057</v>
      </c>
      <c r="E438">
        <f t="shared" si="77"/>
        <v>16.378</v>
      </c>
      <c r="F438">
        <f t="shared" si="78"/>
        <v>12.367</v>
      </c>
      <c r="G438">
        <f t="shared" si="79"/>
        <v>7.932</v>
      </c>
      <c r="H438">
        <f t="shared" si="80"/>
        <v>12.512</v>
      </c>
      <c r="I438">
        <f t="shared" si="81"/>
        <v>32.1</v>
      </c>
      <c r="J438">
        <f t="shared" si="82"/>
        <v>0</v>
      </c>
      <c r="K438">
        <f t="shared" si="83"/>
        <v>0</v>
      </c>
      <c r="L438">
        <f t="shared" si="84"/>
        <v>0</v>
      </c>
      <c r="N438">
        <v>11279</v>
      </c>
      <c r="O438">
        <v>15366</v>
      </c>
      <c r="P438">
        <v>11511</v>
      </c>
      <c r="Q438">
        <v>12057</v>
      </c>
      <c r="R438">
        <v>16378</v>
      </c>
      <c r="S438">
        <v>12367</v>
      </c>
      <c r="T438">
        <v>7932</v>
      </c>
      <c r="U438">
        <v>12512</v>
      </c>
      <c r="V438">
        <v>32100</v>
      </c>
      <c r="AA438" t="s">
        <v>4388</v>
      </c>
      <c r="AC438">
        <v>10983</v>
      </c>
      <c r="AE438">
        <v>11863</v>
      </c>
      <c r="AG438" t="s">
        <v>4389</v>
      </c>
      <c r="AI438">
        <v>7787</v>
      </c>
      <c r="AP438" t="s">
        <v>4390</v>
      </c>
      <c r="AR438">
        <v>15286</v>
      </c>
      <c r="AT438">
        <v>16114</v>
      </c>
      <c r="AV438" t="s">
        <v>4391</v>
      </c>
      <c r="AX438">
        <v>12453</v>
      </c>
      <c r="BB438" t="s">
        <v>4392</v>
      </c>
      <c r="BD438">
        <v>11207</v>
      </c>
      <c r="BF438">
        <v>12087</v>
      </c>
      <c r="BH438" t="s">
        <v>4393</v>
      </c>
      <c r="BJ438">
        <v>29865</v>
      </c>
    </row>
    <row r="439" spans="1:62">
      <c r="A439">
        <f t="shared" si="73"/>
        <v>11.282</v>
      </c>
      <c r="B439">
        <f t="shared" si="74"/>
        <v>15.378</v>
      </c>
      <c r="C439">
        <f t="shared" si="75"/>
        <v>11.529</v>
      </c>
      <c r="D439">
        <f t="shared" si="76"/>
        <v>12.07</v>
      </c>
      <c r="E439">
        <f t="shared" si="77"/>
        <v>16.414</v>
      </c>
      <c r="F439">
        <f t="shared" si="78"/>
        <v>12.373</v>
      </c>
      <c r="G439">
        <f t="shared" si="79"/>
        <v>8.019</v>
      </c>
      <c r="H439">
        <f t="shared" si="80"/>
        <v>12.557</v>
      </c>
      <c r="I439">
        <f t="shared" si="81"/>
        <v>32.159</v>
      </c>
      <c r="J439">
        <f t="shared" si="82"/>
        <v>0</v>
      </c>
      <c r="K439">
        <f t="shared" si="83"/>
        <v>0</v>
      </c>
      <c r="L439">
        <f t="shared" si="84"/>
        <v>0</v>
      </c>
      <c r="N439">
        <v>11282</v>
      </c>
      <c r="O439">
        <v>15378</v>
      </c>
      <c r="P439">
        <v>11529</v>
      </c>
      <c r="Q439">
        <v>12070</v>
      </c>
      <c r="R439">
        <v>16414</v>
      </c>
      <c r="S439">
        <v>12373</v>
      </c>
      <c r="T439">
        <v>8019</v>
      </c>
      <c r="U439">
        <v>12557</v>
      </c>
      <c r="V439">
        <v>32159</v>
      </c>
      <c r="AA439" t="s">
        <v>4394</v>
      </c>
      <c r="AC439">
        <v>10990</v>
      </c>
      <c r="AE439">
        <v>11871</v>
      </c>
      <c r="AG439" t="s">
        <v>4395</v>
      </c>
      <c r="AI439">
        <v>7812</v>
      </c>
      <c r="AP439" t="s">
        <v>4396</v>
      </c>
      <c r="AR439">
        <v>15299</v>
      </c>
      <c r="AT439">
        <v>16141</v>
      </c>
      <c r="AV439" t="s">
        <v>4397</v>
      </c>
      <c r="AX439">
        <v>12453</v>
      </c>
      <c r="BB439" t="s">
        <v>4398</v>
      </c>
      <c r="BD439">
        <v>11209</v>
      </c>
      <c r="BF439">
        <v>12122</v>
      </c>
      <c r="BH439" t="s">
        <v>4399</v>
      </c>
      <c r="BJ439">
        <v>30271</v>
      </c>
    </row>
    <row r="440" spans="1:62">
      <c r="A440">
        <f t="shared" si="73"/>
        <v>11.286</v>
      </c>
      <c r="B440">
        <f t="shared" si="74"/>
        <v>15.391</v>
      </c>
      <c r="C440">
        <f t="shared" si="75"/>
        <v>11.578</v>
      </c>
      <c r="D440">
        <f t="shared" si="76"/>
        <v>12.136</v>
      </c>
      <c r="E440">
        <f t="shared" si="77"/>
        <v>16.417</v>
      </c>
      <c r="F440">
        <f t="shared" si="78"/>
        <v>12.412</v>
      </c>
      <c r="G440">
        <f t="shared" si="79"/>
        <v>8.032</v>
      </c>
      <c r="H440">
        <f t="shared" si="80"/>
        <v>12.561</v>
      </c>
      <c r="I440">
        <f t="shared" si="81"/>
        <v>32.196</v>
      </c>
      <c r="J440">
        <f t="shared" si="82"/>
        <v>0</v>
      </c>
      <c r="K440">
        <f t="shared" si="83"/>
        <v>0</v>
      </c>
      <c r="L440">
        <f t="shared" si="84"/>
        <v>0</v>
      </c>
      <c r="N440">
        <v>11286</v>
      </c>
      <c r="O440">
        <v>15391</v>
      </c>
      <c r="P440">
        <v>11578</v>
      </c>
      <c r="Q440">
        <v>12136</v>
      </c>
      <c r="R440">
        <v>16417</v>
      </c>
      <c r="S440">
        <v>12412</v>
      </c>
      <c r="T440">
        <v>8032</v>
      </c>
      <c r="U440">
        <v>12561</v>
      </c>
      <c r="V440">
        <v>32196</v>
      </c>
      <c r="AA440" t="s">
        <v>4400</v>
      </c>
      <c r="AC440">
        <v>11015</v>
      </c>
      <c r="AE440">
        <v>11899</v>
      </c>
      <c r="AG440" t="s">
        <v>4401</v>
      </c>
      <c r="AI440">
        <v>7814</v>
      </c>
      <c r="AP440" t="s">
        <v>4402</v>
      </c>
      <c r="AR440">
        <v>15311</v>
      </c>
      <c r="AT440">
        <v>16196</v>
      </c>
      <c r="AV440" t="s">
        <v>4403</v>
      </c>
      <c r="AX440">
        <v>12454</v>
      </c>
      <c r="BB440" t="s">
        <v>4404</v>
      </c>
      <c r="BD440">
        <v>11285</v>
      </c>
      <c r="BF440">
        <v>12125</v>
      </c>
      <c r="BH440" t="s">
        <v>4405</v>
      </c>
      <c r="BJ440">
        <v>30586</v>
      </c>
    </row>
    <row r="441" spans="1:62">
      <c r="A441">
        <f t="shared" si="73"/>
        <v>11.32</v>
      </c>
      <c r="B441">
        <f t="shared" si="74"/>
        <v>15.409</v>
      </c>
      <c r="C441">
        <f t="shared" si="75"/>
        <v>11.692</v>
      </c>
      <c r="D441">
        <f t="shared" si="76"/>
        <v>12.155</v>
      </c>
      <c r="E441">
        <f t="shared" si="77"/>
        <v>16.735</v>
      </c>
      <c r="F441">
        <f t="shared" si="78"/>
        <v>12.454</v>
      </c>
      <c r="G441">
        <f t="shared" si="79"/>
        <v>8.048</v>
      </c>
      <c r="H441">
        <f t="shared" si="80"/>
        <v>12.565</v>
      </c>
      <c r="I441">
        <f t="shared" si="81"/>
        <v>32.23</v>
      </c>
      <c r="J441">
        <f t="shared" si="82"/>
        <v>0</v>
      </c>
      <c r="K441">
        <f t="shared" si="83"/>
        <v>0</v>
      </c>
      <c r="L441">
        <f t="shared" si="84"/>
        <v>0</v>
      </c>
      <c r="N441">
        <v>11320</v>
      </c>
      <c r="O441">
        <v>15409</v>
      </c>
      <c r="P441">
        <v>11692</v>
      </c>
      <c r="Q441">
        <v>12155</v>
      </c>
      <c r="R441">
        <v>16735</v>
      </c>
      <c r="S441">
        <v>12454</v>
      </c>
      <c r="T441">
        <v>8048</v>
      </c>
      <c r="U441">
        <v>12565</v>
      </c>
      <c r="V441">
        <v>32230</v>
      </c>
      <c r="AA441" t="s">
        <v>4406</v>
      </c>
      <c r="AC441">
        <v>11078</v>
      </c>
      <c r="AE441">
        <v>11912</v>
      </c>
      <c r="AG441" t="s">
        <v>4407</v>
      </c>
      <c r="AI441">
        <v>7850</v>
      </c>
      <c r="AP441" t="s">
        <v>4408</v>
      </c>
      <c r="AR441">
        <v>15317</v>
      </c>
      <c r="AT441">
        <v>16212</v>
      </c>
      <c r="AV441" t="s">
        <v>4409</v>
      </c>
      <c r="AX441">
        <v>12463</v>
      </c>
      <c r="BB441" t="s">
        <v>4410</v>
      </c>
      <c r="BD441">
        <v>11384</v>
      </c>
      <c r="BF441">
        <v>12208</v>
      </c>
      <c r="BH441" t="s">
        <v>4411</v>
      </c>
      <c r="BJ441">
        <v>30617</v>
      </c>
    </row>
    <row r="442" spans="1:62">
      <c r="A442">
        <f t="shared" si="73"/>
        <v>11.328</v>
      </c>
      <c r="B442">
        <f t="shared" si="74"/>
        <v>15.422</v>
      </c>
      <c r="C442">
        <f t="shared" si="75"/>
        <v>11.707</v>
      </c>
      <c r="D442">
        <f t="shared" si="76"/>
        <v>12.204</v>
      </c>
      <c r="E442">
        <f t="shared" si="77"/>
        <v>16.956</v>
      </c>
      <c r="F442">
        <f t="shared" si="78"/>
        <v>12.571</v>
      </c>
      <c r="G442">
        <f t="shared" si="79"/>
        <v>8.049</v>
      </c>
      <c r="H442">
        <f t="shared" si="80"/>
        <v>12.568</v>
      </c>
      <c r="I442">
        <f t="shared" si="81"/>
        <v>32.406</v>
      </c>
      <c r="J442">
        <f t="shared" si="82"/>
        <v>0</v>
      </c>
      <c r="K442">
        <f t="shared" si="83"/>
        <v>0</v>
      </c>
      <c r="L442">
        <f t="shared" si="84"/>
        <v>0</v>
      </c>
      <c r="N442">
        <v>11328</v>
      </c>
      <c r="O442">
        <v>15422</v>
      </c>
      <c r="P442">
        <v>11707</v>
      </c>
      <c r="Q442">
        <v>12204</v>
      </c>
      <c r="R442">
        <v>16956</v>
      </c>
      <c r="S442">
        <v>12571</v>
      </c>
      <c r="T442">
        <v>8049</v>
      </c>
      <c r="U442">
        <v>12568</v>
      </c>
      <c r="V442">
        <v>32406</v>
      </c>
      <c r="AA442" t="s">
        <v>4412</v>
      </c>
      <c r="AC442">
        <v>11103</v>
      </c>
      <c r="AE442">
        <v>11912</v>
      </c>
      <c r="AG442" t="s">
        <v>4413</v>
      </c>
      <c r="AI442">
        <v>7854</v>
      </c>
      <c r="AP442" t="s">
        <v>4414</v>
      </c>
      <c r="AR442">
        <v>15320</v>
      </c>
      <c r="AT442">
        <v>16272</v>
      </c>
      <c r="AV442" t="s">
        <v>4415</v>
      </c>
      <c r="AX442">
        <v>12477</v>
      </c>
      <c r="BB442" t="s">
        <v>4416</v>
      </c>
      <c r="BD442">
        <v>11399</v>
      </c>
      <c r="BF442">
        <v>12214</v>
      </c>
      <c r="BH442" t="s">
        <v>4417</v>
      </c>
      <c r="BJ442">
        <v>30688</v>
      </c>
    </row>
    <row r="443" spans="1:62">
      <c r="A443">
        <f t="shared" si="73"/>
        <v>11.393</v>
      </c>
      <c r="B443">
        <f t="shared" si="74"/>
        <v>15.439</v>
      </c>
      <c r="C443">
        <f t="shared" si="75"/>
        <v>11.738</v>
      </c>
      <c r="D443">
        <f t="shared" si="76"/>
        <v>12.298</v>
      </c>
      <c r="E443">
        <f t="shared" si="77"/>
        <v>16.98</v>
      </c>
      <c r="F443">
        <f t="shared" si="78"/>
        <v>12.616</v>
      </c>
      <c r="G443">
        <f t="shared" si="79"/>
        <v>8.066</v>
      </c>
      <c r="H443">
        <f t="shared" si="80"/>
        <v>12.626</v>
      </c>
      <c r="I443">
        <f t="shared" si="81"/>
        <v>32.436</v>
      </c>
      <c r="J443">
        <f t="shared" si="82"/>
        <v>0</v>
      </c>
      <c r="K443">
        <f t="shared" si="83"/>
        <v>0</v>
      </c>
      <c r="L443">
        <f t="shared" si="84"/>
        <v>0</v>
      </c>
      <c r="N443">
        <v>11393</v>
      </c>
      <c r="O443">
        <v>15439</v>
      </c>
      <c r="P443">
        <v>11738</v>
      </c>
      <c r="Q443">
        <v>12298</v>
      </c>
      <c r="R443">
        <v>16980</v>
      </c>
      <c r="S443">
        <v>12616</v>
      </c>
      <c r="T443">
        <v>8066</v>
      </c>
      <c r="U443">
        <v>12626</v>
      </c>
      <c r="V443">
        <v>32436</v>
      </c>
      <c r="AA443" t="s">
        <v>4418</v>
      </c>
      <c r="AC443">
        <v>11126</v>
      </c>
      <c r="AE443">
        <v>11927</v>
      </c>
      <c r="AG443" t="s">
        <v>4419</v>
      </c>
      <c r="AI443">
        <v>7880</v>
      </c>
      <c r="AP443" t="s">
        <v>4420</v>
      </c>
      <c r="AR443">
        <v>15342</v>
      </c>
      <c r="AT443">
        <v>16279</v>
      </c>
      <c r="AV443" t="s">
        <v>4421</v>
      </c>
      <c r="AX443">
        <v>12497</v>
      </c>
      <c r="BB443" t="s">
        <v>4422</v>
      </c>
      <c r="BD443">
        <v>11429</v>
      </c>
      <c r="BF443">
        <v>12251</v>
      </c>
      <c r="BH443" t="s">
        <v>4423</v>
      </c>
      <c r="BJ443">
        <v>31164</v>
      </c>
    </row>
    <row r="444" spans="1:62">
      <c r="A444">
        <f t="shared" si="73"/>
        <v>11.434</v>
      </c>
      <c r="B444">
        <f t="shared" si="74"/>
        <v>15.548</v>
      </c>
      <c r="C444">
        <f t="shared" si="75"/>
        <v>11.743</v>
      </c>
      <c r="D444">
        <f t="shared" si="76"/>
        <v>12.308</v>
      </c>
      <c r="E444">
        <f t="shared" si="77"/>
        <v>17.002</v>
      </c>
      <c r="F444">
        <f t="shared" si="78"/>
        <v>12.682</v>
      </c>
      <c r="G444">
        <f t="shared" si="79"/>
        <v>8.077</v>
      </c>
      <c r="H444">
        <f t="shared" si="80"/>
        <v>12.634</v>
      </c>
      <c r="I444">
        <f t="shared" si="81"/>
        <v>32.797</v>
      </c>
      <c r="J444">
        <f t="shared" si="82"/>
        <v>0</v>
      </c>
      <c r="K444">
        <f t="shared" si="83"/>
        <v>0</v>
      </c>
      <c r="L444">
        <f t="shared" si="84"/>
        <v>0</v>
      </c>
      <c r="N444">
        <v>11434</v>
      </c>
      <c r="O444">
        <v>15548</v>
      </c>
      <c r="P444">
        <v>11743</v>
      </c>
      <c r="Q444">
        <v>12308</v>
      </c>
      <c r="R444">
        <v>17002</v>
      </c>
      <c r="S444">
        <v>12682</v>
      </c>
      <c r="T444">
        <v>8077</v>
      </c>
      <c r="U444">
        <v>12634</v>
      </c>
      <c r="V444">
        <v>32797</v>
      </c>
      <c r="AA444" t="s">
        <v>4424</v>
      </c>
      <c r="AC444">
        <v>11200</v>
      </c>
      <c r="AE444">
        <v>12018</v>
      </c>
      <c r="AG444" t="s">
        <v>4425</v>
      </c>
      <c r="AI444">
        <v>7895</v>
      </c>
      <c r="AP444" t="s">
        <v>4426</v>
      </c>
      <c r="AR444">
        <v>15357</v>
      </c>
      <c r="AT444">
        <v>16306</v>
      </c>
      <c r="AV444" t="s">
        <v>4427</v>
      </c>
      <c r="AX444">
        <v>12510</v>
      </c>
      <c r="BB444" t="s">
        <v>4428</v>
      </c>
      <c r="BD444">
        <v>11435</v>
      </c>
      <c r="BF444">
        <v>12253</v>
      </c>
      <c r="BH444" t="s">
        <v>4429</v>
      </c>
      <c r="BJ444">
        <v>31504</v>
      </c>
    </row>
    <row r="445" spans="1:62">
      <c r="A445">
        <f t="shared" si="73"/>
        <v>11.457</v>
      </c>
      <c r="B445">
        <f t="shared" si="74"/>
        <v>15.553</v>
      </c>
      <c r="C445">
        <f t="shared" si="75"/>
        <v>11.794</v>
      </c>
      <c r="D445">
        <f t="shared" si="76"/>
        <v>12.341</v>
      </c>
      <c r="E445">
        <f t="shared" si="77"/>
        <v>17.03</v>
      </c>
      <c r="F445">
        <f t="shared" si="78"/>
        <v>12.723</v>
      </c>
      <c r="G445">
        <f t="shared" si="79"/>
        <v>8.188</v>
      </c>
      <c r="H445">
        <f t="shared" si="80"/>
        <v>12.639</v>
      </c>
      <c r="I445">
        <f t="shared" si="81"/>
        <v>32.807</v>
      </c>
      <c r="J445">
        <f t="shared" si="82"/>
        <v>0</v>
      </c>
      <c r="K445">
        <f t="shared" si="83"/>
        <v>0</v>
      </c>
      <c r="L445">
        <f t="shared" si="84"/>
        <v>0</v>
      </c>
      <c r="N445">
        <v>11457</v>
      </c>
      <c r="O445">
        <v>15553</v>
      </c>
      <c r="P445">
        <v>11794</v>
      </c>
      <c r="Q445">
        <v>12341</v>
      </c>
      <c r="R445">
        <v>17030</v>
      </c>
      <c r="S445">
        <v>12723</v>
      </c>
      <c r="T445">
        <v>8188</v>
      </c>
      <c r="U445">
        <v>12639</v>
      </c>
      <c r="V445">
        <v>32807</v>
      </c>
      <c r="AA445" t="s">
        <v>4430</v>
      </c>
      <c r="AC445">
        <v>11268</v>
      </c>
      <c r="AE445">
        <v>12023</v>
      </c>
      <c r="AG445" t="s">
        <v>4431</v>
      </c>
      <c r="AI445">
        <v>7910</v>
      </c>
      <c r="AP445" t="s">
        <v>4432</v>
      </c>
      <c r="AR445">
        <v>15366</v>
      </c>
      <c r="AT445">
        <v>16378</v>
      </c>
      <c r="AV445" t="s">
        <v>4433</v>
      </c>
      <c r="AX445">
        <v>12512</v>
      </c>
      <c r="BB445" t="s">
        <v>4434</v>
      </c>
      <c r="BD445">
        <v>11490</v>
      </c>
      <c r="BF445">
        <v>12325</v>
      </c>
      <c r="BH445" t="s">
        <v>4435</v>
      </c>
      <c r="BJ445">
        <v>32063</v>
      </c>
    </row>
    <row r="446" spans="1:62">
      <c r="A446">
        <f t="shared" si="73"/>
        <v>11.465</v>
      </c>
      <c r="B446">
        <f t="shared" si="74"/>
        <v>15.603</v>
      </c>
      <c r="C446">
        <f t="shared" si="75"/>
        <v>11.811</v>
      </c>
      <c r="D446">
        <f t="shared" si="76"/>
        <v>12.431</v>
      </c>
      <c r="E446">
        <f t="shared" si="77"/>
        <v>17.25</v>
      </c>
      <c r="F446">
        <f t="shared" si="78"/>
        <v>12.749</v>
      </c>
      <c r="G446">
        <f t="shared" si="79"/>
        <v>8.189</v>
      </c>
      <c r="H446">
        <f t="shared" si="80"/>
        <v>12.649</v>
      </c>
      <c r="I446">
        <f t="shared" si="81"/>
        <v>32.939</v>
      </c>
      <c r="J446">
        <f t="shared" si="82"/>
        <v>0</v>
      </c>
      <c r="K446">
        <f t="shared" si="83"/>
        <v>0</v>
      </c>
      <c r="L446">
        <f t="shared" si="84"/>
        <v>0</v>
      </c>
      <c r="N446">
        <v>11465</v>
      </c>
      <c r="O446">
        <v>15603</v>
      </c>
      <c r="P446">
        <v>11811</v>
      </c>
      <c r="Q446">
        <v>12431</v>
      </c>
      <c r="R446">
        <v>17250</v>
      </c>
      <c r="S446">
        <v>12749</v>
      </c>
      <c r="T446">
        <v>8189</v>
      </c>
      <c r="U446">
        <v>12649</v>
      </c>
      <c r="V446">
        <v>32939</v>
      </c>
      <c r="AA446" t="s">
        <v>4436</v>
      </c>
      <c r="AC446">
        <v>11279</v>
      </c>
      <c r="AE446">
        <v>12057</v>
      </c>
      <c r="AG446" t="s">
        <v>4437</v>
      </c>
      <c r="AI446">
        <v>7932</v>
      </c>
      <c r="AP446" t="s">
        <v>4438</v>
      </c>
      <c r="AR446">
        <v>15378</v>
      </c>
      <c r="AT446">
        <v>16414</v>
      </c>
      <c r="AV446" t="s">
        <v>4439</v>
      </c>
      <c r="AX446">
        <v>12557</v>
      </c>
      <c r="BB446" t="s">
        <v>4440</v>
      </c>
      <c r="BD446">
        <v>11511</v>
      </c>
      <c r="BF446">
        <v>12367</v>
      </c>
      <c r="BH446" t="s">
        <v>4441</v>
      </c>
      <c r="BJ446">
        <v>32100</v>
      </c>
    </row>
    <row r="447" spans="1:62">
      <c r="A447">
        <f t="shared" si="73"/>
        <v>11.466</v>
      </c>
      <c r="B447">
        <f t="shared" si="74"/>
        <v>15.742</v>
      </c>
      <c r="C447">
        <f t="shared" si="75"/>
        <v>11.842</v>
      </c>
      <c r="D447">
        <f t="shared" si="76"/>
        <v>12.475</v>
      </c>
      <c r="E447">
        <f t="shared" si="77"/>
        <v>17.278</v>
      </c>
      <c r="F447">
        <f t="shared" si="78"/>
        <v>12.781</v>
      </c>
      <c r="G447">
        <f t="shared" si="79"/>
        <v>8.19</v>
      </c>
      <c r="H447">
        <f t="shared" si="80"/>
        <v>12.663</v>
      </c>
      <c r="I447">
        <f t="shared" si="81"/>
        <v>33.159</v>
      </c>
      <c r="J447">
        <f t="shared" si="82"/>
        <v>0</v>
      </c>
      <c r="K447">
        <f t="shared" si="83"/>
        <v>0</v>
      </c>
      <c r="L447">
        <f t="shared" si="84"/>
        <v>0</v>
      </c>
      <c r="N447">
        <v>11466</v>
      </c>
      <c r="O447">
        <v>15742</v>
      </c>
      <c r="P447">
        <v>11842</v>
      </c>
      <c r="Q447">
        <v>12475</v>
      </c>
      <c r="R447">
        <v>17278</v>
      </c>
      <c r="S447">
        <v>12781</v>
      </c>
      <c r="T447">
        <v>8190</v>
      </c>
      <c r="U447">
        <v>12663</v>
      </c>
      <c r="V447">
        <v>33159</v>
      </c>
      <c r="AA447" t="s">
        <v>4442</v>
      </c>
      <c r="AC447">
        <v>11282</v>
      </c>
      <c r="AE447">
        <v>12070</v>
      </c>
      <c r="AG447" t="s">
        <v>4443</v>
      </c>
      <c r="AI447">
        <v>8019</v>
      </c>
      <c r="AP447" t="s">
        <v>4444</v>
      </c>
      <c r="AR447">
        <v>15391</v>
      </c>
      <c r="AT447">
        <v>16417</v>
      </c>
      <c r="AV447" t="s">
        <v>4445</v>
      </c>
      <c r="AX447">
        <v>12561</v>
      </c>
      <c r="BB447" t="s">
        <v>4446</v>
      </c>
      <c r="BD447">
        <v>11529</v>
      </c>
      <c r="BF447">
        <v>12373</v>
      </c>
      <c r="BH447" t="s">
        <v>4447</v>
      </c>
      <c r="BJ447">
        <v>32159</v>
      </c>
    </row>
    <row r="448" spans="1:62">
      <c r="A448">
        <f t="shared" si="73"/>
        <v>11.519</v>
      </c>
      <c r="B448">
        <f t="shared" si="74"/>
        <v>15.758</v>
      </c>
      <c r="C448">
        <f t="shared" si="75"/>
        <v>11.888</v>
      </c>
      <c r="D448">
        <f t="shared" si="76"/>
        <v>12.482</v>
      </c>
      <c r="E448">
        <f t="shared" si="77"/>
        <v>17.311</v>
      </c>
      <c r="F448">
        <f t="shared" si="78"/>
        <v>12.832</v>
      </c>
      <c r="G448">
        <f t="shared" si="79"/>
        <v>8.219</v>
      </c>
      <c r="H448">
        <f t="shared" si="80"/>
        <v>12.672</v>
      </c>
      <c r="I448">
        <f t="shared" si="81"/>
        <v>33.177</v>
      </c>
      <c r="J448">
        <f t="shared" si="82"/>
        <v>0</v>
      </c>
      <c r="K448">
        <f t="shared" si="83"/>
        <v>0</v>
      </c>
      <c r="L448">
        <f t="shared" si="84"/>
        <v>0</v>
      </c>
      <c r="N448">
        <v>11519</v>
      </c>
      <c r="O448">
        <v>15758</v>
      </c>
      <c r="P448">
        <v>11888</v>
      </c>
      <c r="Q448">
        <v>12482</v>
      </c>
      <c r="R448">
        <v>17311</v>
      </c>
      <c r="S448">
        <v>12832</v>
      </c>
      <c r="T448">
        <v>8219</v>
      </c>
      <c r="U448">
        <v>12672</v>
      </c>
      <c r="V448">
        <v>33177</v>
      </c>
      <c r="AA448" t="s">
        <v>4448</v>
      </c>
      <c r="AC448">
        <v>11286</v>
      </c>
      <c r="AE448">
        <v>12136</v>
      </c>
      <c r="AG448" t="s">
        <v>4449</v>
      </c>
      <c r="AI448">
        <v>8032</v>
      </c>
      <c r="AP448" t="s">
        <v>4450</v>
      </c>
      <c r="AR448">
        <v>15409</v>
      </c>
      <c r="AT448">
        <v>16735</v>
      </c>
      <c r="AV448" t="s">
        <v>4451</v>
      </c>
      <c r="AX448">
        <v>12565</v>
      </c>
      <c r="BB448" t="s">
        <v>4452</v>
      </c>
      <c r="BD448">
        <v>11578</v>
      </c>
      <c r="BF448">
        <v>12412</v>
      </c>
      <c r="BH448" t="s">
        <v>4453</v>
      </c>
      <c r="BJ448">
        <v>32196</v>
      </c>
    </row>
    <row r="449" spans="1:62">
      <c r="A449">
        <f t="shared" si="73"/>
        <v>11.562</v>
      </c>
      <c r="B449">
        <f t="shared" si="74"/>
        <v>15.759</v>
      </c>
      <c r="C449">
        <f t="shared" si="75"/>
        <v>11.892</v>
      </c>
      <c r="D449">
        <f t="shared" si="76"/>
        <v>12.498</v>
      </c>
      <c r="E449">
        <f t="shared" si="77"/>
        <v>17.336</v>
      </c>
      <c r="F449">
        <f t="shared" si="78"/>
        <v>12.839</v>
      </c>
      <c r="G449">
        <f t="shared" si="79"/>
        <v>8.25</v>
      </c>
      <c r="H449">
        <f t="shared" si="80"/>
        <v>12.709</v>
      </c>
      <c r="I449">
        <f t="shared" si="81"/>
        <v>33.189</v>
      </c>
      <c r="J449">
        <f t="shared" si="82"/>
        <v>0</v>
      </c>
      <c r="K449">
        <f t="shared" si="83"/>
        <v>0</v>
      </c>
      <c r="L449">
        <f t="shared" si="84"/>
        <v>0</v>
      </c>
      <c r="N449">
        <v>11562</v>
      </c>
      <c r="O449">
        <v>15759</v>
      </c>
      <c r="P449">
        <v>11892</v>
      </c>
      <c r="Q449">
        <v>12498</v>
      </c>
      <c r="R449">
        <v>17336</v>
      </c>
      <c r="S449">
        <v>12839</v>
      </c>
      <c r="T449">
        <v>8250</v>
      </c>
      <c r="U449">
        <v>12709</v>
      </c>
      <c r="V449">
        <v>33189</v>
      </c>
      <c r="AA449" t="s">
        <v>4454</v>
      </c>
      <c r="AC449">
        <v>11320</v>
      </c>
      <c r="AE449">
        <v>12155</v>
      </c>
      <c r="AG449" t="s">
        <v>4455</v>
      </c>
      <c r="AI449">
        <v>8048</v>
      </c>
      <c r="AP449" t="s">
        <v>4456</v>
      </c>
      <c r="AR449">
        <v>15422</v>
      </c>
      <c r="AT449">
        <v>16956</v>
      </c>
      <c r="AV449" t="s">
        <v>4457</v>
      </c>
      <c r="AX449">
        <v>12568</v>
      </c>
      <c r="BB449" t="s">
        <v>4458</v>
      </c>
      <c r="BD449">
        <v>11692</v>
      </c>
      <c r="BF449">
        <v>12454</v>
      </c>
      <c r="BH449" t="s">
        <v>4459</v>
      </c>
      <c r="BJ449">
        <v>32230</v>
      </c>
    </row>
    <row r="450" spans="1:62">
      <c r="A450">
        <f t="shared" si="73"/>
        <v>11.563</v>
      </c>
      <c r="B450">
        <f t="shared" si="74"/>
        <v>15.81</v>
      </c>
      <c r="C450">
        <f t="shared" si="75"/>
        <v>11.915</v>
      </c>
      <c r="D450">
        <f t="shared" si="76"/>
        <v>12.507</v>
      </c>
      <c r="E450">
        <f t="shared" si="77"/>
        <v>17.414</v>
      </c>
      <c r="F450">
        <f t="shared" si="78"/>
        <v>12.866</v>
      </c>
      <c r="G450">
        <f t="shared" si="79"/>
        <v>8.279</v>
      </c>
      <c r="H450">
        <f t="shared" si="80"/>
        <v>12.751</v>
      </c>
      <c r="I450">
        <f t="shared" si="81"/>
        <v>33.243</v>
      </c>
      <c r="J450">
        <f t="shared" si="82"/>
        <v>0</v>
      </c>
      <c r="K450">
        <f t="shared" si="83"/>
        <v>0</v>
      </c>
      <c r="L450">
        <f t="shared" si="84"/>
        <v>0</v>
      </c>
      <c r="N450">
        <v>11563</v>
      </c>
      <c r="O450">
        <v>15810</v>
      </c>
      <c r="P450">
        <v>11915</v>
      </c>
      <c r="Q450">
        <v>12507</v>
      </c>
      <c r="R450">
        <v>17414</v>
      </c>
      <c r="S450">
        <v>12866</v>
      </c>
      <c r="T450">
        <v>8279</v>
      </c>
      <c r="U450">
        <v>12751</v>
      </c>
      <c r="V450">
        <v>33243</v>
      </c>
      <c r="AA450" t="s">
        <v>4460</v>
      </c>
      <c r="AC450">
        <v>11328</v>
      </c>
      <c r="AE450">
        <v>12204</v>
      </c>
      <c r="AG450" t="s">
        <v>4461</v>
      </c>
      <c r="AI450">
        <v>8049</v>
      </c>
      <c r="AP450" t="s">
        <v>4462</v>
      </c>
      <c r="AR450">
        <v>15439</v>
      </c>
      <c r="AT450">
        <v>16980</v>
      </c>
      <c r="AV450" t="s">
        <v>4463</v>
      </c>
      <c r="AX450">
        <v>12626</v>
      </c>
      <c r="BB450" t="s">
        <v>4464</v>
      </c>
      <c r="BD450">
        <v>11707</v>
      </c>
      <c r="BF450">
        <v>12571</v>
      </c>
      <c r="BH450" t="s">
        <v>4465</v>
      </c>
      <c r="BJ450">
        <v>32406</v>
      </c>
    </row>
    <row r="451" spans="1:62">
      <c r="A451">
        <f t="shared" si="73"/>
        <v>11.604</v>
      </c>
      <c r="B451">
        <f t="shared" si="74"/>
        <v>15.814</v>
      </c>
      <c r="C451">
        <f t="shared" si="75"/>
        <v>11.977</v>
      </c>
      <c r="D451">
        <f t="shared" si="76"/>
        <v>12.535</v>
      </c>
      <c r="E451">
        <f t="shared" si="77"/>
        <v>17.464</v>
      </c>
      <c r="F451">
        <f t="shared" si="78"/>
        <v>12.977</v>
      </c>
      <c r="G451">
        <f t="shared" si="79"/>
        <v>8.297</v>
      </c>
      <c r="H451">
        <f t="shared" si="80"/>
        <v>12.81</v>
      </c>
      <c r="I451">
        <f t="shared" si="81"/>
        <v>33.348</v>
      </c>
      <c r="J451">
        <f t="shared" si="82"/>
        <v>0</v>
      </c>
      <c r="K451">
        <f t="shared" si="83"/>
        <v>0</v>
      </c>
      <c r="L451">
        <f t="shared" si="84"/>
        <v>0</v>
      </c>
      <c r="N451">
        <v>11604</v>
      </c>
      <c r="O451">
        <v>15814</v>
      </c>
      <c r="P451">
        <v>11977</v>
      </c>
      <c r="Q451">
        <v>12535</v>
      </c>
      <c r="R451">
        <v>17464</v>
      </c>
      <c r="S451">
        <v>12977</v>
      </c>
      <c r="T451">
        <v>8297</v>
      </c>
      <c r="U451">
        <v>12810</v>
      </c>
      <c r="V451">
        <v>33348</v>
      </c>
      <c r="AA451" t="s">
        <v>4466</v>
      </c>
      <c r="AC451">
        <v>11393</v>
      </c>
      <c r="AE451">
        <v>12298</v>
      </c>
      <c r="AG451" t="s">
        <v>4467</v>
      </c>
      <c r="AI451">
        <v>8066</v>
      </c>
      <c r="AP451" t="s">
        <v>4468</v>
      </c>
      <c r="AR451">
        <v>15548</v>
      </c>
      <c r="AT451">
        <v>17002</v>
      </c>
      <c r="AV451" t="s">
        <v>4469</v>
      </c>
      <c r="AX451">
        <v>12634</v>
      </c>
      <c r="BB451" t="s">
        <v>4470</v>
      </c>
      <c r="BD451">
        <v>11738</v>
      </c>
      <c r="BF451">
        <v>12616</v>
      </c>
      <c r="BH451" t="s">
        <v>4471</v>
      </c>
      <c r="BJ451">
        <v>32436</v>
      </c>
    </row>
    <row r="452" spans="1:62">
      <c r="A452">
        <f t="shared" ref="A452:A515" si="85">N452/1000</f>
        <v>11.628</v>
      </c>
      <c r="B452">
        <f t="shared" ref="B452:B515" si="86">O452/1000</f>
        <v>15.842</v>
      </c>
      <c r="C452">
        <f t="shared" ref="C452:C515" si="87">P452/1000</f>
        <v>11.995</v>
      </c>
      <c r="D452">
        <f t="shared" ref="D452:D515" si="88">Q452/1000</f>
        <v>12.582</v>
      </c>
      <c r="E452">
        <f t="shared" ref="E452:E515" si="89">R452/1000</f>
        <v>17.466</v>
      </c>
      <c r="F452">
        <f t="shared" ref="F452:F515" si="90">S452/1000</f>
        <v>13.034</v>
      </c>
      <c r="G452">
        <f t="shared" ref="G452:G515" si="91">T452/1000</f>
        <v>8.298</v>
      </c>
      <c r="H452">
        <f t="shared" ref="H452:H515" si="92">U452/1000</f>
        <v>12.841</v>
      </c>
      <c r="I452">
        <f t="shared" ref="I452:I515" si="93">V452/1000</f>
        <v>33.488</v>
      </c>
      <c r="J452">
        <f t="shared" ref="J452:J515" si="94">W452/1000</f>
        <v>0</v>
      </c>
      <c r="K452">
        <f t="shared" ref="K452:K515" si="95">X452/1000</f>
        <v>0</v>
      </c>
      <c r="L452">
        <f t="shared" ref="L452:L515" si="96">Y452/1000</f>
        <v>0</v>
      </c>
      <c r="N452">
        <v>11628</v>
      </c>
      <c r="O452">
        <v>15842</v>
      </c>
      <c r="P452">
        <v>11995</v>
      </c>
      <c r="Q452">
        <v>12582</v>
      </c>
      <c r="R452">
        <v>17466</v>
      </c>
      <c r="S452">
        <v>13034</v>
      </c>
      <c r="T452">
        <v>8298</v>
      </c>
      <c r="U452">
        <v>12841</v>
      </c>
      <c r="V452">
        <v>33488</v>
      </c>
      <c r="AA452" t="s">
        <v>4472</v>
      </c>
      <c r="AC452">
        <v>11434</v>
      </c>
      <c r="AE452">
        <v>12308</v>
      </c>
      <c r="AG452" t="s">
        <v>4473</v>
      </c>
      <c r="AI452">
        <v>8077</v>
      </c>
      <c r="AP452" t="s">
        <v>4474</v>
      </c>
      <c r="AR452">
        <v>15553</v>
      </c>
      <c r="AT452">
        <v>17030</v>
      </c>
      <c r="AV452" t="s">
        <v>4475</v>
      </c>
      <c r="AX452">
        <v>12639</v>
      </c>
      <c r="BB452" t="s">
        <v>4476</v>
      </c>
      <c r="BD452">
        <v>11743</v>
      </c>
      <c r="BF452">
        <v>12682</v>
      </c>
      <c r="BH452" t="s">
        <v>4477</v>
      </c>
      <c r="BJ452">
        <v>32797</v>
      </c>
    </row>
    <row r="453" spans="1:62">
      <c r="A453">
        <f t="shared" si="85"/>
        <v>11.68</v>
      </c>
      <c r="B453">
        <f t="shared" si="86"/>
        <v>15.851</v>
      </c>
      <c r="C453">
        <f t="shared" si="87"/>
        <v>11.997</v>
      </c>
      <c r="D453">
        <f t="shared" si="88"/>
        <v>12.603</v>
      </c>
      <c r="E453">
        <f t="shared" si="89"/>
        <v>17.487</v>
      </c>
      <c r="F453">
        <f t="shared" si="90"/>
        <v>13.094</v>
      </c>
      <c r="G453">
        <f t="shared" si="91"/>
        <v>8.301</v>
      </c>
      <c r="H453">
        <f t="shared" si="92"/>
        <v>12.846</v>
      </c>
      <c r="I453">
        <f t="shared" si="93"/>
        <v>33.765</v>
      </c>
      <c r="J453">
        <f t="shared" si="94"/>
        <v>0</v>
      </c>
      <c r="K453">
        <f t="shared" si="95"/>
        <v>0</v>
      </c>
      <c r="L453">
        <f t="shared" si="96"/>
        <v>0</v>
      </c>
      <c r="N453">
        <v>11680</v>
      </c>
      <c r="O453">
        <v>15851</v>
      </c>
      <c r="P453">
        <v>11997</v>
      </c>
      <c r="Q453">
        <v>12603</v>
      </c>
      <c r="R453">
        <v>17487</v>
      </c>
      <c r="S453">
        <v>13094</v>
      </c>
      <c r="T453">
        <v>8301</v>
      </c>
      <c r="U453">
        <v>12846</v>
      </c>
      <c r="V453">
        <v>33765</v>
      </c>
      <c r="AA453" t="s">
        <v>4478</v>
      </c>
      <c r="AC453">
        <v>11457</v>
      </c>
      <c r="AE453">
        <v>12341</v>
      </c>
      <c r="AG453" t="s">
        <v>4479</v>
      </c>
      <c r="AI453">
        <v>8188</v>
      </c>
      <c r="AP453" t="s">
        <v>4480</v>
      </c>
      <c r="AR453">
        <v>15603</v>
      </c>
      <c r="AT453">
        <v>17250</v>
      </c>
      <c r="AV453" t="s">
        <v>4481</v>
      </c>
      <c r="AX453">
        <v>12649</v>
      </c>
      <c r="BB453" t="s">
        <v>4482</v>
      </c>
      <c r="BD453">
        <v>11794</v>
      </c>
      <c r="BF453">
        <v>12723</v>
      </c>
      <c r="BH453" t="s">
        <v>4483</v>
      </c>
      <c r="BJ453">
        <v>32807</v>
      </c>
    </row>
    <row r="454" spans="1:62">
      <c r="A454">
        <f t="shared" si="85"/>
        <v>11.747</v>
      </c>
      <c r="B454">
        <f t="shared" si="86"/>
        <v>15.927</v>
      </c>
      <c r="C454">
        <f t="shared" si="87"/>
        <v>12.012</v>
      </c>
      <c r="D454">
        <f t="shared" si="88"/>
        <v>12.656</v>
      </c>
      <c r="E454">
        <f t="shared" si="89"/>
        <v>17.602</v>
      </c>
      <c r="F454">
        <f t="shared" si="90"/>
        <v>13.116</v>
      </c>
      <c r="G454">
        <f t="shared" si="91"/>
        <v>8.307</v>
      </c>
      <c r="H454">
        <f t="shared" si="92"/>
        <v>12.884</v>
      </c>
      <c r="I454">
        <f t="shared" si="93"/>
        <v>34.271</v>
      </c>
      <c r="J454">
        <f t="shared" si="94"/>
        <v>0</v>
      </c>
      <c r="K454">
        <f t="shared" si="95"/>
        <v>0</v>
      </c>
      <c r="L454">
        <f t="shared" si="96"/>
        <v>0</v>
      </c>
      <c r="N454">
        <v>11747</v>
      </c>
      <c r="O454">
        <v>15927</v>
      </c>
      <c r="P454">
        <v>12012</v>
      </c>
      <c r="Q454">
        <v>12656</v>
      </c>
      <c r="R454">
        <v>17602</v>
      </c>
      <c r="S454">
        <v>13116</v>
      </c>
      <c r="T454">
        <v>8307</v>
      </c>
      <c r="U454">
        <v>12884</v>
      </c>
      <c r="V454">
        <v>34271</v>
      </c>
      <c r="AA454" t="s">
        <v>4484</v>
      </c>
      <c r="AC454">
        <v>11465</v>
      </c>
      <c r="AE454">
        <v>12431</v>
      </c>
      <c r="AG454" t="s">
        <v>4485</v>
      </c>
      <c r="AI454">
        <v>8189</v>
      </c>
      <c r="AP454" t="s">
        <v>4486</v>
      </c>
      <c r="AR454">
        <v>15742</v>
      </c>
      <c r="AT454">
        <v>17278</v>
      </c>
      <c r="AV454" t="s">
        <v>4487</v>
      </c>
      <c r="AX454">
        <v>12663</v>
      </c>
      <c r="BB454" t="s">
        <v>4488</v>
      </c>
      <c r="BD454">
        <v>11811</v>
      </c>
      <c r="BF454">
        <v>12749</v>
      </c>
      <c r="BH454" t="s">
        <v>4489</v>
      </c>
      <c r="BJ454">
        <v>32939</v>
      </c>
    </row>
    <row r="455" spans="1:62">
      <c r="A455">
        <f t="shared" si="85"/>
        <v>11.76</v>
      </c>
      <c r="B455">
        <f t="shared" si="86"/>
        <v>15.928</v>
      </c>
      <c r="C455">
        <f t="shared" si="87"/>
        <v>12.037</v>
      </c>
      <c r="D455">
        <f t="shared" si="88"/>
        <v>12.689</v>
      </c>
      <c r="E455">
        <f t="shared" si="89"/>
        <v>17.731</v>
      </c>
      <c r="F455">
        <f t="shared" si="90"/>
        <v>13.14</v>
      </c>
      <c r="G455">
        <f t="shared" si="91"/>
        <v>8.351</v>
      </c>
      <c r="H455">
        <f t="shared" si="92"/>
        <v>12.897</v>
      </c>
      <c r="I455">
        <f t="shared" si="93"/>
        <v>34.396</v>
      </c>
      <c r="J455">
        <f t="shared" si="94"/>
        <v>0</v>
      </c>
      <c r="K455">
        <f t="shared" si="95"/>
        <v>0</v>
      </c>
      <c r="L455">
        <f t="shared" si="96"/>
        <v>0</v>
      </c>
      <c r="N455">
        <v>11760</v>
      </c>
      <c r="O455">
        <v>15928</v>
      </c>
      <c r="P455">
        <v>12037</v>
      </c>
      <c r="Q455">
        <v>12689</v>
      </c>
      <c r="R455">
        <v>17731</v>
      </c>
      <c r="S455">
        <v>13140</v>
      </c>
      <c r="T455">
        <v>8351</v>
      </c>
      <c r="U455">
        <v>12897</v>
      </c>
      <c r="V455">
        <v>34396</v>
      </c>
      <c r="AA455" t="s">
        <v>4490</v>
      </c>
      <c r="AC455">
        <v>11466</v>
      </c>
      <c r="AE455">
        <v>12475</v>
      </c>
      <c r="AG455" t="s">
        <v>4491</v>
      </c>
      <c r="AI455">
        <v>8190</v>
      </c>
      <c r="AP455" t="s">
        <v>4492</v>
      </c>
      <c r="AR455">
        <v>15758</v>
      </c>
      <c r="AT455">
        <v>17311</v>
      </c>
      <c r="AV455" t="s">
        <v>4493</v>
      </c>
      <c r="AX455">
        <v>12672</v>
      </c>
      <c r="BB455" t="s">
        <v>4494</v>
      </c>
      <c r="BD455">
        <v>11842</v>
      </c>
      <c r="BF455">
        <v>12781</v>
      </c>
      <c r="BH455" t="s">
        <v>4495</v>
      </c>
      <c r="BJ455">
        <v>33159</v>
      </c>
    </row>
    <row r="456" spans="1:62">
      <c r="A456">
        <f t="shared" si="85"/>
        <v>11.76</v>
      </c>
      <c r="B456">
        <f t="shared" si="86"/>
        <v>15.994</v>
      </c>
      <c r="C456">
        <f t="shared" si="87"/>
        <v>12.087</v>
      </c>
      <c r="D456">
        <f t="shared" si="88"/>
        <v>12.753</v>
      </c>
      <c r="E456">
        <f t="shared" si="89"/>
        <v>17.78</v>
      </c>
      <c r="F456">
        <f t="shared" si="90"/>
        <v>13.201</v>
      </c>
      <c r="G456">
        <f t="shared" si="91"/>
        <v>8.42</v>
      </c>
      <c r="H456">
        <f t="shared" si="92"/>
        <v>12.901</v>
      </c>
      <c r="I456">
        <f t="shared" si="93"/>
        <v>34.422</v>
      </c>
      <c r="J456">
        <f t="shared" si="94"/>
        <v>0</v>
      </c>
      <c r="K456">
        <f t="shared" si="95"/>
        <v>0</v>
      </c>
      <c r="L456">
        <f t="shared" si="96"/>
        <v>0</v>
      </c>
      <c r="N456">
        <v>11760</v>
      </c>
      <c r="O456">
        <v>15994</v>
      </c>
      <c r="P456">
        <v>12087</v>
      </c>
      <c r="Q456">
        <v>12753</v>
      </c>
      <c r="R456">
        <v>17780</v>
      </c>
      <c r="S456">
        <v>13201</v>
      </c>
      <c r="T456">
        <v>8420</v>
      </c>
      <c r="U456">
        <v>12901</v>
      </c>
      <c r="V456">
        <v>34422</v>
      </c>
      <c r="AA456" t="s">
        <v>4496</v>
      </c>
      <c r="AC456">
        <v>11519</v>
      </c>
      <c r="AE456">
        <v>12482</v>
      </c>
      <c r="AG456" t="s">
        <v>4497</v>
      </c>
      <c r="AI456">
        <v>8219</v>
      </c>
      <c r="AP456" t="s">
        <v>4498</v>
      </c>
      <c r="AR456">
        <v>15759</v>
      </c>
      <c r="AT456">
        <v>17336</v>
      </c>
      <c r="AV456" t="s">
        <v>4499</v>
      </c>
      <c r="AX456">
        <v>12709</v>
      </c>
      <c r="BB456" t="s">
        <v>4500</v>
      </c>
      <c r="BD456">
        <v>11888</v>
      </c>
      <c r="BF456">
        <v>12832</v>
      </c>
      <c r="BH456" t="s">
        <v>4501</v>
      </c>
      <c r="BJ456">
        <v>33177</v>
      </c>
    </row>
    <row r="457" spans="1:62">
      <c r="A457">
        <f t="shared" si="85"/>
        <v>11.777</v>
      </c>
      <c r="B457">
        <f t="shared" si="86"/>
        <v>16.014</v>
      </c>
      <c r="C457">
        <f t="shared" si="87"/>
        <v>12.122</v>
      </c>
      <c r="D457">
        <f t="shared" si="88"/>
        <v>12.759</v>
      </c>
      <c r="E457">
        <f t="shared" si="89"/>
        <v>17.902</v>
      </c>
      <c r="F457">
        <f t="shared" si="90"/>
        <v>13.227</v>
      </c>
      <c r="G457">
        <f t="shared" si="91"/>
        <v>8.456</v>
      </c>
      <c r="H457">
        <f t="shared" si="92"/>
        <v>12.907</v>
      </c>
      <c r="I457">
        <f t="shared" si="93"/>
        <v>34.617</v>
      </c>
      <c r="J457">
        <f t="shared" si="94"/>
        <v>0</v>
      </c>
      <c r="K457">
        <f t="shared" si="95"/>
        <v>0</v>
      </c>
      <c r="L457">
        <f t="shared" si="96"/>
        <v>0</v>
      </c>
      <c r="N457">
        <v>11777</v>
      </c>
      <c r="O457">
        <v>16014</v>
      </c>
      <c r="P457">
        <v>12122</v>
      </c>
      <c r="Q457">
        <v>12759</v>
      </c>
      <c r="R457">
        <v>17902</v>
      </c>
      <c r="S457">
        <v>13227</v>
      </c>
      <c r="T457">
        <v>8456</v>
      </c>
      <c r="U457">
        <v>12907</v>
      </c>
      <c r="V457">
        <v>34617</v>
      </c>
      <c r="AA457" t="s">
        <v>4502</v>
      </c>
      <c r="AC457">
        <v>11562</v>
      </c>
      <c r="AE457">
        <v>12498</v>
      </c>
      <c r="AG457" t="s">
        <v>4503</v>
      </c>
      <c r="AI457">
        <v>8250</v>
      </c>
      <c r="AP457" t="s">
        <v>4504</v>
      </c>
      <c r="AR457">
        <v>15810</v>
      </c>
      <c r="AT457">
        <v>17414</v>
      </c>
      <c r="AV457" t="s">
        <v>4505</v>
      </c>
      <c r="AX457">
        <v>12751</v>
      </c>
      <c r="BB457" t="s">
        <v>4506</v>
      </c>
      <c r="BD457">
        <v>11892</v>
      </c>
      <c r="BF457">
        <v>12839</v>
      </c>
      <c r="BH457" t="s">
        <v>4507</v>
      </c>
      <c r="BJ457">
        <v>33189</v>
      </c>
    </row>
    <row r="458" spans="1:62">
      <c r="A458">
        <f t="shared" si="85"/>
        <v>11.79</v>
      </c>
      <c r="B458">
        <f t="shared" si="86"/>
        <v>16.038</v>
      </c>
      <c r="C458">
        <f t="shared" si="87"/>
        <v>12.125</v>
      </c>
      <c r="D458">
        <f t="shared" si="88"/>
        <v>12.772</v>
      </c>
      <c r="E458">
        <f t="shared" si="89"/>
        <v>17.962</v>
      </c>
      <c r="F458">
        <f t="shared" si="90"/>
        <v>13.276</v>
      </c>
      <c r="G458">
        <f t="shared" si="91"/>
        <v>8.547</v>
      </c>
      <c r="H458">
        <f t="shared" si="92"/>
        <v>12.966</v>
      </c>
      <c r="I458">
        <f t="shared" si="93"/>
        <v>34.866</v>
      </c>
      <c r="J458">
        <f t="shared" si="94"/>
        <v>0</v>
      </c>
      <c r="K458">
        <f t="shared" si="95"/>
        <v>0</v>
      </c>
      <c r="L458">
        <f t="shared" si="96"/>
        <v>0</v>
      </c>
      <c r="N458">
        <v>11790</v>
      </c>
      <c r="O458">
        <v>16038</v>
      </c>
      <c r="P458">
        <v>12125</v>
      </c>
      <c r="Q458">
        <v>12772</v>
      </c>
      <c r="R458">
        <v>17962</v>
      </c>
      <c r="S458">
        <v>13276</v>
      </c>
      <c r="T458">
        <v>8547</v>
      </c>
      <c r="U458">
        <v>12966</v>
      </c>
      <c r="V458">
        <v>34866</v>
      </c>
      <c r="AA458" t="s">
        <v>4508</v>
      </c>
      <c r="AC458">
        <v>11563</v>
      </c>
      <c r="AE458">
        <v>12507</v>
      </c>
      <c r="AG458" t="s">
        <v>4509</v>
      </c>
      <c r="AI458">
        <v>8279</v>
      </c>
      <c r="AP458" t="s">
        <v>4510</v>
      </c>
      <c r="AR458">
        <v>15814</v>
      </c>
      <c r="AT458">
        <v>17464</v>
      </c>
      <c r="AV458" t="s">
        <v>4511</v>
      </c>
      <c r="AX458">
        <v>12810</v>
      </c>
      <c r="BB458" t="s">
        <v>4512</v>
      </c>
      <c r="BD458">
        <v>11915</v>
      </c>
      <c r="BF458">
        <v>12866</v>
      </c>
      <c r="BH458" t="s">
        <v>4513</v>
      </c>
      <c r="BJ458">
        <v>33243</v>
      </c>
    </row>
    <row r="459" spans="1:62">
      <c r="A459">
        <f t="shared" si="85"/>
        <v>11.792</v>
      </c>
      <c r="B459">
        <f t="shared" si="86"/>
        <v>16.071</v>
      </c>
      <c r="C459">
        <f t="shared" si="87"/>
        <v>12.208</v>
      </c>
      <c r="D459">
        <f t="shared" si="88"/>
        <v>12.801</v>
      </c>
      <c r="E459">
        <f t="shared" si="89"/>
        <v>18.017</v>
      </c>
      <c r="F459">
        <f t="shared" si="90"/>
        <v>13.316</v>
      </c>
      <c r="G459">
        <f t="shared" si="91"/>
        <v>8.596</v>
      </c>
      <c r="H459">
        <f t="shared" si="92"/>
        <v>12.973</v>
      </c>
      <c r="I459">
        <f t="shared" si="93"/>
        <v>35.003</v>
      </c>
      <c r="J459">
        <f t="shared" si="94"/>
        <v>0</v>
      </c>
      <c r="K459">
        <f t="shared" si="95"/>
        <v>0</v>
      </c>
      <c r="L459">
        <f t="shared" si="96"/>
        <v>0</v>
      </c>
      <c r="N459">
        <v>11792</v>
      </c>
      <c r="O459">
        <v>16071</v>
      </c>
      <c r="P459">
        <v>12208</v>
      </c>
      <c r="Q459">
        <v>12801</v>
      </c>
      <c r="R459">
        <v>18017</v>
      </c>
      <c r="S459">
        <v>13316</v>
      </c>
      <c r="T459">
        <v>8596</v>
      </c>
      <c r="U459">
        <v>12973</v>
      </c>
      <c r="V459">
        <v>35003</v>
      </c>
      <c r="AA459" t="s">
        <v>4514</v>
      </c>
      <c r="AC459">
        <v>11604</v>
      </c>
      <c r="AE459">
        <v>12535</v>
      </c>
      <c r="AG459" t="s">
        <v>4515</v>
      </c>
      <c r="AI459">
        <v>8297</v>
      </c>
      <c r="AP459" t="s">
        <v>4516</v>
      </c>
      <c r="AR459">
        <v>15842</v>
      </c>
      <c r="AT459">
        <v>17466</v>
      </c>
      <c r="AV459" t="s">
        <v>4517</v>
      </c>
      <c r="AX459">
        <v>12841</v>
      </c>
      <c r="BB459" t="s">
        <v>4518</v>
      </c>
      <c r="BD459">
        <v>11977</v>
      </c>
      <c r="BF459">
        <v>12977</v>
      </c>
      <c r="BH459" t="s">
        <v>4519</v>
      </c>
      <c r="BJ459">
        <v>33348</v>
      </c>
    </row>
    <row r="460" spans="1:62">
      <c r="A460">
        <f t="shared" si="85"/>
        <v>11.863</v>
      </c>
      <c r="B460">
        <f t="shared" si="86"/>
        <v>16.114</v>
      </c>
      <c r="C460">
        <f t="shared" si="87"/>
        <v>12.214</v>
      </c>
      <c r="D460">
        <f t="shared" si="88"/>
        <v>12.807</v>
      </c>
      <c r="E460">
        <f t="shared" si="89"/>
        <v>18.076</v>
      </c>
      <c r="F460">
        <f t="shared" si="90"/>
        <v>13.317</v>
      </c>
      <c r="G460">
        <f t="shared" si="91"/>
        <v>8.608</v>
      </c>
      <c r="H460">
        <f t="shared" si="92"/>
        <v>13.039</v>
      </c>
      <c r="I460">
        <f t="shared" si="93"/>
        <v>35.142</v>
      </c>
      <c r="J460">
        <f t="shared" si="94"/>
        <v>0</v>
      </c>
      <c r="K460">
        <f t="shared" si="95"/>
        <v>0</v>
      </c>
      <c r="L460">
        <f t="shared" si="96"/>
        <v>0</v>
      </c>
      <c r="N460">
        <v>11863</v>
      </c>
      <c r="O460">
        <v>16114</v>
      </c>
      <c r="P460">
        <v>12214</v>
      </c>
      <c r="Q460">
        <v>12807</v>
      </c>
      <c r="R460">
        <v>18076</v>
      </c>
      <c r="S460">
        <v>13317</v>
      </c>
      <c r="T460">
        <v>8608</v>
      </c>
      <c r="U460">
        <v>13039</v>
      </c>
      <c r="V460">
        <v>35142</v>
      </c>
      <c r="AA460" t="s">
        <v>4520</v>
      </c>
      <c r="AC460">
        <v>11628</v>
      </c>
      <c r="AE460">
        <v>12582</v>
      </c>
      <c r="AG460" t="s">
        <v>4521</v>
      </c>
      <c r="AI460">
        <v>8298</v>
      </c>
      <c r="AP460" t="s">
        <v>4522</v>
      </c>
      <c r="AR460">
        <v>15851</v>
      </c>
      <c r="AT460">
        <v>17487</v>
      </c>
      <c r="AV460" t="s">
        <v>4523</v>
      </c>
      <c r="AX460">
        <v>12846</v>
      </c>
      <c r="BB460" t="s">
        <v>4524</v>
      </c>
      <c r="BD460">
        <v>11995</v>
      </c>
      <c r="BF460">
        <v>13034</v>
      </c>
      <c r="BH460" t="s">
        <v>4525</v>
      </c>
      <c r="BJ460">
        <v>33488</v>
      </c>
    </row>
    <row r="461" spans="1:62">
      <c r="A461">
        <f t="shared" si="85"/>
        <v>11.871</v>
      </c>
      <c r="B461">
        <f t="shared" si="86"/>
        <v>16.141</v>
      </c>
      <c r="C461">
        <f t="shared" si="87"/>
        <v>12.251</v>
      </c>
      <c r="D461">
        <f t="shared" si="88"/>
        <v>12.975</v>
      </c>
      <c r="E461">
        <f t="shared" si="89"/>
        <v>18.112</v>
      </c>
      <c r="F461">
        <f t="shared" si="90"/>
        <v>13.328</v>
      </c>
      <c r="G461">
        <f t="shared" si="91"/>
        <v>8.648</v>
      </c>
      <c r="H461">
        <f t="shared" si="92"/>
        <v>13.063</v>
      </c>
      <c r="I461">
        <f t="shared" si="93"/>
        <v>35.268</v>
      </c>
      <c r="J461">
        <f t="shared" si="94"/>
        <v>0</v>
      </c>
      <c r="K461">
        <f t="shared" si="95"/>
        <v>0</v>
      </c>
      <c r="L461">
        <f t="shared" si="96"/>
        <v>0</v>
      </c>
      <c r="N461">
        <v>11871</v>
      </c>
      <c r="O461">
        <v>16141</v>
      </c>
      <c r="P461">
        <v>12251</v>
      </c>
      <c r="Q461">
        <v>12975</v>
      </c>
      <c r="R461">
        <v>18112</v>
      </c>
      <c r="S461">
        <v>13328</v>
      </c>
      <c r="T461">
        <v>8648</v>
      </c>
      <c r="U461">
        <v>13063</v>
      </c>
      <c r="V461">
        <v>35268</v>
      </c>
      <c r="AA461" t="s">
        <v>4526</v>
      </c>
      <c r="AC461">
        <v>11680</v>
      </c>
      <c r="AE461">
        <v>12603</v>
      </c>
      <c r="AG461" t="s">
        <v>4527</v>
      </c>
      <c r="AI461">
        <v>8301</v>
      </c>
      <c r="AP461" t="s">
        <v>4528</v>
      </c>
      <c r="AR461">
        <v>15927</v>
      </c>
      <c r="AT461">
        <v>17602</v>
      </c>
      <c r="AV461" t="s">
        <v>4529</v>
      </c>
      <c r="AX461">
        <v>12884</v>
      </c>
      <c r="BB461" t="s">
        <v>4530</v>
      </c>
      <c r="BD461">
        <v>11997</v>
      </c>
      <c r="BF461">
        <v>13094</v>
      </c>
      <c r="BH461" t="s">
        <v>4531</v>
      </c>
      <c r="BJ461">
        <v>33765</v>
      </c>
    </row>
    <row r="462" spans="1:62">
      <c r="A462">
        <f t="shared" si="85"/>
        <v>11.899</v>
      </c>
      <c r="B462">
        <f t="shared" si="86"/>
        <v>16.196</v>
      </c>
      <c r="C462">
        <f t="shared" si="87"/>
        <v>12.253</v>
      </c>
      <c r="D462">
        <f t="shared" si="88"/>
        <v>13.093</v>
      </c>
      <c r="E462">
        <f t="shared" si="89"/>
        <v>18.157</v>
      </c>
      <c r="F462">
        <f t="shared" si="90"/>
        <v>13.332</v>
      </c>
      <c r="G462">
        <f t="shared" si="91"/>
        <v>8.649</v>
      </c>
      <c r="H462">
        <f t="shared" si="92"/>
        <v>13.078</v>
      </c>
      <c r="I462">
        <f t="shared" si="93"/>
        <v>35.305</v>
      </c>
      <c r="J462">
        <f t="shared" si="94"/>
        <v>0</v>
      </c>
      <c r="K462">
        <f t="shared" si="95"/>
        <v>0</v>
      </c>
      <c r="L462">
        <f t="shared" si="96"/>
        <v>0</v>
      </c>
      <c r="N462">
        <v>11899</v>
      </c>
      <c r="O462">
        <v>16196</v>
      </c>
      <c r="P462">
        <v>12253</v>
      </c>
      <c r="Q462">
        <v>13093</v>
      </c>
      <c r="R462">
        <v>18157</v>
      </c>
      <c r="S462">
        <v>13332</v>
      </c>
      <c r="T462">
        <v>8649</v>
      </c>
      <c r="U462">
        <v>13078</v>
      </c>
      <c r="V462">
        <v>35305</v>
      </c>
      <c r="AA462" t="s">
        <v>4532</v>
      </c>
      <c r="AC462">
        <v>11747</v>
      </c>
      <c r="AE462">
        <v>12656</v>
      </c>
      <c r="AG462" t="s">
        <v>4533</v>
      </c>
      <c r="AI462">
        <v>8307</v>
      </c>
      <c r="AP462" t="s">
        <v>4534</v>
      </c>
      <c r="AR462">
        <v>15928</v>
      </c>
      <c r="AT462">
        <v>17731</v>
      </c>
      <c r="AV462" t="s">
        <v>4535</v>
      </c>
      <c r="AX462">
        <v>12897</v>
      </c>
      <c r="BB462" t="s">
        <v>4536</v>
      </c>
      <c r="BD462">
        <v>12012</v>
      </c>
      <c r="BF462">
        <v>13116</v>
      </c>
      <c r="BH462" t="s">
        <v>4537</v>
      </c>
      <c r="BJ462">
        <v>34271</v>
      </c>
    </row>
    <row r="463" spans="1:62">
      <c r="A463">
        <f t="shared" si="85"/>
        <v>11.912</v>
      </c>
      <c r="B463">
        <f t="shared" si="86"/>
        <v>16.212</v>
      </c>
      <c r="C463">
        <f t="shared" si="87"/>
        <v>12.325</v>
      </c>
      <c r="D463">
        <f t="shared" si="88"/>
        <v>13.096</v>
      </c>
      <c r="E463">
        <f t="shared" si="89"/>
        <v>18.236</v>
      </c>
      <c r="F463">
        <f t="shared" si="90"/>
        <v>13.364</v>
      </c>
      <c r="G463">
        <f t="shared" si="91"/>
        <v>8.717</v>
      </c>
      <c r="H463">
        <f t="shared" si="92"/>
        <v>13.112</v>
      </c>
      <c r="I463">
        <f t="shared" si="93"/>
        <v>35.583</v>
      </c>
      <c r="J463">
        <f t="shared" si="94"/>
        <v>0</v>
      </c>
      <c r="K463">
        <f t="shared" si="95"/>
        <v>0</v>
      </c>
      <c r="L463">
        <f t="shared" si="96"/>
        <v>0</v>
      </c>
      <c r="N463">
        <v>11912</v>
      </c>
      <c r="O463">
        <v>16212</v>
      </c>
      <c r="P463">
        <v>12325</v>
      </c>
      <c r="Q463">
        <v>13096</v>
      </c>
      <c r="R463">
        <v>18236</v>
      </c>
      <c r="S463">
        <v>13364</v>
      </c>
      <c r="T463">
        <v>8717</v>
      </c>
      <c r="U463">
        <v>13112</v>
      </c>
      <c r="V463">
        <v>35583</v>
      </c>
      <c r="AA463" t="s">
        <v>4538</v>
      </c>
      <c r="AC463">
        <v>11760</v>
      </c>
      <c r="AE463">
        <v>12689</v>
      </c>
      <c r="AG463" t="s">
        <v>4539</v>
      </c>
      <c r="AI463">
        <v>8351</v>
      </c>
      <c r="AP463" t="s">
        <v>4540</v>
      </c>
      <c r="AR463">
        <v>15994</v>
      </c>
      <c r="AT463">
        <v>17780</v>
      </c>
      <c r="AV463" t="s">
        <v>4541</v>
      </c>
      <c r="AX463">
        <v>12901</v>
      </c>
      <c r="BB463" t="s">
        <v>4542</v>
      </c>
      <c r="BD463">
        <v>12037</v>
      </c>
      <c r="BF463">
        <v>13140</v>
      </c>
      <c r="BH463" t="s">
        <v>4543</v>
      </c>
      <c r="BJ463">
        <v>34396</v>
      </c>
    </row>
    <row r="464" spans="1:62">
      <c r="A464">
        <f t="shared" si="85"/>
        <v>11.912</v>
      </c>
      <c r="B464">
        <f t="shared" si="86"/>
        <v>16.272</v>
      </c>
      <c r="C464">
        <f t="shared" si="87"/>
        <v>12.367</v>
      </c>
      <c r="D464">
        <f t="shared" si="88"/>
        <v>13.098</v>
      </c>
      <c r="E464">
        <f t="shared" si="89"/>
        <v>18.309</v>
      </c>
      <c r="F464">
        <f t="shared" si="90"/>
        <v>13.51</v>
      </c>
      <c r="G464">
        <f t="shared" si="91"/>
        <v>8.717</v>
      </c>
      <c r="H464">
        <f t="shared" si="92"/>
        <v>13.139</v>
      </c>
      <c r="I464">
        <f t="shared" si="93"/>
        <v>35.733</v>
      </c>
      <c r="J464">
        <f t="shared" si="94"/>
        <v>0</v>
      </c>
      <c r="K464">
        <f t="shared" si="95"/>
        <v>0</v>
      </c>
      <c r="L464">
        <f t="shared" si="96"/>
        <v>0</v>
      </c>
      <c r="N464">
        <v>11912</v>
      </c>
      <c r="O464">
        <v>16272</v>
      </c>
      <c r="P464">
        <v>12367</v>
      </c>
      <c r="Q464">
        <v>13098</v>
      </c>
      <c r="R464">
        <v>18309</v>
      </c>
      <c r="S464">
        <v>13510</v>
      </c>
      <c r="T464">
        <v>8717</v>
      </c>
      <c r="U464">
        <v>13139</v>
      </c>
      <c r="V464">
        <v>35733</v>
      </c>
      <c r="AA464" t="s">
        <v>4544</v>
      </c>
      <c r="AC464">
        <v>11760</v>
      </c>
      <c r="AE464">
        <v>12753</v>
      </c>
      <c r="AG464" t="s">
        <v>4545</v>
      </c>
      <c r="AI464">
        <v>8420</v>
      </c>
      <c r="AP464" t="s">
        <v>4546</v>
      </c>
      <c r="AR464">
        <v>16014</v>
      </c>
      <c r="AT464">
        <v>17902</v>
      </c>
      <c r="AV464" t="s">
        <v>4547</v>
      </c>
      <c r="AX464">
        <v>12907</v>
      </c>
      <c r="BB464" t="s">
        <v>4548</v>
      </c>
      <c r="BD464">
        <v>12087</v>
      </c>
      <c r="BF464">
        <v>13201</v>
      </c>
      <c r="BH464" t="s">
        <v>4549</v>
      </c>
      <c r="BJ464">
        <v>34422</v>
      </c>
    </row>
    <row r="465" spans="1:62">
      <c r="A465">
        <f t="shared" si="85"/>
        <v>11.927</v>
      </c>
      <c r="B465">
        <f t="shared" si="86"/>
        <v>16.279</v>
      </c>
      <c r="C465">
        <f t="shared" si="87"/>
        <v>12.373</v>
      </c>
      <c r="D465">
        <f t="shared" si="88"/>
        <v>13.113</v>
      </c>
      <c r="E465">
        <f t="shared" si="89"/>
        <v>18.359</v>
      </c>
      <c r="F465">
        <f t="shared" si="90"/>
        <v>13.54</v>
      </c>
      <c r="G465">
        <f t="shared" si="91"/>
        <v>8.842</v>
      </c>
      <c r="H465">
        <f t="shared" si="92"/>
        <v>13.164</v>
      </c>
      <c r="I465">
        <f t="shared" si="93"/>
        <v>36.324</v>
      </c>
      <c r="J465">
        <f t="shared" si="94"/>
        <v>0</v>
      </c>
      <c r="K465">
        <f t="shared" si="95"/>
        <v>0</v>
      </c>
      <c r="L465">
        <f t="shared" si="96"/>
        <v>0</v>
      </c>
      <c r="N465">
        <v>11927</v>
      </c>
      <c r="O465">
        <v>16279</v>
      </c>
      <c r="P465">
        <v>12373</v>
      </c>
      <c r="Q465">
        <v>13113</v>
      </c>
      <c r="R465">
        <v>18359</v>
      </c>
      <c r="S465">
        <v>13540</v>
      </c>
      <c r="T465">
        <v>8842</v>
      </c>
      <c r="U465">
        <v>13164</v>
      </c>
      <c r="V465">
        <v>36324</v>
      </c>
      <c r="AA465" t="s">
        <v>4550</v>
      </c>
      <c r="AC465">
        <v>11777</v>
      </c>
      <c r="AE465">
        <v>12759</v>
      </c>
      <c r="AG465" t="s">
        <v>4551</v>
      </c>
      <c r="AI465">
        <v>8456</v>
      </c>
      <c r="AP465" t="s">
        <v>4552</v>
      </c>
      <c r="AR465">
        <v>16038</v>
      </c>
      <c r="AT465">
        <v>17962</v>
      </c>
      <c r="AV465" t="s">
        <v>4553</v>
      </c>
      <c r="AX465">
        <v>12966</v>
      </c>
      <c r="BB465" t="s">
        <v>4554</v>
      </c>
      <c r="BD465">
        <v>12122</v>
      </c>
      <c r="BF465">
        <v>13227</v>
      </c>
      <c r="BH465" t="s">
        <v>4555</v>
      </c>
      <c r="BJ465">
        <v>34617</v>
      </c>
    </row>
    <row r="466" spans="1:62">
      <c r="A466">
        <f t="shared" si="85"/>
        <v>12.018</v>
      </c>
      <c r="B466">
        <f t="shared" si="86"/>
        <v>16.306</v>
      </c>
      <c r="C466">
        <f t="shared" si="87"/>
        <v>12.407</v>
      </c>
      <c r="D466">
        <f t="shared" si="88"/>
        <v>13.185</v>
      </c>
      <c r="E466">
        <f t="shared" si="89"/>
        <v>18.476</v>
      </c>
      <c r="F466">
        <f t="shared" si="90"/>
        <v>13.545</v>
      </c>
      <c r="G466">
        <f t="shared" si="91"/>
        <v>8.844</v>
      </c>
      <c r="H466">
        <f t="shared" si="92"/>
        <v>13.179</v>
      </c>
      <c r="I466">
        <f t="shared" si="93"/>
        <v>36.359</v>
      </c>
      <c r="J466">
        <f t="shared" si="94"/>
        <v>0</v>
      </c>
      <c r="K466">
        <f t="shared" si="95"/>
        <v>0</v>
      </c>
      <c r="L466">
        <f t="shared" si="96"/>
        <v>0</v>
      </c>
      <c r="N466">
        <v>12018</v>
      </c>
      <c r="O466">
        <v>16306</v>
      </c>
      <c r="P466">
        <v>12407</v>
      </c>
      <c r="Q466">
        <v>13185</v>
      </c>
      <c r="R466">
        <v>18476</v>
      </c>
      <c r="S466">
        <v>13545</v>
      </c>
      <c r="T466">
        <v>8844</v>
      </c>
      <c r="U466">
        <v>13179</v>
      </c>
      <c r="V466">
        <v>36359</v>
      </c>
      <c r="AA466" t="s">
        <v>4556</v>
      </c>
      <c r="AC466">
        <v>11790</v>
      </c>
      <c r="AE466">
        <v>12772</v>
      </c>
      <c r="AG466" t="s">
        <v>4557</v>
      </c>
      <c r="AI466">
        <v>8547</v>
      </c>
      <c r="AP466" t="s">
        <v>4558</v>
      </c>
      <c r="AR466">
        <v>16071</v>
      </c>
      <c r="AT466">
        <v>18017</v>
      </c>
      <c r="AV466" t="s">
        <v>4559</v>
      </c>
      <c r="AX466">
        <v>12973</v>
      </c>
      <c r="BB466" t="s">
        <v>4560</v>
      </c>
      <c r="BD466">
        <v>12125</v>
      </c>
      <c r="BF466">
        <v>13276</v>
      </c>
      <c r="BH466" t="s">
        <v>4561</v>
      </c>
      <c r="BJ466">
        <v>34866</v>
      </c>
    </row>
    <row r="467" spans="1:62">
      <c r="A467">
        <f t="shared" si="85"/>
        <v>12.023</v>
      </c>
      <c r="B467">
        <f t="shared" si="86"/>
        <v>16.378</v>
      </c>
      <c r="C467">
        <f t="shared" si="87"/>
        <v>12.412</v>
      </c>
      <c r="D467">
        <f t="shared" si="88"/>
        <v>13.221</v>
      </c>
      <c r="E467">
        <f t="shared" si="89"/>
        <v>18.492</v>
      </c>
      <c r="F467">
        <f t="shared" si="90"/>
        <v>13.558</v>
      </c>
      <c r="G467">
        <f t="shared" si="91"/>
        <v>8.873</v>
      </c>
      <c r="H467">
        <f t="shared" si="92"/>
        <v>13.18</v>
      </c>
      <c r="I467">
        <f t="shared" si="93"/>
        <v>36.437</v>
      </c>
      <c r="J467">
        <f t="shared" si="94"/>
        <v>0</v>
      </c>
      <c r="K467">
        <f t="shared" si="95"/>
        <v>0</v>
      </c>
      <c r="L467">
        <f t="shared" si="96"/>
        <v>0</v>
      </c>
      <c r="N467">
        <v>12023</v>
      </c>
      <c r="O467">
        <v>16378</v>
      </c>
      <c r="P467">
        <v>12412</v>
      </c>
      <c r="Q467">
        <v>13221</v>
      </c>
      <c r="R467">
        <v>18492</v>
      </c>
      <c r="S467">
        <v>13558</v>
      </c>
      <c r="T467">
        <v>8873</v>
      </c>
      <c r="U467">
        <v>13180</v>
      </c>
      <c r="V467">
        <v>36437</v>
      </c>
      <c r="AA467" t="s">
        <v>4562</v>
      </c>
      <c r="AC467">
        <v>11792</v>
      </c>
      <c r="AE467">
        <v>12801</v>
      </c>
      <c r="AG467" t="s">
        <v>4563</v>
      </c>
      <c r="AI467">
        <v>8596</v>
      </c>
      <c r="AP467" t="s">
        <v>4564</v>
      </c>
      <c r="AR467">
        <v>16114</v>
      </c>
      <c r="AT467">
        <v>18076</v>
      </c>
      <c r="AV467" t="s">
        <v>4565</v>
      </c>
      <c r="AX467">
        <v>13039</v>
      </c>
      <c r="BB467" t="s">
        <v>4566</v>
      </c>
      <c r="BD467">
        <v>12208</v>
      </c>
      <c r="BF467">
        <v>13316</v>
      </c>
      <c r="BH467" t="s">
        <v>4567</v>
      </c>
      <c r="BJ467">
        <v>35003</v>
      </c>
    </row>
    <row r="468" spans="1:62">
      <c r="A468">
        <f t="shared" si="85"/>
        <v>12.057</v>
      </c>
      <c r="B468">
        <f t="shared" si="86"/>
        <v>16.414</v>
      </c>
      <c r="C468">
        <f t="shared" si="87"/>
        <v>12.454</v>
      </c>
      <c r="D468">
        <f t="shared" si="88"/>
        <v>13.226</v>
      </c>
      <c r="E468">
        <f t="shared" si="89"/>
        <v>18.52</v>
      </c>
      <c r="F468">
        <f t="shared" si="90"/>
        <v>13.565</v>
      </c>
      <c r="G468">
        <f t="shared" si="91"/>
        <v>8.927</v>
      </c>
      <c r="H468">
        <f t="shared" si="92"/>
        <v>13.185</v>
      </c>
      <c r="I468">
        <f t="shared" si="93"/>
        <v>36.571</v>
      </c>
      <c r="J468">
        <f t="shared" si="94"/>
        <v>0</v>
      </c>
      <c r="K468">
        <f t="shared" si="95"/>
        <v>0</v>
      </c>
      <c r="L468">
        <f t="shared" si="96"/>
        <v>0</v>
      </c>
      <c r="N468">
        <v>12057</v>
      </c>
      <c r="O468">
        <v>16414</v>
      </c>
      <c r="P468">
        <v>12454</v>
      </c>
      <c r="Q468">
        <v>13226</v>
      </c>
      <c r="R468">
        <v>18520</v>
      </c>
      <c r="S468">
        <v>13565</v>
      </c>
      <c r="T468">
        <v>8927</v>
      </c>
      <c r="U468">
        <v>13185</v>
      </c>
      <c r="V468">
        <v>36571</v>
      </c>
      <c r="AA468" t="s">
        <v>4568</v>
      </c>
      <c r="AC468">
        <v>11863</v>
      </c>
      <c r="AE468">
        <v>12807</v>
      </c>
      <c r="AG468" t="s">
        <v>4569</v>
      </c>
      <c r="AI468">
        <v>8608</v>
      </c>
      <c r="AP468" t="s">
        <v>4570</v>
      </c>
      <c r="AR468">
        <v>16141</v>
      </c>
      <c r="AT468">
        <v>18112</v>
      </c>
      <c r="AV468" t="s">
        <v>4571</v>
      </c>
      <c r="AX468">
        <v>13063</v>
      </c>
      <c r="BB468" t="s">
        <v>4572</v>
      </c>
      <c r="BD468">
        <v>12214</v>
      </c>
      <c r="BF468">
        <v>13317</v>
      </c>
      <c r="BH468" t="s">
        <v>4573</v>
      </c>
      <c r="BJ468">
        <v>35142</v>
      </c>
    </row>
    <row r="469" spans="1:62">
      <c r="A469">
        <f t="shared" si="85"/>
        <v>12.07</v>
      </c>
      <c r="B469">
        <f t="shared" si="86"/>
        <v>16.417</v>
      </c>
      <c r="C469">
        <f t="shared" si="87"/>
        <v>12.571</v>
      </c>
      <c r="D469">
        <f t="shared" si="88"/>
        <v>13.241</v>
      </c>
      <c r="E469">
        <f t="shared" si="89"/>
        <v>18.584</v>
      </c>
      <c r="F469">
        <f t="shared" si="90"/>
        <v>13.574</v>
      </c>
      <c r="G469">
        <f t="shared" si="91"/>
        <v>9.022</v>
      </c>
      <c r="H469">
        <f t="shared" si="92"/>
        <v>13.214</v>
      </c>
      <c r="I469">
        <f t="shared" si="93"/>
        <v>36.6</v>
      </c>
      <c r="J469">
        <f t="shared" si="94"/>
        <v>0</v>
      </c>
      <c r="K469">
        <f t="shared" si="95"/>
        <v>0</v>
      </c>
      <c r="L469">
        <f t="shared" si="96"/>
        <v>0</v>
      </c>
      <c r="N469">
        <v>12070</v>
      </c>
      <c r="O469">
        <v>16417</v>
      </c>
      <c r="P469">
        <v>12571</v>
      </c>
      <c r="Q469">
        <v>13241</v>
      </c>
      <c r="R469">
        <v>18584</v>
      </c>
      <c r="S469">
        <v>13574</v>
      </c>
      <c r="T469">
        <v>9022</v>
      </c>
      <c r="U469">
        <v>13214</v>
      </c>
      <c r="V469">
        <v>36600</v>
      </c>
      <c r="AA469" t="s">
        <v>4574</v>
      </c>
      <c r="AC469">
        <v>11871</v>
      </c>
      <c r="AE469">
        <v>12975</v>
      </c>
      <c r="AG469" t="s">
        <v>4575</v>
      </c>
      <c r="AI469">
        <v>8648</v>
      </c>
      <c r="AP469" t="s">
        <v>4576</v>
      </c>
      <c r="AR469">
        <v>16196</v>
      </c>
      <c r="AT469">
        <v>18157</v>
      </c>
      <c r="AV469" t="s">
        <v>4577</v>
      </c>
      <c r="AX469">
        <v>13078</v>
      </c>
      <c r="BB469" t="s">
        <v>4578</v>
      </c>
      <c r="BD469">
        <v>12251</v>
      </c>
      <c r="BF469">
        <v>13328</v>
      </c>
      <c r="BH469" t="s">
        <v>4579</v>
      </c>
      <c r="BJ469">
        <v>35268</v>
      </c>
    </row>
    <row r="470" spans="1:62">
      <c r="A470">
        <f t="shared" si="85"/>
        <v>12.136</v>
      </c>
      <c r="B470">
        <f t="shared" si="86"/>
        <v>16.735</v>
      </c>
      <c r="C470">
        <f t="shared" si="87"/>
        <v>12.616</v>
      </c>
      <c r="D470">
        <f t="shared" si="88"/>
        <v>13.288</v>
      </c>
      <c r="E470">
        <f t="shared" si="89"/>
        <v>18.617</v>
      </c>
      <c r="F470">
        <f t="shared" si="90"/>
        <v>13.594</v>
      </c>
      <c r="G470">
        <f t="shared" si="91"/>
        <v>9.038</v>
      </c>
      <c r="H470">
        <f t="shared" si="92"/>
        <v>13.224</v>
      </c>
      <c r="I470">
        <f t="shared" si="93"/>
        <v>37.007</v>
      </c>
      <c r="J470">
        <f t="shared" si="94"/>
        <v>0</v>
      </c>
      <c r="K470">
        <f t="shared" si="95"/>
        <v>0</v>
      </c>
      <c r="L470">
        <f t="shared" si="96"/>
        <v>0</v>
      </c>
      <c r="N470">
        <v>12136</v>
      </c>
      <c r="O470">
        <v>16735</v>
      </c>
      <c r="P470">
        <v>12616</v>
      </c>
      <c r="Q470">
        <v>13288</v>
      </c>
      <c r="R470">
        <v>18617</v>
      </c>
      <c r="S470">
        <v>13594</v>
      </c>
      <c r="T470">
        <v>9038</v>
      </c>
      <c r="U470">
        <v>13224</v>
      </c>
      <c r="V470">
        <v>37007</v>
      </c>
      <c r="AA470" t="s">
        <v>4580</v>
      </c>
      <c r="AC470">
        <v>11899</v>
      </c>
      <c r="AE470">
        <v>13093</v>
      </c>
      <c r="AG470" t="s">
        <v>4581</v>
      </c>
      <c r="AI470">
        <v>8649</v>
      </c>
      <c r="AP470" t="s">
        <v>4582</v>
      </c>
      <c r="AR470">
        <v>16212</v>
      </c>
      <c r="AT470">
        <v>18236</v>
      </c>
      <c r="AV470" t="s">
        <v>4583</v>
      </c>
      <c r="AX470">
        <v>13112</v>
      </c>
      <c r="BB470" t="s">
        <v>4584</v>
      </c>
      <c r="BD470">
        <v>12253</v>
      </c>
      <c r="BF470">
        <v>13332</v>
      </c>
      <c r="BH470" t="s">
        <v>4585</v>
      </c>
      <c r="BJ470">
        <v>35305</v>
      </c>
    </row>
    <row r="471" spans="1:62">
      <c r="A471">
        <f t="shared" si="85"/>
        <v>12.155</v>
      </c>
      <c r="B471">
        <f t="shared" si="86"/>
        <v>16.956</v>
      </c>
      <c r="C471">
        <f t="shared" si="87"/>
        <v>12.682</v>
      </c>
      <c r="D471">
        <f t="shared" si="88"/>
        <v>13.349</v>
      </c>
      <c r="E471">
        <f t="shared" si="89"/>
        <v>18.62</v>
      </c>
      <c r="F471">
        <f t="shared" si="90"/>
        <v>13.696</v>
      </c>
      <c r="G471">
        <f t="shared" si="91"/>
        <v>9.094</v>
      </c>
      <c r="H471">
        <f t="shared" si="92"/>
        <v>13.299</v>
      </c>
      <c r="I471">
        <f t="shared" si="93"/>
        <v>37.719</v>
      </c>
      <c r="J471">
        <f t="shared" si="94"/>
        <v>0</v>
      </c>
      <c r="K471">
        <f t="shared" si="95"/>
        <v>0</v>
      </c>
      <c r="L471">
        <f t="shared" si="96"/>
        <v>0</v>
      </c>
      <c r="N471">
        <v>12155</v>
      </c>
      <c r="O471">
        <v>16956</v>
      </c>
      <c r="P471">
        <v>12682</v>
      </c>
      <c r="Q471">
        <v>13349</v>
      </c>
      <c r="R471">
        <v>18620</v>
      </c>
      <c r="S471">
        <v>13696</v>
      </c>
      <c r="T471">
        <v>9094</v>
      </c>
      <c r="U471">
        <v>13299</v>
      </c>
      <c r="V471">
        <v>37719</v>
      </c>
      <c r="AA471" t="s">
        <v>4586</v>
      </c>
      <c r="AC471">
        <v>11912</v>
      </c>
      <c r="AE471">
        <v>13096</v>
      </c>
      <c r="AG471" t="s">
        <v>4587</v>
      </c>
      <c r="AI471">
        <v>8717</v>
      </c>
      <c r="AP471" t="s">
        <v>4588</v>
      </c>
      <c r="AR471">
        <v>16272</v>
      </c>
      <c r="AT471">
        <v>18309</v>
      </c>
      <c r="AV471" t="s">
        <v>4589</v>
      </c>
      <c r="AX471">
        <v>13139</v>
      </c>
      <c r="BB471" t="s">
        <v>4590</v>
      </c>
      <c r="BD471">
        <v>12325</v>
      </c>
      <c r="BF471">
        <v>13364</v>
      </c>
      <c r="BH471" t="s">
        <v>4591</v>
      </c>
      <c r="BJ471">
        <v>35583</v>
      </c>
    </row>
    <row r="472" spans="1:62">
      <c r="A472">
        <f t="shared" si="85"/>
        <v>12.204</v>
      </c>
      <c r="B472">
        <f t="shared" si="86"/>
        <v>16.98</v>
      </c>
      <c r="C472">
        <f t="shared" si="87"/>
        <v>12.723</v>
      </c>
      <c r="D472">
        <f t="shared" si="88"/>
        <v>13.366</v>
      </c>
      <c r="E472">
        <f t="shared" si="89"/>
        <v>18.674</v>
      </c>
      <c r="F472">
        <f t="shared" si="90"/>
        <v>13.708</v>
      </c>
      <c r="G472">
        <f t="shared" si="91"/>
        <v>9.328</v>
      </c>
      <c r="H472">
        <f t="shared" si="92"/>
        <v>13.307</v>
      </c>
      <c r="I472">
        <f t="shared" si="93"/>
        <v>37.729</v>
      </c>
      <c r="J472">
        <f t="shared" si="94"/>
        <v>0</v>
      </c>
      <c r="K472">
        <f t="shared" si="95"/>
        <v>0</v>
      </c>
      <c r="L472">
        <f t="shared" si="96"/>
        <v>0</v>
      </c>
      <c r="N472">
        <v>12204</v>
      </c>
      <c r="O472">
        <v>16980</v>
      </c>
      <c r="P472">
        <v>12723</v>
      </c>
      <c r="Q472">
        <v>13366</v>
      </c>
      <c r="R472">
        <v>18674</v>
      </c>
      <c r="S472">
        <v>13708</v>
      </c>
      <c r="T472">
        <v>9328</v>
      </c>
      <c r="U472">
        <v>13307</v>
      </c>
      <c r="V472">
        <v>37729</v>
      </c>
      <c r="AA472" t="s">
        <v>4592</v>
      </c>
      <c r="AC472">
        <v>11912</v>
      </c>
      <c r="AE472">
        <v>13098</v>
      </c>
      <c r="AG472" t="s">
        <v>4593</v>
      </c>
      <c r="AI472">
        <v>8717</v>
      </c>
      <c r="AP472" t="s">
        <v>4594</v>
      </c>
      <c r="AR472">
        <v>16279</v>
      </c>
      <c r="AT472">
        <v>18359</v>
      </c>
      <c r="AV472" t="s">
        <v>4595</v>
      </c>
      <c r="AX472">
        <v>13164</v>
      </c>
      <c r="BB472" t="s">
        <v>4596</v>
      </c>
      <c r="BD472">
        <v>12367</v>
      </c>
      <c r="BF472">
        <v>13510</v>
      </c>
      <c r="BH472" t="s">
        <v>4597</v>
      </c>
      <c r="BJ472">
        <v>35733</v>
      </c>
    </row>
    <row r="473" spans="1:62">
      <c r="A473">
        <f t="shared" si="85"/>
        <v>12.298</v>
      </c>
      <c r="B473">
        <f t="shared" si="86"/>
        <v>17.002</v>
      </c>
      <c r="C473">
        <f t="shared" si="87"/>
        <v>12.749</v>
      </c>
      <c r="D473">
        <f t="shared" si="88"/>
        <v>13.375</v>
      </c>
      <c r="E473">
        <f t="shared" si="89"/>
        <v>18.683</v>
      </c>
      <c r="F473">
        <f t="shared" si="90"/>
        <v>13.758</v>
      </c>
      <c r="G473">
        <f t="shared" si="91"/>
        <v>9.345</v>
      </c>
      <c r="H473">
        <f t="shared" si="92"/>
        <v>13.314</v>
      </c>
      <c r="I473">
        <f t="shared" si="93"/>
        <v>37.881</v>
      </c>
      <c r="J473">
        <f t="shared" si="94"/>
        <v>0</v>
      </c>
      <c r="K473">
        <f t="shared" si="95"/>
        <v>0</v>
      </c>
      <c r="L473">
        <f t="shared" si="96"/>
        <v>0</v>
      </c>
      <c r="N473">
        <v>12298</v>
      </c>
      <c r="O473">
        <v>17002</v>
      </c>
      <c r="P473">
        <v>12749</v>
      </c>
      <c r="Q473">
        <v>13375</v>
      </c>
      <c r="R473">
        <v>18683</v>
      </c>
      <c r="S473">
        <v>13758</v>
      </c>
      <c r="T473">
        <v>9345</v>
      </c>
      <c r="U473">
        <v>13314</v>
      </c>
      <c r="V473">
        <v>37881</v>
      </c>
      <c r="AA473" t="s">
        <v>4598</v>
      </c>
      <c r="AC473">
        <v>11927</v>
      </c>
      <c r="AE473">
        <v>13113</v>
      </c>
      <c r="AG473" t="s">
        <v>4599</v>
      </c>
      <c r="AI473">
        <v>8842</v>
      </c>
      <c r="AP473" t="s">
        <v>4600</v>
      </c>
      <c r="AR473">
        <v>16306</v>
      </c>
      <c r="AT473">
        <v>18476</v>
      </c>
      <c r="AV473" t="s">
        <v>4601</v>
      </c>
      <c r="AX473">
        <v>13179</v>
      </c>
      <c r="BB473" t="s">
        <v>4602</v>
      </c>
      <c r="BD473">
        <v>12373</v>
      </c>
      <c r="BF473">
        <v>13540</v>
      </c>
      <c r="BH473" t="s">
        <v>4603</v>
      </c>
      <c r="BJ473">
        <v>36324</v>
      </c>
    </row>
    <row r="474" spans="1:62">
      <c r="A474">
        <f t="shared" si="85"/>
        <v>12.308</v>
      </c>
      <c r="B474">
        <f t="shared" si="86"/>
        <v>17.03</v>
      </c>
      <c r="C474">
        <f t="shared" si="87"/>
        <v>12.781</v>
      </c>
      <c r="D474">
        <f t="shared" si="88"/>
        <v>13.381</v>
      </c>
      <c r="E474">
        <f t="shared" si="89"/>
        <v>18.8</v>
      </c>
      <c r="F474">
        <f t="shared" si="90"/>
        <v>13.786</v>
      </c>
      <c r="G474">
        <f t="shared" si="91"/>
        <v>9.392</v>
      </c>
      <c r="H474">
        <f t="shared" si="92"/>
        <v>13.419</v>
      </c>
      <c r="I474">
        <f t="shared" si="93"/>
        <v>37.99</v>
      </c>
      <c r="J474">
        <f t="shared" si="94"/>
        <v>0</v>
      </c>
      <c r="K474">
        <f t="shared" si="95"/>
        <v>0</v>
      </c>
      <c r="L474">
        <f t="shared" si="96"/>
        <v>0</v>
      </c>
      <c r="N474">
        <v>12308</v>
      </c>
      <c r="O474">
        <v>17030</v>
      </c>
      <c r="P474">
        <v>12781</v>
      </c>
      <c r="Q474">
        <v>13381</v>
      </c>
      <c r="R474">
        <v>18800</v>
      </c>
      <c r="S474">
        <v>13786</v>
      </c>
      <c r="T474">
        <v>9392</v>
      </c>
      <c r="U474">
        <v>13419</v>
      </c>
      <c r="V474">
        <v>37990</v>
      </c>
      <c r="AA474" t="s">
        <v>4604</v>
      </c>
      <c r="AC474">
        <v>12018</v>
      </c>
      <c r="AE474">
        <v>13185</v>
      </c>
      <c r="AG474" t="s">
        <v>4605</v>
      </c>
      <c r="AI474">
        <v>8844</v>
      </c>
      <c r="AP474" t="s">
        <v>4606</v>
      </c>
      <c r="AR474">
        <v>16378</v>
      </c>
      <c r="AT474">
        <v>18492</v>
      </c>
      <c r="AV474" t="s">
        <v>4607</v>
      </c>
      <c r="AX474">
        <v>13180</v>
      </c>
      <c r="BB474" t="s">
        <v>4608</v>
      </c>
      <c r="BD474">
        <v>12407</v>
      </c>
      <c r="BF474">
        <v>13545</v>
      </c>
      <c r="BH474" t="s">
        <v>4609</v>
      </c>
      <c r="BJ474">
        <v>36359</v>
      </c>
    </row>
    <row r="475" spans="1:62">
      <c r="A475">
        <f t="shared" si="85"/>
        <v>12.341</v>
      </c>
      <c r="B475">
        <f t="shared" si="86"/>
        <v>17.25</v>
      </c>
      <c r="C475">
        <f t="shared" si="87"/>
        <v>12.832</v>
      </c>
      <c r="D475">
        <f t="shared" si="88"/>
        <v>13.428</v>
      </c>
      <c r="E475">
        <f t="shared" si="89"/>
        <v>18.804</v>
      </c>
      <c r="F475">
        <f t="shared" si="90"/>
        <v>13.807</v>
      </c>
      <c r="G475">
        <f t="shared" si="91"/>
        <v>9.45</v>
      </c>
      <c r="H475">
        <f t="shared" si="92"/>
        <v>13.432</v>
      </c>
      <c r="I475">
        <f t="shared" si="93"/>
        <v>38.062</v>
      </c>
      <c r="J475">
        <f t="shared" si="94"/>
        <v>0</v>
      </c>
      <c r="K475">
        <f t="shared" si="95"/>
        <v>0</v>
      </c>
      <c r="L475">
        <f t="shared" si="96"/>
        <v>0</v>
      </c>
      <c r="N475">
        <v>12341</v>
      </c>
      <c r="O475">
        <v>17250</v>
      </c>
      <c r="P475">
        <v>12832</v>
      </c>
      <c r="Q475">
        <v>13428</v>
      </c>
      <c r="R475">
        <v>18804</v>
      </c>
      <c r="S475">
        <v>13807</v>
      </c>
      <c r="T475">
        <v>9450</v>
      </c>
      <c r="U475">
        <v>13432</v>
      </c>
      <c r="V475">
        <v>38062</v>
      </c>
      <c r="AA475" t="s">
        <v>4610</v>
      </c>
      <c r="AC475">
        <v>12023</v>
      </c>
      <c r="AE475">
        <v>13221</v>
      </c>
      <c r="AG475" t="s">
        <v>4611</v>
      </c>
      <c r="AI475">
        <v>8873</v>
      </c>
      <c r="AP475" t="s">
        <v>4612</v>
      </c>
      <c r="AR475">
        <v>16414</v>
      </c>
      <c r="AT475">
        <v>18520</v>
      </c>
      <c r="AV475" t="s">
        <v>4613</v>
      </c>
      <c r="AX475">
        <v>13185</v>
      </c>
      <c r="BB475" t="s">
        <v>4614</v>
      </c>
      <c r="BD475">
        <v>12412</v>
      </c>
      <c r="BF475">
        <v>13558</v>
      </c>
      <c r="BH475" t="s">
        <v>4615</v>
      </c>
      <c r="BJ475">
        <v>36437</v>
      </c>
    </row>
    <row r="476" spans="1:62">
      <c r="A476">
        <f t="shared" si="85"/>
        <v>12.431</v>
      </c>
      <c r="B476">
        <f t="shared" si="86"/>
        <v>17.278</v>
      </c>
      <c r="C476">
        <f t="shared" si="87"/>
        <v>12.839</v>
      </c>
      <c r="D476">
        <f t="shared" si="88"/>
        <v>13.433</v>
      </c>
      <c r="E476">
        <f t="shared" si="89"/>
        <v>18.839</v>
      </c>
      <c r="F476">
        <f t="shared" si="90"/>
        <v>13.9</v>
      </c>
      <c r="G476">
        <f t="shared" si="91"/>
        <v>9.488</v>
      </c>
      <c r="H476">
        <f t="shared" si="92"/>
        <v>13.601</v>
      </c>
      <c r="I476">
        <f t="shared" si="93"/>
        <v>38.319</v>
      </c>
      <c r="J476">
        <f t="shared" si="94"/>
        <v>0</v>
      </c>
      <c r="K476">
        <f t="shared" si="95"/>
        <v>0</v>
      </c>
      <c r="L476">
        <f t="shared" si="96"/>
        <v>0</v>
      </c>
      <c r="N476">
        <v>12431</v>
      </c>
      <c r="O476">
        <v>17278</v>
      </c>
      <c r="P476">
        <v>12839</v>
      </c>
      <c r="Q476">
        <v>13433</v>
      </c>
      <c r="R476">
        <v>18839</v>
      </c>
      <c r="S476">
        <v>13900</v>
      </c>
      <c r="T476">
        <v>9488</v>
      </c>
      <c r="U476">
        <v>13601</v>
      </c>
      <c r="V476">
        <v>38319</v>
      </c>
      <c r="AA476" t="s">
        <v>4616</v>
      </c>
      <c r="AC476">
        <v>12057</v>
      </c>
      <c r="AE476">
        <v>13226</v>
      </c>
      <c r="AG476" t="s">
        <v>4617</v>
      </c>
      <c r="AI476">
        <v>8927</v>
      </c>
      <c r="AP476" t="s">
        <v>4618</v>
      </c>
      <c r="AR476">
        <v>16417</v>
      </c>
      <c r="AT476">
        <v>18584</v>
      </c>
      <c r="AV476" t="s">
        <v>4619</v>
      </c>
      <c r="AX476">
        <v>13214</v>
      </c>
      <c r="BB476" t="s">
        <v>4620</v>
      </c>
      <c r="BD476">
        <v>12454</v>
      </c>
      <c r="BF476">
        <v>13565</v>
      </c>
      <c r="BH476" t="s">
        <v>4621</v>
      </c>
      <c r="BJ476">
        <v>36571</v>
      </c>
    </row>
    <row r="477" spans="1:62">
      <c r="A477">
        <f t="shared" si="85"/>
        <v>12.475</v>
      </c>
      <c r="B477">
        <f t="shared" si="86"/>
        <v>17.311</v>
      </c>
      <c r="C477">
        <f t="shared" si="87"/>
        <v>12.866</v>
      </c>
      <c r="D477">
        <f t="shared" si="88"/>
        <v>13.485</v>
      </c>
      <c r="E477">
        <f t="shared" si="89"/>
        <v>18.862</v>
      </c>
      <c r="F477">
        <f t="shared" si="90"/>
        <v>13.901</v>
      </c>
      <c r="G477">
        <f t="shared" si="91"/>
        <v>9.503</v>
      </c>
      <c r="H477">
        <f t="shared" si="92"/>
        <v>13.683</v>
      </c>
      <c r="I477">
        <f t="shared" si="93"/>
        <v>38.389</v>
      </c>
      <c r="J477">
        <f t="shared" si="94"/>
        <v>0</v>
      </c>
      <c r="K477">
        <f t="shared" si="95"/>
        <v>0</v>
      </c>
      <c r="L477">
        <f t="shared" si="96"/>
        <v>0</v>
      </c>
      <c r="N477">
        <v>12475</v>
      </c>
      <c r="O477">
        <v>17311</v>
      </c>
      <c r="P477">
        <v>12866</v>
      </c>
      <c r="Q477">
        <v>13485</v>
      </c>
      <c r="R477">
        <v>18862</v>
      </c>
      <c r="S477">
        <v>13901</v>
      </c>
      <c r="T477">
        <v>9503</v>
      </c>
      <c r="U477">
        <v>13683</v>
      </c>
      <c r="V477">
        <v>38389</v>
      </c>
      <c r="AA477" t="s">
        <v>4622</v>
      </c>
      <c r="AC477">
        <v>12070</v>
      </c>
      <c r="AE477">
        <v>13241</v>
      </c>
      <c r="AG477" t="s">
        <v>4623</v>
      </c>
      <c r="AI477">
        <v>9022</v>
      </c>
      <c r="AP477" t="s">
        <v>4624</v>
      </c>
      <c r="AR477">
        <v>16735</v>
      </c>
      <c r="AT477">
        <v>18617</v>
      </c>
      <c r="AV477" t="s">
        <v>4625</v>
      </c>
      <c r="AX477">
        <v>13224</v>
      </c>
      <c r="BB477" t="s">
        <v>4626</v>
      </c>
      <c r="BD477">
        <v>12571</v>
      </c>
      <c r="BF477">
        <v>13574</v>
      </c>
      <c r="BH477" t="s">
        <v>4627</v>
      </c>
      <c r="BJ477">
        <v>36600</v>
      </c>
    </row>
    <row r="478" spans="1:62">
      <c r="A478">
        <f t="shared" si="85"/>
        <v>12.482</v>
      </c>
      <c r="B478">
        <f t="shared" si="86"/>
        <v>17.336</v>
      </c>
      <c r="C478">
        <f t="shared" si="87"/>
        <v>12.977</v>
      </c>
      <c r="D478">
        <f t="shared" si="88"/>
        <v>13.486</v>
      </c>
      <c r="E478">
        <f t="shared" si="89"/>
        <v>19.003</v>
      </c>
      <c r="F478">
        <f t="shared" si="90"/>
        <v>13.918</v>
      </c>
      <c r="G478">
        <f t="shared" si="91"/>
        <v>9.514</v>
      </c>
      <c r="H478">
        <f t="shared" si="92"/>
        <v>13.707</v>
      </c>
      <c r="I478">
        <f t="shared" si="93"/>
        <v>39.138</v>
      </c>
      <c r="J478">
        <f t="shared" si="94"/>
        <v>0</v>
      </c>
      <c r="K478">
        <f t="shared" si="95"/>
        <v>0</v>
      </c>
      <c r="L478">
        <f t="shared" si="96"/>
        <v>0</v>
      </c>
      <c r="N478">
        <v>12482</v>
      </c>
      <c r="O478">
        <v>17336</v>
      </c>
      <c r="P478">
        <v>12977</v>
      </c>
      <c r="Q478">
        <v>13486</v>
      </c>
      <c r="R478">
        <v>19003</v>
      </c>
      <c r="S478">
        <v>13918</v>
      </c>
      <c r="T478">
        <v>9514</v>
      </c>
      <c r="U478">
        <v>13707</v>
      </c>
      <c r="V478">
        <v>39138</v>
      </c>
      <c r="AA478" t="s">
        <v>4628</v>
      </c>
      <c r="AC478">
        <v>12136</v>
      </c>
      <c r="AE478">
        <v>13288</v>
      </c>
      <c r="AG478" t="s">
        <v>4629</v>
      </c>
      <c r="AI478">
        <v>9038</v>
      </c>
      <c r="AP478" t="s">
        <v>4630</v>
      </c>
      <c r="AR478">
        <v>16956</v>
      </c>
      <c r="AT478">
        <v>18620</v>
      </c>
      <c r="AV478" t="s">
        <v>4631</v>
      </c>
      <c r="AX478">
        <v>13299</v>
      </c>
      <c r="BB478" t="s">
        <v>4632</v>
      </c>
      <c r="BD478">
        <v>12616</v>
      </c>
      <c r="BF478">
        <v>13594</v>
      </c>
      <c r="BH478" t="s">
        <v>4633</v>
      </c>
      <c r="BJ478">
        <v>37007</v>
      </c>
    </row>
    <row r="479" spans="1:62">
      <c r="A479">
        <f t="shared" si="85"/>
        <v>12.498</v>
      </c>
      <c r="B479">
        <f t="shared" si="86"/>
        <v>17.414</v>
      </c>
      <c r="C479">
        <f t="shared" si="87"/>
        <v>13.034</v>
      </c>
      <c r="D479">
        <f t="shared" si="88"/>
        <v>13.572</v>
      </c>
      <c r="E479">
        <f t="shared" si="89"/>
        <v>19.314</v>
      </c>
      <c r="F479">
        <f t="shared" si="90"/>
        <v>13.997</v>
      </c>
      <c r="G479">
        <f t="shared" si="91"/>
        <v>9.545</v>
      </c>
      <c r="H479">
        <f t="shared" si="92"/>
        <v>13.747</v>
      </c>
      <c r="I479">
        <f t="shared" si="93"/>
        <v>39.602</v>
      </c>
      <c r="J479">
        <f t="shared" si="94"/>
        <v>0</v>
      </c>
      <c r="K479">
        <f t="shared" si="95"/>
        <v>0</v>
      </c>
      <c r="L479">
        <f t="shared" si="96"/>
        <v>0</v>
      </c>
      <c r="N479">
        <v>12498</v>
      </c>
      <c r="O479">
        <v>17414</v>
      </c>
      <c r="P479">
        <v>13034</v>
      </c>
      <c r="Q479">
        <v>13572</v>
      </c>
      <c r="R479">
        <v>19314</v>
      </c>
      <c r="S479">
        <v>13997</v>
      </c>
      <c r="T479">
        <v>9545</v>
      </c>
      <c r="U479">
        <v>13747</v>
      </c>
      <c r="V479">
        <v>39602</v>
      </c>
      <c r="AA479" t="s">
        <v>4634</v>
      </c>
      <c r="AC479">
        <v>12155</v>
      </c>
      <c r="AE479">
        <v>13349</v>
      </c>
      <c r="AG479" t="s">
        <v>4635</v>
      </c>
      <c r="AI479">
        <v>9094</v>
      </c>
      <c r="AP479" t="s">
        <v>4636</v>
      </c>
      <c r="AR479">
        <v>16980</v>
      </c>
      <c r="AT479">
        <v>18674</v>
      </c>
      <c r="AV479" t="s">
        <v>4637</v>
      </c>
      <c r="AX479">
        <v>13307</v>
      </c>
      <c r="BB479" t="s">
        <v>4638</v>
      </c>
      <c r="BD479">
        <v>12682</v>
      </c>
      <c r="BF479">
        <v>13696</v>
      </c>
      <c r="BH479" t="s">
        <v>4639</v>
      </c>
      <c r="BJ479">
        <v>37719</v>
      </c>
    </row>
    <row r="480" spans="1:62">
      <c r="A480">
        <f t="shared" si="85"/>
        <v>12.507</v>
      </c>
      <c r="B480">
        <f t="shared" si="86"/>
        <v>17.464</v>
      </c>
      <c r="C480">
        <f t="shared" si="87"/>
        <v>13.094</v>
      </c>
      <c r="D480">
        <f t="shared" si="88"/>
        <v>13.633</v>
      </c>
      <c r="E480">
        <f t="shared" si="89"/>
        <v>19.329</v>
      </c>
      <c r="F480">
        <f t="shared" si="90"/>
        <v>14.094</v>
      </c>
      <c r="G480">
        <f t="shared" si="91"/>
        <v>9.548</v>
      </c>
      <c r="H480">
        <f t="shared" si="92"/>
        <v>13.797</v>
      </c>
      <c r="I480">
        <f t="shared" si="93"/>
        <v>40.817</v>
      </c>
      <c r="J480">
        <f t="shared" si="94"/>
        <v>0</v>
      </c>
      <c r="K480">
        <f t="shared" si="95"/>
        <v>0</v>
      </c>
      <c r="L480">
        <f t="shared" si="96"/>
        <v>0</v>
      </c>
      <c r="N480">
        <v>12507</v>
      </c>
      <c r="O480">
        <v>17464</v>
      </c>
      <c r="P480">
        <v>13094</v>
      </c>
      <c r="Q480">
        <v>13633</v>
      </c>
      <c r="R480">
        <v>19329</v>
      </c>
      <c r="S480">
        <v>14094</v>
      </c>
      <c r="T480">
        <v>9548</v>
      </c>
      <c r="U480">
        <v>13797</v>
      </c>
      <c r="V480">
        <v>40817</v>
      </c>
      <c r="AA480" t="s">
        <v>4640</v>
      </c>
      <c r="AC480">
        <v>12204</v>
      </c>
      <c r="AE480">
        <v>13366</v>
      </c>
      <c r="AG480" t="s">
        <v>4641</v>
      </c>
      <c r="AI480">
        <v>9328</v>
      </c>
      <c r="AP480" t="s">
        <v>4642</v>
      </c>
      <c r="AR480">
        <v>17002</v>
      </c>
      <c r="AT480">
        <v>18683</v>
      </c>
      <c r="AV480" t="s">
        <v>4643</v>
      </c>
      <c r="AX480">
        <v>13314</v>
      </c>
      <c r="BB480" t="s">
        <v>4644</v>
      </c>
      <c r="BD480">
        <v>12723</v>
      </c>
      <c r="BF480">
        <v>13708</v>
      </c>
      <c r="BH480" t="s">
        <v>4645</v>
      </c>
      <c r="BJ480">
        <v>37729</v>
      </c>
    </row>
    <row r="481" spans="1:62">
      <c r="A481">
        <f t="shared" si="85"/>
        <v>12.535</v>
      </c>
      <c r="B481">
        <f t="shared" si="86"/>
        <v>17.466</v>
      </c>
      <c r="C481">
        <f t="shared" si="87"/>
        <v>13.116</v>
      </c>
      <c r="D481">
        <f t="shared" si="88"/>
        <v>13.665</v>
      </c>
      <c r="E481">
        <f t="shared" si="89"/>
        <v>19.443</v>
      </c>
      <c r="F481">
        <f t="shared" si="90"/>
        <v>14.102</v>
      </c>
      <c r="G481">
        <f t="shared" si="91"/>
        <v>9.585</v>
      </c>
      <c r="H481">
        <f t="shared" si="92"/>
        <v>13.798</v>
      </c>
      <c r="I481">
        <f t="shared" si="93"/>
        <v>40.848</v>
      </c>
      <c r="J481">
        <f t="shared" si="94"/>
        <v>0</v>
      </c>
      <c r="K481">
        <f t="shared" si="95"/>
        <v>0</v>
      </c>
      <c r="L481">
        <f t="shared" si="96"/>
        <v>0</v>
      </c>
      <c r="N481">
        <v>12535</v>
      </c>
      <c r="O481">
        <v>17466</v>
      </c>
      <c r="P481">
        <v>13116</v>
      </c>
      <c r="Q481">
        <v>13665</v>
      </c>
      <c r="R481">
        <v>19443</v>
      </c>
      <c r="S481">
        <v>14102</v>
      </c>
      <c r="T481">
        <v>9585</v>
      </c>
      <c r="U481">
        <v>13798</v>
      </c>
      <c r="V481">
        <v>40848</v>
      </c>
      <c r="AA481" t="s">
        <v>4646</v>
      </c>
      <c r="AC481">
        <v>12298</v>
      </c>
      <c r="AE481">
        <v>13375</v>
      </c>
      <c r="AG481" t="s">
        <v>4647</v>
      </c>
      <c r="AI481">
        <v>9345</v>
      </c>
      <c r="AP481" t="s">
        <v>4648</v>
      </c>
      <c r="AR481">
        <v>17030</v>
      </c>
      <c r="AT481">
        <v>18800</v>
      </c>
      <c r="AV481" t="s">
        <v>4649</v>
      </c>
      <c r="AX481">
        <v>13419</v>
      </c>
      <c r="BB481" t="s">
        <v>4650</v>
      </c>
      <c r="BD481">
        <v>12749</v>
      </c>
      <c r="BF481">
        <v>13758</v>
      </c>
      <c r="BH481" t="s">
        <v>4651</v>
      </c>
      <c r="BJ481">
        <v>37881</v>
      </c>
    </row>
    <row r="482" spans="1:62">
      <c r="A482">
        <f t="shared" si="85"/>
        <v>12.582</v>
      </c>
      <c r="B482">
        <f t="shared" si="86"/>
        <v>17.487</v>
      </c>
      <c r="C482">
        <f t="shared" si="87"/>
        <v>13.131</v>
      </c>
      <c r="D482">
        <f t="shared" si="88"/>
        <v>13.684</v>
      </c>
      <c r="E482">
        <f t="shared" si="89"/>
        <v>19.491</v>
      </c>
      <c r="F482">
        <f t="shared" si="90"/>
        <v>14.116</v>
      </c>
      <c r="G482">
        <f t="shared" si="91"/>
        <v>9.604</v>
      </c>
      <c r="H482">
        <f t="shared" si="92"/>
        <v>13.804</v>
      </c>
      <c r="I482">
        <f t="shared" si="93"/>
        <v>40.949</v>
      </c>
      <c r="J482">
        <f t="shared" si="94"/>
        <v>0</v>
      </c>
      <c r="K482">
        <f t="shared" si="95"/>
        <v>0</v>
      </c>
      <c r="L482">
        <f t="shared" si="96"/>
        <v>0</v>
      </c>
      <c r="N482">
        <v>12582</v>
      </c>
      <c r="O482">
        <v>17487</v>
      </c>
      <c r="P482">
        <v>13131</v>
      </c>
      <c r="Q482">
        <v>13684</v>
      </c>
      <c r="R482">
        <v>19491</v>
      </c>
      <c r="S482">
        <v>14116</v>
      </c>
      <c r="T482">
        <v>9604</v>
      </c>
      <c r="U482">
        <v>13804</v>
      </c>
      <c r="V482">
        <v>40949</v>
      </c>
      <c r="AA482" t="s">
        <v>4652</v>
      </c>
      <c r="AC482">
        <v>12308</v>
      </c>
      <c r="AE482">
        <v>13381</v>
      </c>
      <c r="AG482" t="s">
        <v>4653</v>
      </c>
      <c r="AI482">
        <v>9392</v>
      </c>
      <c r="AP482" t="s">
        <v>4654</v>
      </c>
      <c r="AR482">
        <v>17250</v>
      </c>
      <c r="AT482">
        <v>18804</v>
      </c>
      <c r="AV482" t="s">
        <v>4655</v>
      </c>
      <c r="AX482">
        <v>13432</v>
      </c>
      <c r="BB482" t="s">
        <v>4656</v>
      </c>
      <c r="BD482">
        <v>12781</v>
      </c>
      <c r="BF482">
        <v>13786</v>
      </c>
      <c r="BH482" t="s">
        <v>4657</v>
      </c>
      <c r="BJ482">
        <v>37990</v>
      </c>
    </row>
    <row r="483" spans="1:62">
      <c r="A483">
        <f t="shared" si="85"/>
        <v>12.603</v>
      </c>
      <c r="B483">
        <f t="shared" si="86"/>
        <v>17.602</v>
      </c>
      <c r="C483">
        <f t="shared" si="87"/>
        <v>13.14</v>
      </c>
      <c r="D483">
        <f t="shared" si="88"/>
        <v>13.724</v>
      </c>
      <c r="E483">
        <f t="shared" si="89"/>
        <v>19.532</v>
      </c>
      <c r="F483">
        <f t="shared" si="90"/>
        <v>14.27</v>
      </c>
      <c r="G483">
        <f t="shared" si="91"/>
        <v>9.634</v>
      </c>
      <c r="H483">
        <f t="shared" si="92"/>
        <v>13.809</v>
      </c>
      <c r="I483">
        <f t="shared" si="93"/>
        <v>41.383</v>
      </c>
      <c r="J483">
        <f t="shared" si="94"/>
        <v>0</v>
      </c>
      <c r="K483">
        <f t="shared" si="95"/>
        <v>0</v>
      </c>
      <c r="L483">
        <f t="shared" si="96"/>
        <v>0</v>
      </c>
      <c r="N483">
        <v>12603</v>
      </c>
      <c r="O483">
        <v>17602</v>
      </c>
      <c r="P483">
        <v>13140</v>
      </c>
      <c r="Q483">
        <v>13724</v>
      </c>
      <c r="R483">
        <v>19532</v>
      </c>
      <c r="S483">
        <v>14270</v>
      </c>
      <c r="T483">
        <v>9634</v>
      </c>
      <c r="U483">
        <v>13809</v>
      </c>
      <c r="V483">
        <v>41383</v>
      </c>
      <c r="AA483" t="s">
        <v>4658</v>
      </c>
      <c r="AC483">
        <v>12341</v>
      </c>
      <c r="AE483">
        <v>13428</v>
      </c>
      <c r="AG483" t="s">
        <v>4659</v>
      </c>
      <c r="AI483">
        <v>9450</v>
      </c>
      <c r="AP483" t="s">
        <v>4660</v>
      </c>
      <c r="AR483">
        <v>17278</v>
      </c>
      <c r="AT483">
        <v>18839</v>
      </c>
      <c r="AV483" t="s">
        <v>4661</v>
      </c>
      <c r="AX483">
        <v>13601</v>
      </c>
      <c r="BB483" t="s">
        <v>4662</v>
      </c>
      <c r="BD483">
        <v>12832</v>
      </c>
      <c r="BF483">
        <v>13807</v>
      </c>
      <c r="BH483" t="s">
        <v>4663</v>
      </c>
      <c r="BJ483">
        <v>38062</v>
      </c>
    </row>
    <row r="484" spans="1:62">
      <c r="A484">
        <f t="shared" si="85"/>
        <v>12.656</v>
      </c>
      <c r="B484">
        <f t="shared" si="86"/>
        <v>17.731</v>
      </c>
      <c r="C484">
        <f t="shared" si="87"/>
        <v>13.201</v>
      </c>
      <c r="D484">
        <f t="shared" si="88"/>
        <v>13.768</v>
      </c>
      <c r="E484">
        <f t="shared" si="89"/>
        <v>19.712</v>
      </c>
      <c r="F484">
        <f t="shared" si="90"/>
        <v>14.271</v>
      </c>
      <c r="G484">
        <f t="shared" si="91"/>
        <v>9.708</v>
      </c>
      <c r="H484">
        <f t="shared" si="92"/>
        <v>13.916</v>
      </c>
      <c r="I484">
        <f t="shared" si="93"/>
        <v>41.61</v>
      </c>
      <c r="J484">
        <f t="shared" si="94"/>
        <v>0</v>
      </c>
      <c r="K484">
        <f t="shared" si="95"/>
        <v>0</v>
      </c>
      <c r="L484">
        <f t="shared" si="96"/>
        <v>0</v>
      </c>
      <c r="N484">
        <v>12656</v>
      </c>
      <c r="O484">
        <v>17731</v>
      </c>
      <c r="P484">
        <v>13201</v>
      </c>
      <c r="Q484">
        <v>13768</v>
      </c>
      <c r="R484">
        <v>19712</v>
      </c>
      <c r="S484">
        <v>14271</v>
      </c>
      <c r="T484">
        <v>9708</v>
      </c>
      <c r="U484">
        <v>13916</v>
      </c>
      <c r="V484">
        <v>41610</v>
      </c>
      <c r="AA484" t="s">
        <v>4664</v>
      </c>
      <c r="AC484">
        <v>12431</v>
      </c>
      <c r="AE484">
        <v>13433</v>
      </c>
      <c r="AG484" t="s">
        <v>4665</v>
      </c>
      <c r="AI484">
        <v>9488</v>
      </c>
      <c r="AP484" t="s">
        <v>4666</v>
      </c>
      <c r="AR484">
        <v>17311</v>
      </c>
      <c r="AT484">
        <v>18862</v>
      </c>
      <c r="AV484" t="s">
        <v>4667</v>
      </c>
      <c r="AX484">
        <v>13683</v>
      </c>
      <c r="BB484" t="s">
        <v>4668</v>
      </c>
      <c r="BD484">
        <v>12839</v>
      </c>
      <c r="BF484">
        <v>13900</v>
      </c>
      <c r="BH484" t="s">
        <v>4669</v>
      </c>
      <c r="BJ484">
        <v>38319</v>
      </c>
    </row>
    <row r="485" spans="1:62">
      <c r="A485">
        <f t="shared" si="85"/>
        <v>12.689</v>
      </c>
      <c r="B485">
        <f t="shared" si="86"/>
        <v>17.78</v>
      </c>
      <c r="C485">
        <f t="shared" si="87"/>
        <v>13.227</v>
      </c>
      <c r="D485">
        <f t="shared" si="88"/>
        <v>13.854</v>
      </c>
      <c r="E485">
        <f t="shared" si="89"/>
        <v>19.871</v>
      </c>
      <c r="F485">
        <f t="shared" si="90"/>
        <v>14.276</v>
      </c>
      <c r="G485">
        <f t="shared" si="91"/>
        <v>9.824</v>
      </c>
      <c r="H485">
        <f t="shared" si="92"/>
        <v>14.079</v>
      </c>
      <c r="I485">
        <f t="shared" si="93"/>
        <v>41.633</v>
      </c>
      <c r="J485">
        <f t="shared" si="94"/>
        <v>0</v>
      </c>
      <c r="K485">
        <f t="shared" si="95"/>
        <v>0</v>
      </c>
      <c r="L485">
        <f t="shared" si="96"/>
        <v>0</v>
      </c>
      <c r="N485">
        <v>12689</v>
      </c>
      <c r="O485">
        <v>17780</v>
      </c>
      <c r="P485">
        <v>13227</v>
      </c>
      <c r="Q485">
        <v>13854</v>
      </c>
      <c r="R485">
        <v>19871</v>
      </c>
      <c r="S485">
        <v>14276</v>
      </c>
      <c r="T485">
        <v>9824</v>
      </c>
      <c r="U485">
        <v>14079</v>
      </c>
      <c r="V485">
        <v>41633</v>
      </c>
      <c r="AA485" t="s">
        <v>4670</v>
      </c>
      <c r="AC485">
        <v>12475</v>
      </c>
      <c r="AE485">
        <v>13485</v>
      </c>
      <c r="AG485" t="s">
        <v>4671</v>
      </c>
      <c r="AI485">
        <v>9503</v>
      </c>
      <c r="AP485" t="s">
        <v>4672</v>
      </c>
      <c r="AR485">
        <v>17336</v>
      </c>
      <c r="AT485">
        <v>19003</v>
      </c>
      <c r="AV485" t="s">
        <v>4673</v>
      </c>
      <c r="AX485">
        <v>13707</v>
      </c>
      <c r="BB485" t="s">
        <v>4674</v>
      </c>
      <c r="BD485">
        <v>12866</v>
      </c>
      <c r="BF485">
        <v>13901</v>
      </c>
      <c r="BH485" t="s">
        <v>4675</v>
      </c>
      <c r="BJ485">
        <v>38389</v>
      </c>
    </row>
    <row r="486" spans="1:62">
      <c r="A486">
        <f t="shared" si="85"/>
        <v>12.753</v>
      </c>
      <c r="B486">
        <f t="shared" si="86"/>
        <v>17.902</v>
      </c>
      <c r="C486">
        <f t="shared" si="87"/>
        <v>13.276</v>
      </c>
      <c r="D486">
        <f t="shared" si="88"/>
        <v>13.898</v>
      </c>
      <c r="E486">
        <f t="shared" si="89"/>
        <v>19.909</v>
      </c>
      <c r="F486">
        <f t="shared" si="90"/>
        <v>14.362</v>
      </c>
      <c r="G486">
        <f t="shared" si="91"/>
        <v>9.833</v>
      </c>
      <c r="H486">
        <f t="shared" si="92"/>
        <v>14.123</v>
      </c>
      <c r="I486">
        <f t="shared" si="93"/>
        <v>41.724</v>
      </c>
      <c r="J486">
        <f t="shared" si="94"/>
        <v>0</v>
      </c>
      <c r="K486">
        <f t="shared" si="95"/>
        <v>0</v>
      </c>
      <c r="L486">
        <f t="shared" si="96"/>
        <v>0</v>
      </c>
      <c r="N486">
        <v>12753</v>
      </c>
      <c r="O486">
        <v>17902</v>
      </c>
      <c r="P486">
        <v>13276</v>
      </c>
      <c r="Q486">
        <v>13898</v>
      </c>
      <c r="R486">
        <v>19909</v>
      </c>
      <c r="S486">
        <v>14362</v>
      </c>
      <c r="T486">
        <v>9833</v>
      </c>
      <c r="U486">
        <v>14123</v>
      </c>
      <c r="V486">
        <v>41724</v>
      </c>
      <c r="AA486" t="s">
        <v>4676</v>
      </c>
      <c r="AC486">
        <v>12482</v>
      </c>
      <c r="AE486">
        <v>13486</v>
      </c>
      <c r="AG486" t="s">
        <v>4677</v>
      </c>
      <c r="AI486">
        <v>9514</v>
      </c>
      <c r="AP486" t="s">
        <v>4678</v>
      </c>
      <c r="AR486">
        <v>17414</v>
      </c>
      <c r="AT486">
        <v>19314</v>
      </c>
      <c r="AV486" t="s">
        <v>4679</v>
      </c>
      <c r="AX486">
        <v>13747</v>
      </c>
      <c r="BB486" t="s">
        <v>4680</v>
      </c>
      <c r="BD486">
        <v>12977</v>
      </c>
      <c r="BF486">
        <v>13918</v>
      </c>
      <c r="BH486" t="s">
        <v>4681</v>
      </c>
      <c r="BJ486">
        <v>39138</v>
      </c>
    </row>
    <row r="487" spans="1:62">
      <c r="A487">
        <f t="shared" si="85"/>
        <v>12.759</v>
      </c>
      <c r="B487">
        <f t="shared" si="86"/>
        <v>17.962</v>
      </c>
      <c r="C487">
        <f t="shared" si="87"/>
        <v>13.316</v>
      </c>
      <c r="D487">
        <f t="shared" si="88"/>
        <v>13.905</v>
      </c>
      <c r="E487">
        <f t="shared" si="89"/>
        <v>20.053</v>
      </c>
      <c r="F487">
        <f t="shared" si="90"/>
        <v>14.367</v>
      </c>
      <c r="G487">
        <f t="shared" si="91"/>
        <v>9.891</v>
      </c>
      <c r="H487">
        <f t="shared" si="92"/>
        <v>14.131</v>
      </c>
      <c r="I487">
        <f t="shared" si="93"/>
        <v>41.91</v>
      </c>
      <c r="J487">
        <f t="shared" si="94"/>
        <v>0</v>
      </c>
      <c r="K487">
        <f t="shared" si="95"/>
        <v>0</v>
      </c>
      <c r="L487">
        <f t="shared" si="96"/>
        <v>0</v>
      </c>
      <c r="N487">
        <v>12759</v>
      </c>
      <c r="O487">
        <v>17962</v>
      </c>
      <c r="P487">
        <v>13316</v>
      </c>
      <c r="Q487">
        <v>13905</v>
      </c>
      <c r="R487">
        <v>20053</v>
      </c>
      <c r="S487">
        <v>14367</v>
      </c>
      <c r="T487">
        <v>9891</v>
      </c>
      <c r="U487">
        <v>14131</v>
      </c>
      <c r="V487">
        <v>41910</v>
      </c>
      <c r="AA487" t="s">
        <v>4682</v>
      </c>
      <c r="AC487">
        <v>12498</v>
      </c>
      <c r="AE487">
        <v>13572</v>
      </c>
      <c r="AG487" t="s">
        <v>4683</v>
      </c>
      <c r="AI487">
        <v>9545</v>
      </c>
      <c r="AP487" t="s">
        <v>4684</v>
      </c>
      <c r="AR487">
        <v>17464</v>
      </c>
      <c r="AT487">
        <v>19329</v>
      </c>
      <c r="AV487" t="s">
        <v>4685</v>
      </c>
      <c r="AX487">
        <v>13797</v>
      </c>
      <c r="BB487" t="s">
        <v>4686</v>
      </c>
      <c r="BD487">
        <v>13034</v>
      </c>
      <c r="BF487">
        <v>13997</v>
      </c>
      <c r="BH487" t="s">
        <v>4687</v>
      </c>
      <c r="BJ487">
        <v>39602</v>
      </c>
    </row>
    <row r="488" spans="1:62">
      <c r="A488">
        <f t="shared" si="85"/>
        <v>12.772</v>
      </c>
      <c r="B488">
        <f t="shared" si="86"/>
        <v>18.017</v>
      </c>
      <c r="C488">
        <f t="shared" si="87"/>
        <v>13.317</v>
      </c>
      <c r="D488">
        <f t="shared" si="88"/>
        <v>14.079</v>
      </c>
      <c r="E488">
        <f t="shared" si="89"/>
        <v>20.101</v>
      </c>
      <c r="F488">
        <f t="shared" si="90"/>
        <v>14.404</v>
      </c>
      <c r="G488">
        <f t="shared" si="91"/>
        <v>9.975</v>
      </c>
      <c r="H488">
        <f t="shared" si="92"/>
        <v>14.229</v>
      </c>
      <c r="I488">
        <f t="shared" si="93"/>
        <v>41.941</v>
      </c>
      <c r="J488">
        <f t="shared" si="94"/>
        <v>0</v>
      </c>
      <c r="K488">
        <f t="shared" si="95"/>
        <v>0</v>
      </c>
      <c r="L488">
        <f t="shared" si="96"/>
        <v>0</v>
      </c>
      <c r="N488">
        <v>12772</v>
      </c>
      <c r="O488">
        <v>18017</v>
      </c>
      <c r="P488">
        <v>13317</v>
      </c>
      <c r="Q488">
        <v>14079</v>
      </c>
      <c r="R488">
        <v>20101</v>
      </c>
      <c r="S488">
        <v>14404</v>
      </c>
      <c r="T488">
        <v>9975</v>
      </c>
      <c r="U488">
        <v>14229</v>
      </c>
      <c r="V488">
        <v>41941</v>
      </c>
      <c r="AA488" t="s">
        <v>4688</v>
      </c>
      <c r="AC488">
        <v>12507</v>
      </c>
      <c r="AE488">
        <v>13633</v>
      </c>
      <c r="AG488" t="s">
        <v>4689</v>
      </c>
      <c r="AI488">
        <v>9548</v>
      </c>
      <c r="AP488" t="s">
        <v>4690</v>
      </c>
      <c r="AR488">
        <v>17466</v>
      </c>
      <c r="AT488">
        <v>19443</v>
      </c>
      <c r="AV488" t="s">
        <v>4691</v>
      </c>
      <c r="AX488">
        <v>13798</v>
      </c>
      <c r="BB488" t="s">
        <v>4692</v>
      </c>
      <c r="BD488">
        <v>13094</v>
      </c>
      <c r="BF488">
        <v>14094</v>
      </c>
      <c r="BH488" t="s">
        <v>4693</v>
      </c>
      <c r="BJ488">
        <v>40817</v>
      </c>
    </row>
    <row r="489" spans="1:62">
      <c r="A489">
        <f t="shared" si="85"/>
        <v>12.801</v>
      </c>
      <c r="B489">
        <f t="shared" si="86"/>
        <v>18.076</v>
      </c>
      <c r="C489">
        <f t="shared" si="87"/>
        <v>13.328</v>
      </c>
      <c r="D489">
        <f t="shared" si="88"/>
        <v>14.145</v>
      </c>
      <c r="E489">
        <f t="shared" si="89"/>
        <v>20.208</v>
      </c>
      <c r="F489">
        <f t="shared" si="90"/>
        <v>14.41</v>
      </c>
      <c r="G489">
        <f t="shared" si="91"/>
        <v>9.98</v>
      </c>
      <c r="H489">
        <f t="shared" si="92"/>
        <v>14.239</v>
      </c>
      <c r="I489">
        <f t="shared" si="93"/>
        <v>42.183</v>
      </c>
      <c r="J489">
        <f t="shared" si="94"/>
        <v>0</v>
      </c>
      <c r="K489">
        <f t="shared" si="95"/>
        <v>0</v>
      </c>
      <c r="L489">
        <f t="shared" si="96"/>
        <v>0</v>
      </c>
      <c r="N489">
        <v>12801</v>
      </c>
      <c r="O489">
        <v>18076</v>
      </c>
      <c r="P489">
        <v>13328</v>
      </c>
      <c r="Q489">
        <v>14145</v>
      </c>
      <c r="R489">
        <v>20208</v>
      </c>
      <c r="S489">
        <v>14410</v>
      </c>
      <c r="T489">
        <v>9980</v>
      </c>
      <c r="U489">
        <v>14239</v>
      </c>
      <c r="V489">
        <v>42183</v>
      </c>
      <c r="AA489" t="s">
        <v>4694</v>
      </c>
      <c r="AC489">
        <v>12535</v>
      </c>
      <c r="AE489">
        <v>13665</v>
      </c>
      <c r="AG489" t="s">
        <v>4695</v>
      </c>
      <c r="AI489">
        <v>9585</v>
      </c>
      <c r="AP489" t="s">
        <v>4696</v>
      </c>
      <c r="AR489">
        <v>17487</v>
      </c>
      <c r="AT489">
        <v>19491</v>
      </c>
      <c r="AV489" t="s">
        <v>4697</v>
      </c>
      <c r="AX489">
        <v>13804</v>
      </c>
      <c r="BB489" t="s">
        <v>4698</v>
      </c>
      <c r="BD489">
        <v>13116</v>
      </c>
      <c r="BF489">
        <v>14102</v>
      </c>
      <c r="BH489" t="s">
        <v>4699</v>
      </c>
      <c r="BJ489">
        <v>40848</v>
      </c>
    </row>
    <row r="490" spans="1:62">
      <c r="A490">
        <f t="shared" si="85"/>
        <v>12.807</v>
      </c>
      <c r="B490">
        <f t="shared" si="86"/>
        <v>18.112</v>
      </c>
      <c r="C490">
        <f t="shared" si="87"/>
        <v>13.332</v>
      </c>
      <c r="D490">
        <f t="shared" si="88"/>
        <v>14.228</v>
      </c>
      <c r="E490">
        <f t="shared" si="89"/>
        <v>20.212</v>
      </c>
      <c r="F490">
        <f t="shared" si="90"/>
        <v>14.429</v>
      </c>
      <c r="G490">
        <f t="shared" si="91"/>
        <v>10.008</v>
      </c>
      <c r="H490">
        <f t="shared" si="92"/>
        <v>14.26</v>
      </c>
      <c r="I490">
        <f t="shared" si="93"/>
        <v>43.168</v>
      </c>
      <c r="J490">
        <f t="shared" si="94"/>
        <v>0</v>
      </c>
      <c r="K490">
        <f t="shared" si="95"/>
        <v>0</v>
      </c>
      <c r="L490">
        <f t="shared" si="96"/>
        <v>0</v>
      </c>
      <c r="N490">
        <v>12807</v>
      </c>
      <c r="O490">
        <v>18112</v>
      </c>
      <c r="P490">
        <v>13332</v>
      </c>
      <c r="Q490">
        <v>14228</v>
      </c>
      <c r="R490">
        <v>20212</v>
      </c>
      <c r="S490">
        <v>14429</v>
      </c>
      <c r="T490">
        <v>10008</v>
      </c>
      <c r="U490">
        <v>14260</v>
      </c>
      <c r="V490">
        <v>43168</v>
      </c>
      <c r="AA490" t="s">
        <v>4700</v>
      </c>
      <c r="AC490">
        <v>12582</v>
      </c>
      <c r="AE490">
        <v>13684</v>
      </c>
      <c r="AG490" t="s">
        <v>4701</v>
      </c>
      <c r="AI490">
        <v>9604</v>
      </c>
      <c r="AP490" t="s">
        <v>4702</v>
      </c>
      <c r="AR490">
        <v>17602</v>
      </c>
      <c r="AT490">
        <v>19532</v>
      </c>
      <c r="AV490" t="s">
        <v>4703</v>
      </c>
      <c r="AX490">
        <v>13809</v>
      </c>
      <c r="BB490" t="s">
        <v>4704</v>
      </c>
      <c r="BD490">
        <v>13131</v>
      </c>
      <c r="BF490">
        <v>14116</v>
      </c>
      <c r="BH490" t="s">
        <v>4705</v>
      </c>
      <c r="BJ490">
        <v>40949</v>
      </c>
    </row>
    <row r="491" spans="1:62">
      <c r="A491">
        <f t="shared" si="85"/>
        <v>12.975</v>
      </c>
      <c r="B491">
        <f t="shared" si="86"/>
        <v>18.157</v>
      </c>
      <c r="C491">
        <f t="shared" si="87"/>
        <v>13.364</v>
      </c>
      <c r="D491">
        <f t="shared" si="88"/>
        <v>14.234</v>
      </c>
      <c r="E491">
        <f t="shared" si="89"/>
        <v>20.328</v>
      </c>
      <c r="F491">
        <f t="shared" si="90"/>
        <v>14.501</v>
      </c>
      <c r="G491">
        <f t="shared" si="91"/>
        <v>10.023</v>
      </c>
      <c r="H491">
        <f t="shared" si="92"/>
        <v>14.269</v>
      </c>
      <c r="I491">
        <f t="shared" si="93"/>
        <v>43.206</v>
      </c>
      <c r="J491">
        <f t="shared" si="94"/>
        <v>0</v>
      </c>
      <c r="K491">
        <f t="shared" si="95"/>
        <v>0</v>
      </c>
      <c r="L491">
        <f t="shared" si="96"/>
        <v>0</v>
      </c>
      <c r="N491">
        <v>12975</v>
      </c>
      <c r="O491">
        <v>18157</v>
      </c>
      <c r="P491">
        <v>13364</v>
      </c>
      <c r="Q491">
        <v>14234</v>
      </c>
      <c r="R491">
        <v>20328</v>
      </c>
      <c r="S491">
        <v>14501</v>
      </c>
      <c r="T491">
        <v>10023</v>
      </c>
      <c r="U491">
        <v>14269</v>
      </c>
      <c r="V491">
        <v>43206</v>
      </c>
      <c r="AA491" t="s">
        <v>4706</v>
      </c>
      <c r="AC491">
        <v>12603</v>
      </c>
      <c r="AE491">
        <v>13724</v>
      </c>
      <c r="AG491" t="s">
        <v>4707</v>
      </c>
      <c r="AI491">
        <v>9634</v>
      </c>
      <c r="AP491" t="s">
        <v>4708</v>
      </c>
      <c r="AR491">
        <v>17731</v>
      </c>
      <c r="AT491">
        <v>19712</v>
      </c>
      <c r="AV491" t="s">
        <v>4709</v>
      </c>
      <c r="AX491">
        <v>13916</v>
      </c>
      <c r="BB491" t="s">
        <v>4710</v>
      </c>
      <c r="BD491">
        <v>13140</v>
      </c>
      <c r="BF491">
        <v>14270</v>
      </c>
      <c r="BH491" t="s">
        <v>4711</v>
      </c>
      <c r="BJ491">
        <v>41383</v>
      </c>
    </row>
    <row r="492" spans="1:62">
      <c r="A492">
        <f t="shared" si="85"/>
        <v>13.093</v>
      </c>
      <c r="B492">
        <f t="shared" si="86"/>
        <v>18.236</v>
      </c>
      <c r="C492">
        <f t="shared" si="87"/>
        <v>13.434</v>
      </c>
      <c r="D492">
        <f t="shared" si="88"/>
        <v>14.236</v>
      </c>
      <c r="E492">
        <f t="shared" si="89"/>
        <v>20.565</v>
      </c>
      <c r="F492">
        <f t="shared" si="90"/>
        <v>14.564</v>
      </c>
      <c r="G492">
        <f t="shared" si="91"/>
        <v>10.04</v>
      </c>
      <c r="H492">
        <f t="shared" si="92"/>
        <v>14.335</v>
      </c>
      <c r="I492">
        <f t="shared" si="93"/>
        <v>43.704</v>
      </c>
      <c r="J492">
        <f t="shared" si="94"/>
        <v>0</v>
      </c>
      <c r="K492">
        <f t="shared" si="95"/>
        <v>0</v>
      </c>
      <c r="L492">
        <f t="shared" si="96"/>
        <v>0</v>
      </c>
      <c r="N492">
        <v>13093</v>
      </c>
      <c r="O492">
        <v>18236</v>
      </c>
      <c r="P492">
        <v>13434</v>
      </c>
      <c r="Q492">
        <v>14236</v>
      </c>
      <c r="R492">
        <v>20565</v>
      </c>
      <c r="S492">
        <v>14564</v>
      </c>
      <c r="T492">
        <v>10040</v>
      </c>
      <c r="U492">
        <v>14335</v>
      </c>
      <c r="V492">
        <v>43704</v>
      </c>
      <c r="AA492" t="s">
        <v>4712</v>
      </c>
      <c r="AC492">
        <v>12656</v>
      </c>
      <c r="AE492">
        <v>13768</v>
      </c>
      <c r="AG492" t="s">
        <v>4713</v>
      </c>
      <c r="AI492">
        <v>9708</v>
      </c>
      <c r="AP492" t="s">
        <v>4714</v>
      </c>
      <c r="AR492">
        <v>17780</v>
      </c>
      <c r="AT492">
        <v>19871</v>
      </c>
      <c r="AV492" t="s">
        <v>4715</v>
      </c>
      <c r="AX492">
        <v>14079</v>
      </c>
      <c r="BB492" t="s">
        <v>4716</v>
      </c>
      <c r="BD492">
        <v>13201</v>
      </c>
      <c r="BF492">
        <v>14271</v>
      </c>
      <c r="BH492" t="s">
        <v>4717</v>
      </c>
      <c r="BJ492">
        <v>41610</v>
      </c>
    </row>
    <row r="493" spans="1:62">
      <c r="A493">
        <f t="shared" si="85"/>
        <v>13.096</v>
      </c>
      <c r="B493">
        <f t="shared" si="86"/>
        <v>18.309</v>
      </c>
      <c r="C493">
        <f t="shared" si="87"/>
        <v>13.51</v>
      </c>
      <c r="D493">
        <f t="shared" si="88"/>
        <v>14.275</v>
      </c>
      <c r="E493">
        <f t="shared" si="89"/>
        <v>20.604</v>
      </c>
      <c r="F493">
        <f t="shared" si="90"/>
        <v>14.583</v>
      </c>
      <c r="G493">
        <f t="shared" si="91"/>
        <v>10.082</v>
      </c>
      <c r="H493">
        <f t="shared" si="92"/>
        <v>14.346</v>
      </c>
      <c r="I493">
        <f t="shared" si="93"/>
        <v>43.842</v>
      </c>
      <c r="J493">
        <f t="shared" si="94"/>
        <v>0</v>
      </c>
      <c r="K493">
        <f t="shared" si="95"/>
        <v>0</v>
      </c>
      <c r="L493">
        <f t="shared" si="96"/>
        <v>0</v>
      </c>
      <c r="N493">
        <v>13096</v>
      </c>
      <c r="O493">
        <v>18309</v>
      </c>
      <c r="P493">
        <v>13510</v>
      </c>
      <c r="Q493">
        <v>14275</v>
      </c>
      <c r="R493">
        <v>20604</v>
      </c>
      <c r="S493">
        <v>14583</v>
      </c>
      <c r="T493">
        <v>10082</v>
      </c>
      <c r="U493">
        <v>14346</v>
      </c>
      <c r="V493">
        <v>43842</v>
      </c>
      <c r="AA493" t="s">
        <v>4718</v>
      </c>
      <c r="AC493">
        <v>12689</v>
      </c>
      <c r="AE493">
        <v>13854</v>
      </c>
      <c r="AG493" t="s">
        <v>4719</v>
      </c>
      <c r="AI493">
        <v>9824</v>
      </c>
      <c r="AP493" t="s">
        <v>4720</v>
      </c>
      <c r="AR493">
        <v>17902</v>
      </c>
      <c r="AT493">
        <v>19909</v>
      </c>
      <c r="AV493" t="s">
        <v>4721</v>
      </c>
      <c r="AX493">
        <v>14123</v>
      </c>
      <c r="BB493" t="s">
        <v>4722</v>
      </c>
      <c r="BD493">
        <v>13227</v>
      </c>
      <c r="BF493">
        <v>14276</v>
      </c>
      <c r="BH493" t="s">
        <v>4723</v>
      </c>
      <c r="BJ493">
        <v>41633</v>
      </c>
    </row>
    <row r="494" spans="1:62">
      <c r="A494">
        <f t="shared" si="85"/>
        <v>13.098</v>
      </c>
      <c r="B494">
        <f t="shared" si="86"/>
        <v>18.359</v>
      </c>
      <c r="C494">
        <f t="shared" si="87"/>
        <v>13.54</v>
      </c>
      <c r="D494">
        <f t="shared" si="88"/>
        <v>14.347</v>
      </c>
      <c r="E494">
        <f t="shared" si="89"/>
        <v>20.672</v>
      </c>
      <c r="F494">
        <f t="shared" si="90"/>
        <v>14.641</v>
      </c>
      <c r="G494">
        <f t="shared" si="91"/>
        <v>10.182</v>
      </c>
      <c r="H494">
        <f t="shared" si="92"/>
        <v>14.358</v>
      </c>
      <c r="I494">
        <f t="shared" si="93"/>
        <v>43.983</v>
      </c>
      <c r="J494">
        <f t="shared" si="94"/>
        <v>0</v>
      </c>
      <c r="K494">
        <f t="shared" si="95"/>
        <v>0</v>
      </c>
      <c r="L494">
        <f t="shared" si="96"/>
        <v>0</v>
      </c>
      <c r="N494">
        <v>13098</v>
      </c>
      <c r="O494">
        <v>18359</v>
      </c>
      <c r="P494">
        <v>13540</v>
      </c>
      <c r="Q494">
        <v>14347</v>
      </c>
      <c r="R494">
        <v>20672</v>
      </c>
      <c r="S494">
        <v>14641</v>
      </c>
      <c r="T494">
        <v>10182</v>
      </c>
      <c r="U494">
        <v>14358</v>
      </c>
      <c r="V494">
        <v>43983</v>
      </c>
      <c r="AA494" t="s">
        <v>4724</v>
      </c>
      <c r="AC494">
        <v>12753</v>
      </c>
      <c r="AE494">
        <v>13898</v>
      </c>
      <c r="AG494" t="s">
        <v>4725</v>
      </c>
      <c r="AI494">
        <v>9833</v>
      </c>
      <c r="AP494" t="s">
        <v>4726</v>
      </c>
      <c r="AR494">
        <v>17962</v>
      </c>
      <c r="AT494">
        <v>20053</v>
      </c>
      <c r="AV494" t="s">
        <v>4727</v>
      </c>
      <c r="AX494">
        <v>14131</v>
      </c>
      <c r="BB494" t="s">
        <v>4728</v>
      </c>
      <c r="BD494">
        <v>13276</v>
      </c>
      <c r="BF494">
        <v>14362</v>
      </c>
      <c r="BH494" t="s">
        <v>4729</v>
      </c>
      <c r="BJ494">
        <v>41724</v>
      </c>
    </row>
    <row r="495" spans="1:62">
      <c r="A495">
        <f t="shared" si="85"/>
        <v>13.113</v>
      </c>
      <c r="B495">
        <f t="shared" si="86"/>
        <v>18.476</v>
      </c>
      <c r="C495">
        <f t="shared" si="87"/>
        <v>13.545</v>
      </c>
      <c r="D495">
        <f t="shared" si="88"/>
        <v>14.35</v>
      </c>
      <c r="E495">
        <f t="shared" si="89"/>
        <v>21.069</v>
      </c>
      <c r="F495">
        <f t="shared" si="90"/>
        <v>14.702</v>
      </c>
      <c r="G495">
        <f t="shared" si="91"/>
        <v>10.212</v>
      </c>
      <c r="H495">
        <f t="shared" si="92"/>
        <v>14.474</v>
      </c>
      <c r="I495">
        <f t="shared" si="93"/>
        <v>44.174</v>
      </c>
      <c r="J495">
        <f t="shared" si="94"/>
        <v>0</v>
      </c>
      <c r="K495">
        <f t="shared" si="95"/>
        <v>0</v>
      </c>
      <c r="L495">
        <f t="shared" si="96"/>
        <v>0</v>
      </c>
      <c r="N495">
        <v>13113</v>
      </c>
      <c r="O495">
        <v>18476</v>
      </c>
      <c r="P495">
        <v>13545</v>
      </c>
      <c r="Q495">
        <v>14350</v>
      </c>
      <c r="R495">
        <v>21069</v>
      </c>
      <c r="S495">
        <v>14702</v>
      </c>
      <c r="T495">
        <v>10212</v>
      </c>
      <c r="U495">
        <v>14474</v>
      </c>
      <c r="V495">
        <v>44174</v>
      </c>
      <c r="AA495" t="s">
        <v>4730</v>
      </c>
      <c r="AC495">
        <v>12759</v>
      </c>
      <c r="AE495">
        <v>13905</v>
      </c>
      <c r="AG495" t="s">
        <v>4731</v>
      </c>
      <c r="AI495">
        <v>9891</v>
      </c>
      <c r="AP495" t="s">
        <v>4732</v>
      </c>
      <c r="AR495">
        <v>18017</v>
      </c>
      <c r="AT495">
        <v>20101</v>
      </c>
      <c r="AV495" t="s">
        <v>4733</v>
      </c>
      <c r="AX495">
        <v>14229</v>
      </c>
      <c r="BB495" t="s">
        <v>4734</v>
      </c>
      <c r="BD495">
        <v>13316</v>
      </c>
      <c r="BF495">
        <v>14367</v>
      </c>
      <c r="BH495" t="s">
        <v>4735</v>
      </c>
      <c r="BJ495">
        <v>41910</v>
      </c>
    </row>
    <row r="496" spans="1:62">
      <c r="A496">
        <f t="shared" si="85"/>
        <v>13.185</v>
      </c>
      <c r="B496">
        <f t="shared" si="86"/>
        <v>18.492</v>
      </c>
      <c r="C496">
        <f t="shared" si="87"/>
        <v>13.558</v>
      </c>
      <c r="D496">
        <f t="shared" si="88"/>
        <v>14.432</v>
      </c>
      <c r="E496">
        <f t="shared" si="89"/>
        <v>21.117</v>
      </c>
      <c r="F496">
        <f t="shared" si="90"/>
        <v>14.731</v>
      </c>
      <c r="G496">
        <f t="shared" si="91"/>
        <v>10.242</v>
      </c>
      <c r="H496">
        <f t="shared" si="92"/>
        <v>14.492</v>
      </c>
      <c r="I496">
        <f t="shared" si="93"/>
        <v>44.217</v>
      </c>
      <c r="J496">
        <f t="shared" si="94"/>
        <v>0</v>
      </c>
      <c r="K496">
        <f t="shared" si="95"/>
        <v>0</v>
      </c>
      <c r="L496">
        <f t="shared" si="96"/>
        <v>0</v>
      </c>
      <c r="N496">
        <v>13185</v>
      </c>
      <c r="O496">
        <v>18492</v>
      </c>
      <c r="P496">
        <v>13558</v>
      </c>
      <c r="Q496">
        <v>14432</v>
      </c>
      <c r="R496">
        <v>21117</v>
      </c>
      <c r="S496">
        <v>14731</v>
      </c>
      <c r="T496">
        <v>10242</v>
      </c>
      <c r="U496">
        <v>14492</v>
      </c>
      <c r="V496">
        <v>44217</v>
      </c>
      <c r="AA496" t="s">
        <v>4736</v>
      </c>
      <c r="AC496">
        <v>12772</v>
      </c>
      <c r="AE496">
        <v>14079</v>
      </c>
      <c r="AG496" t="s">
        <v>4737</v>
      </c>
      <c r="AI496">
        <v>9975</v>
      </c>
      <c r="AP496" t="s">
        <v>4738</v>
      </c>
      <c r="AR496">
        <v>18076</v>
      </c>
      <c r="AT496">
        <v>20208</v>
      </c>
      <c r="AV496" t="s">
        <v>4739</v>
      </c>
      <c r="AX496">
        <v>14239</v>
      </c>
      <c r="BB496" t="s">
        <v>4740</v>
      </c>
      <c r="BD496">
        <v>13317</v>
      </c>
      <c r="BF496">
        <v>14404</v>
      </c>
      <c r="BH496" t="s">
        <v>4741</v>
      </c>
      <c r="BJ496">
        <v>41941</v>
      </c>
    </row>
    <row r="497" spans="1:62">
      <c r="A497">
        <f t="shared" si="85"/>
        <v>13.221</v>
      </c>
      <c r="B497">
        <f t="shared" si="86"/>
        <v>18.52</v>
      </c>
      <c r="C497">
        <f t="shared" si="87"/>
        <v>13.565</v>
      </c>
      <c r="D497">
        <f t="shared" si="88"/>
        <v>14.464</v>
      </c>
      <c r="E497">
        <f t="shared" si="89"/>
        <v>21.149</v>
      </c>
      <c r="F497">
        <f t="shared" si="90"/>
        <v>14.809</v>
      </c>
      <c r="G497">
        <f t="shared" si="91"/>
        <v>10.257</v>
      </c>
      <c r="H497">
        <f t="shared" si="92"/>
        <v>14.526</v>
      </c>
      <c r="I497">
        <f t="shared" si="93"/>
        <v>44.422</v>
      </c>
      <c r="J497">
        <f t="shared" si="94"/>
        <v>0</v>
      </c>
      <c r="K497">
        <f t="shared" si="95"/>
        <v>0</v>
      </c>
      <c r="L497">
        <f t="shared" si="96"/>
        <v>0</v>
      </c>
      <c r="N497">
        <v>13221</v>
      </c>
      <c r="O497">
        <v>18520</v>
      </c>
      <c r="P497">
        <v>13565</v>
      </c>
      <c r="Q497">
        <v>14464</v>
      </c>
      <c r="R497">
        <v>21149</v>
      </c>
      <c r="S497">
        <v>14809</v>
      </c>
      <c r="T497">
        <v>10257</v>
      </c>
      <c r="U497">
        <v>14526</v>
      </c>
      <c r="V497">
        <v>44422</v>
      </c>
      <c r="AA497" t="s">
        <v>4742</v>
      </c>
      <c r="AC497">
        <v>12801</v>
      </c>
      <c r="AE497">
        <v>14145</v>
      </c>
      <c r="AG497" t="s">
        <v>4743</v>
      </c>
      <c r="AI497">
        <v>9980</v>
      </c>
      <c r="AP497" t="s">
        <v>4744</v>
      </c>
      <c r="AR497">
        <v>18112</v>
      </c>
      <c r="AT497">
        <v>20212</v>
      </c>
      <c r="AV497" t="s">
        <v>4745</v>
      </c>
      <c r="AX497">
        <v>14260</v>
      </c>
      <c r="BB497" t="s">
        <v>4746</v>
      </c>
      <c r="BD497">
        <v>13328</v>
      </c>
      <c r="BF497">
        <v>14410</v>
      </c>
      <c r="BH497" t="s">
        <v>4747</v>
      </c>
      <c r="BJ497">
        <v>42183</v>
      </c>
    </row>
    <row r="498" spans="1:62">
      <c r="A498">
        <f t="shared" si="85"/>
        <v>13.226</v>
      </c>
      <c r="B498">
        <f t="shared" si="86"/>
        <v>18.584</v>
      </c>
      <c r="C498">
        <f t="shared" si="87"/>
        <v>13.574</v>
      </c>
      <c r="D498">
        <f t="shared" si="88"/>
        <v>14.467</v>
      </c>
      <c r="E498">
        <f t="shared" si="89"/>
        <v>21.211</v>
      </c>
      <c r="F498">
        <f t="shared" si="90"/>
        <v>14.817</v>
      </c>
      <c r="G498">
        <f t="shared" si="91"/>
        <v>10.328</v>
      </c>
      <c r="H498">
        <f t="shared" si="92"/>
        <v>14.527</v>
      </c>
      <c r="I498">
        <f t="shared" si="93"/>
        <v>44.446</v>
      </c>
      <c r="J498">
        <f t="shared" si="94"/>
        <v>0</v>
      </c>
      <c r="K498">
        <f t="shared" si="95"/>
        <v>0</v>
      </c>
      <c r="L498">
        <f t="shared" si="96"/>
        <v>0</v>
      </c>
      <c r="N498">
        <v>13226</v>
      </c>
      <c r="O498">
        <v>18584</v>
      </c>
      <c r="P498">
        <v>13574</v>
      </c>
      <c r="Q498">
        <v>14467</v>
      </c>
      <c r="R498">
        <v>21211</v>
      </c>
      <c r="S498">
        <v>14817</v>
      </c>
      <c r="T498">
        <v>10328</v>
      </c>
      <c r="U498">
        <v>14527</v>
      </c>
      <c r="V498">
        <v>44446</v>
      </c>
      <c r="AA498" t="s">
        <v>4748</v>
      </c>
      <c r="AC498">
        <v>12807</v>
      </c>
      <c r="AE498">
        <v>14228</v>
      </c>
      <c r="AG498" t="s">
        <v>4749</v>
      </c>
      <c r="AI498">
        <v>10008</v>
      </c>
      <c r="AP498" t="s">
        <v>4750</v>
      </c>
      <c r="AR498">
        <v>18157</v>
      </c>
      <c r="AT498">
        <v>20328</v>
      </c>
      <c r="AV498" t="s">
        <v>4751</v>
      </c>
      <c r="AX498">
        <v>14269</v>
      </c>
      <c r="BB498" t="s">
        <v>4752</v>
      </c>
      <c r="BD498">
        <v>13332</v>
      </c>
      <c r="BF498">
        <v>14429</v>
      </c>
      <c r="BH498" t="s">
        <v>4753</v>
      </c>
      <c r="BJ498">
        <v>43168</v>
      </c>
    </row>
    <row r="499" spans="1:62">
      <c r="A499">
        <f t="shared" si="85"/>
        <v>13.241</v>
      </c>
      <c r="B499">
        <f t="shared" si="86"/>
        <v>18.617</v>
      </c>
      <c r="C499">
        <f t="shared" si="87"/>
        <v>13.594</v>
      </c>
      <c r="D499">
        <f t="shared" si="88"/>
        <v>14.54</v>
      </c>
      <c r="E499">
        <f t="shared" si="89"/>
        <v>21.224</v>
      </c>
      <c r="F499">
        <f t="shared" si="90"/>
        <v>15</v>
      </c>
      <c r="G499">
        <f t="shared" si="91"/>
        <v>10.419</v>
      </c>
      <c r="H499">
        <f t="shared" si="92"/>
        <v>14.542</v>
      </c>
      <c r="I499">
        <f t="shared" si="93"/>
        <v>44.794</v>
      </c>
      <c r="J499">
        <f t="shared" si="94"/>
        <v>0</v>
      </c>
      <c r="K499">
        <f t="shared" si="95"/>
        <v>0</v>
      </c>
      <c r="L499">
        <f t="shared" si="96"/>
        <v>0</v>
      </c>
      <c r="N499">
        <v>13241</v>
      </c>
      <c r="O499">
        <v>18617</v>
      </c>
      <c r="P499">
        <v>13594</v>
      </c>
      <c r="Q499">
        <v>14540</v>
      </c>
      <c r="R499">
        <v>21224</v>
      </c>
      <c r="S499">
        <v>15000</v>
      </c>
      <c r="T499">
        <v>10419</v>
      </c>
      <c r="U499">
        <v>14542</v>
      </c>
      <c r="V499">
        <v>44794</v>
      </c>
      <c r="AA499" t="s">
        <v>4754</v>
      </c>
      <c r="AC499">
        <v>12975</v>
      </c>
      <c r="AE499">
        <v>14234</v>
      </c>
      <c r="AG499" t="s">
        <v>4755</v>
      </c>
      <c r="AI499">
        <v>10023</v>
      </c>
      <c r="AP499" t="s">
        <v>4756</v>
      </c>
      <c r="AR499">
        <v>18236</v>
      </c>
      <c r="AT499">
        <v>20565</v>
      </c>
      <c r="AV499" t="s">
        <v>4757</v>
      </c>
      <c r="AX499">
        <v>14335</v>
      </c>
      <c r="BB499" t="s">
        <v>4758</v>
      </c>
      <c r="BD499">
        <v>13364</v>
      </c>
      <c r="BF499">
        <v>14501</v>
      </c>
      <c r="BH499" t="s">
        <v>4759</v>
      </c>
      <c r="BJ499">
        <v>43206</v>
      </c>
    </row>
    <row r="500" spans="1:62">
      <c r="A500">
        <f t="shared" si="85"/>
        <v>13.288</v>
      </c>
      <c r="B500">
        <f t="shared" si="86"/>
        <v>18.62</v>
      </c>
      <c r="C500">
        <f t="shared" si="87"/>
        <v>13.696</v>
      </c>
      <c r="D500">
        <f t="shared" si="88"/>
        <v>14.72</v>
      </c>
      <c r="E500">
        <f t="shared" si="89"/>
        <v>21.275</v>
      </c>
      <c r="F500">
        <f t="shared" si="90"/>
        <v>15.015</v>
      </c>
      <c r="G500">
        <f t="shared" si="91"/>
        <v>10.473</v>
      </c>
      <c r="H500">
        <f t="shared" si="92"/>
        <v>14.643</v>
      </c>
      <c r="I500">
        <f t="shared" si="93"/>
        <v>44.804</v>
      </c>
      <c r="J500">
        <f t="shared" si="94"/>
        <v>0</v>
      </c>
      <c r="K500">
        <f t="shared" si="95"/>
        <v>0</v>
      </c>
      <c r="L500">
        <f t="shared" si="96"/>
        <v>0</v>
      </c>
      <c r="N500">
        <v>13288</v>
      </c>
      <c r="O500">
        <v>18620</v>
      </c>
      <c r="P500">
        <v>13696</v>
      </c>
      <c r="Q500">
        <v>14720</v>
      </c>
      <c r="R500">
        <v>21275</v>
      </c>
      <c r="S500">
        <v>15015</v>
      </c>
      <c r="T500">
        <v>10473</v>
      </c>
      <c r="U500">
        <v>14643</v>
      </c>
      <c r="V500">
        <v>44804</v>
      </c>
      <c r="AA500" t="s">
        <v>4760</v>
      </c>
      <c r="AC500">
        <v>13093</v>
      </c>
      <c r="AE500">
        <v>14236</v>
      </c>
      <c r="AG500" t="s">
        <v>4761</v>
      </c>
      <c r="AI500">
        <v>10040</v>
      </c>
      <c r="AP500" t="s">
        <v>4762</v>
      </c>
      <c r="AR500">
        <v>18309</v>
      </c>
      <c r="AT500">
        <v>20604</v>
      </c>
      <c r="AV500" t="s">
        <v>4763</v>
      </c>
      <c r="AX500">
        <v>14346</v>
      </c>
      <c r="BB500" t="s">
        <v>4764</v>
      </c>
      <c r="BD500">
        <v>13434</v>
      </c>
      <c r="BF500">
        <v>14564</v>
      </c>
      <c r="BH500" t="s">
        <v>4765</v>
      </c>
      <c r="BJ500">
        <v>43704</v>
      </c>
    </row>
    <row r="501" spans="1:62">
      <c r="A501">
        <f t="shared" si="85"/>
        <v>13.349</v>
      </c>
      <c r="B501">
        <f t="shared" si="86"/>
        <v>18.674</v>
      </c>
      <c r="C501">
        <f t="shared" si="87"/>
        <v>13.708</v>
      </c>
      <c r="D501">
        <f t="shared" si="88"/>
        <v>14.737</v>
      </c>
      <c r="E501">
        <f t="shared" si="89"/>
        <v>21.342</v>
      </c>
      <c r="F501">
        <f t="shared" si="90"/>
        <v>15.325</v>
      </c>
      <c r="G501">
        <f t="shared" si="91"/>
        <v>10.489</v>
      </c>
      <c r="H501">
        <f t="shared" si="92"/>
        <v>14.655</v>
      </c>
      <c r="I501">
        <f t="shared" si="93"/>
        <v>44.937</v>
      </c>
      <c r="J501">
        <f t="shared" si="94"/>
        <v>0</v>
      </c>
      <c r="K501">
        <f t="shared" si="95"/>
        <v>0</v>
      </c>
      <c r="L501">
        <f t="shared" si="96"/>
        <v>0</v>
      </c>
      <c r="N501">
        <v>13349</v>
      </c>
      <c r="O501">
        <v>18674</v>
      </c>
      <c r="P501">
        <v>13708</v>
      </c>
      <c r="Q501">
        <v>14737</v>
      </c>
      <c r="R501">
        <v>21342</v>
      </c>
      <c r="S501">
        <v>15325</v>
      </c>
      <c r="T501">
        <v>10489</v>
      </c>
      <c r="U501">
        <v>14655</v>
      </c>
      <c r="V501">
        <v>44937</v>
      </c>
      <c r="AA501" t="s">
        <v>4766</v>
      </c>
      <c r="AC501">
        <v>13096</v>
      </c>
      <c r="AE501">
        <v>14275</v>
      </c>
      <c r="AG501" t="s">
        <v>4767</v>
      </c>
      <c r="AI501">
        <v>10082</v>
      </c>
      <c r="AP501" t="s">
        <v>4768</v>
      </c>
      <c r="AR501">
        <v>18359</v>
      </c>
      <c r="AT501">
        <v>20672</v>
      </c>
      <c r="AV501" t="s">
        <v>4769</v>
      </c>
      <c r="AX501">
        <v>14358</v>
      </c>
      <c r="BB501" t="s">
        <v>4770</v>
      </c>
      <c r="BD501">
        <v>13510</v>
      </c>
      <c r="BF501">
        <v>14583</v>
      </c>
      <c r="BH501" t="s">
        <v>4771</v>
      </c>
      <c r="BJ501">
        <v>43842</v>
      </c>
    </row>
    <row r="502" spans="1:62">
      <c r="A502">
        <f t="shared" si="85"/>
        <v>13.366</v>
      </c>
      <c r="B502">
        <f t="shared" si="86"/>
        <v>18.683</v>
      </c>
      <c r="C502">
        <f t="shared" si="87"/>
        <v>13.758</v>
      </c>
      <c r="D502">
        <f t="shared" si="88"/>
        <v>14.867</v>
      </c>
      <c r="E502">
        <f t="shared" si="89"/>
        <v>21.435</v>
      </c>
      <c r="F502">
        <f t="shared" si="90"/>
        <v>15.354</v>
      </c>
      <c r="G502">
        <f t="shared" si="91"/>
        <v>10.564</v>
      </c>
      <c r="H502">
        <f t="shared" si="92"/>
        <v>14.847</v>
      </c>
      <c r="I502">
        <f t="shared" si="93"/>
        <v>45.02</v>
      </c>
      <c r="J502">
        <f t="shared" si="94"/>
        <v>0</v>
      </c>
      <c r="K502">
        <f t="shared" si="95"/>
        <v>0</v>
      </c>
      <c r="L502">
        <f t="shared" si="96"/>
        <v>0</v>
      </c>
      <c r="N502">
        <v>13366</v>
      </c>
      <c r="O502">
        <v>18683</v>
      </c>
      <c r="P502">
        <v>13758</v>
      </c>
      <c r="Q502">
        <v>14867</v>
      </c>
      <c r="R502">
        <v>21435</v>
      </c>
      <c r="S502">
        <v>15354</v>
      </c>
      <c r="T502">
        <v>10564</v>
      </c>
      <c r="U502">
        <v>14847</v>
      </c>
      <c r="V502">
        <v>45020</v>
      </c>
      <c r="AA502" t="s">
        <v>4772</v>
      </c>
      <c r="AC502">
        <v>13098</v>
      </c>
      <c r="AE502">
        <v>14347</v>
      </c>
      <c r="AG502" t="s">
        <v>4773</v>
      </c>
      <c r="AI502">
        <v>10182</v>
      </c>
      <c r="AP502" t="s">
        <v>4774</v>
      </c>
      <c r="AR502">
        <v>18476</v>
      </c>
      <c r="AT502">
        <v>21069</v>
      </c>
      <c r="AV502" t="s">
        <v>4775</v>
      </c>
      <c r="AX502">
        <v>14474</v>
      </c>
      <c r="BB502" t="s">
        <v>4776</v>
      </c>
      <c r="BD502">
        <v>13540</v>
      </c>
      <c r="BF502">
        <v>14641</v>
      </c>
      <c r="BH502" t="s">
        <v>4777</v>
      </c>
      <c r="BJ502">
        <v>43983</v>
      </c>
    </row>
    <row r="503" spans="1:62">
      <c r="A503">
        <f t="shared" si="85"/>
        <v>13.375</v>
      </c>
      <c r="B503">
        <f t="shared" si="86"/>
        <v>18.8</v>
      </c>
      <c r="C503">
        <f t="shared" si="87"/>
        <v>13.786</v>
      </c>
      <c r="D503">
        <f t="shared" si="88"/>
        <v>14.909</v>
      </c>
      <c r="E503">
        <f t="shared" si="89"/>
        <v>21.581</v>
      </c>
      <c r="F503">
        <f t="shared" si="90"/>
        <v>15.415</v>
      </c>
      <c r="G503">
        <f t="shared" si="91"/>
        <v>10.578</v>
      </c>
      <c r="H503">
        <f t="shared" si="92"/>
        <v>14.88</v>
      </c>
      <c r="I503">
        <f t="shared" si="93"/>
        <v>45.542</v>
      </c>
      <c r="J503">
        <f t="shared" si="94"/>
        <v>0</v>
      </c>
      <c r="K503">
        <f t="shared" si="95"/>
        <v>0</v>
      </c>
      <c r="L503">
        <f t="shared" si="96"/>
        <v>0</v>
      </c>
      <c r="N503">
        <v>13375</v>
      </c>
      <c r="O503">
        <v>18800</v>
      </c>
      <c r="P503">
        <v>13786</v>
      </c>
      <c r="Q503">
        <v>14909</v>
      </c>
      <c r="R503">
        <v>21581</v>
      </c>
      <c r="S503">
        <v>15415</v>
      </c>
      <c r="T503">
        <v>10578</v>
      </c>
      <c r="U503">
        <v>14880</v>
      </c>
      <c r="V503">
        <v>45542</v>
      </c>
      <c r="AA503" t="s">
        <v>4778</v>
      </c>
      <c r="AC503">
        <v>13113</v>
      </c>
      <c r="AE503">
        <v>14350</v>
      </c>
      <c r="AG503" t="s">
        <v>4779</v>
      </c>
      <c r="AI503">
        <v>10212</v>
      </c>
      <c r="AP503" t="s">
        <v>4780</v>
      </c>
      <c r="AR503">
        <v>18492</v>
      </c>
      <c r="AT503">
        <v>21117</v>
      </c>
      <c r="AV503" t="s">
        <v>4781</v>
      </c>
      <c r="AX503">
        <v>14492</v>
      </c>
      <c r="BB503" t="s">
        <v>4782</v>
      </c>
      <c r="BD503">
        <v>13545</v>
      </c>
      <c r="BF503">
        <v>14702</v>
      </c>
      <c r="BH503" t="s">
        <v>4783</v>
      </c>
      <c r="BJ503">
        <v>44174</v>
      </c>
    </row>
    <row r="504" spans="1:62">
      <c r="A504">
        <f t="shared" si="85"/>
        <v>13.381</v>
      </c>
      <c r="B504">
        <f t="shared" si="86"/>
        <v>18.804</v>
      </c>
      <c r="C504">
        <f t="shared" si="87"/>
        <v>13.807</v>
      </c>
      <c r="D504">
        <f t="shared" si="88"/>
        <v>14.912</v>
      </c>
      <c r="E504">
        <f t="shared" si="89"/>
        <v>21.642</v>
      </c>
      <c r="F504">
        <f t="shared" si="90"/>
        <v>15.417</v>
      </c>
      <c r="G504">
        <f t="shared" si="91"/>
        <v>10.601</v>
      </c>
      <c r="H504">
        <f t="shared" si="92"/>
        <v>14.881</v>
      </c>
      <c r="I504">
        <f t="shared" si="93"/>
        <v>45.563</v>
      </c>
      <c r="J504">
        <f t="shared" si="94"/>
        <v>0</v>
      </c>
      <c r="K504">
        <f t="shared" si="95"/>
        <v>0</v>
      </c>
      <c r="L504">
        <f t="shared" si="96"/>
        <v>0</v>
      </c>
      <c r="N504">
        <v>13381</v>
      </c>
      <c r="O504">
        <v>18804</v>
      </c>
      <c r="P504">
        <v>13807</v>
      </c>
      <c r="Q504">
        <v>14912</v>
      </c>
      <c r="R504">
        <v>21642</v>
      </c>
      <c r="S504">
        <v>15417</v>
      </c>
      <c r="T504">
        <v>10601</v>
      </c>
      <c r="U504">
        <v>14881</v>
      </c>
      <c r="V504">
        <v>45563</v>
      </c>
      <c r="AA504" t="s">
        <v>4784</v>
      </c>
      <c r="AC504">
        <v>13185</v>
      </c>
      <c r="AE504">
        <v>14432</v>
      </c>
      <c r="AG504" t="s">
        <v>4785</v>
      </c>
      <c r="AI504">
        <v>10242</v>
      </c>
      <c r="AP504" t="s">
        <v>4786</v>
      </c>
      <c r="AR504">
        <v>18520</v>
      </c>
      <c r="AT504">
        <v>21149</v>
      </c>
      <c r="AV504" t="s">
        <v>4787</v>
      </c>
      <c r="AX504">
        <v>14526</v>
      </c>
      <c r="BB504" t="s">
        <v>4788</v>
      </c>
      <c r="BD504">
        <v>13558</v>
      </c>
      <c r="BF504">
        <v>14731</v>
      </c>
      <c r="BH504" t="s">
        <v>4789</v>
      </c>
      <c r="BJ504">
        <v>44217</v>
      </c>
    </row>
    <row r="505" spans="1:62">
      <c r="A505">
        <f t="shared" si="85"/>
        <v>13.428</v>
      </c>
      <c r="B505">
        <f t="shared" si="86"/>
        <v>18.839</v>
      </c>
      <c r="C505">
        <f t="shared" si="87"/>
        <v>13.9</v>
      </c>
      <c r="D505">
        <f t="shared" si="88"/>
        <v>15.012</v>
      </c>
      <c r="E505">
        <f t="shared" si="89"/>
        <v>21.989</v>
      </c>
      <c r="F505">
        <f t="shared" si="90"/>
        <v>15.429</v>
      </c>
      <c r="G505">
        <f t="shared" si="91"/>
        <v>10.678</v>
      </c>
      <c r="H505">
        <f t="shared" si="92"/>
        <v>15.003</v>
      </c>
      <c r="I505">
        <f t="shared" si="93"/>
        <v>45.67</v>
      </c>
      <c r="J505">
        <f t="shared" si="94"/>
        <v>0</v>
      </c>
      <c r="K505">
        <f t="shared" si="95"/>
        <v>0</v>
      </c>
      <c r="L505">
        <f t="shared" si="96"/>
        <v>0</v>
      </c>
      <c r="N505">
        <v>13428</v>
      </c>
      <c r="O505">
        <v>18839</v>
      </c>
      <c r="P505">
        <v>13900</v>
      </c>
      <c r="Q505">
        <v>15012</v>
      </c>
      <c r="R505">
        <v>21989</v>
      </c>
      <c r="S505">
        <v>15429</v>
      </c>
      <c r="T505">
        <v>10678</v>
      </c>
      <c r="U505">
        <v>15003</v>
      </c>
      <c r="V505">
        <v>45670</v>
      </c>
      <c r="AA505" t="s">
        <v>4790</v>
      </c>
      <c r="AC505">
        <v>13221</v>
      </c>
      <c r="AE505">
        <v>14464</v>
      </c>
      <c r="AG505" t="s">
        <v>4791</v>
      </c>
      <c r="AI505">
        <v>10257</v>
      </c>
      <c r="AP505" t="s">
        <v>4792</v>
      </c>
      <c r="AR505">
        <v>18584</v>
      </c>
      <c r="AT505">
        <v>21211</v>
      </c>
      <c r="AV505" t="s">
        <v>4793</v>
      </c>
      <c r="AX505">
        <v>14527</v>
      </c>
      <c r="BB505" t="s">
        <v>4794</v>
      </c>
      <c r="BD505">
        <v>13565</v>
      </c>
      <c r="BF505">
        <v>14809</v>
      </c>
      <c r="BH505" t="s">
        <v>4795</v>
      </c>
      <c r="BJ505">
        <v>44422</v>
      </c>
    </row>
    <row r="506" spans="1:62">
      <c r="A506">
        <f t="shared" si="85"/>
        <v>13.433</v>
      </c>
      <c r="B506">
        <f t="shared" si="86"/>
        <v>18.862</v>
      </c>
      <c r="C506">
        <f t="shared" si="87"/>
        <v>13.901</v>
      </c>
      <c r="D506">
        <f t="shared" si="88"/>
        <v>15.055</v>
      </c>
      <c r="E506">
        <f t="shared" si="89"/>
        <v>22.362</v>
      </c>
      <c r="F506">
        <f t="shared" si="90"/>
        <v>15.603</v>
      </c>
      <c r="G506">
        <f t="shared" si="91"/>
        <v>10.691</v>
      </c>
      <c r="H506">
        <f t="shared" si="92"/>
        <v>15.047</v>
      </c>
      <c r="I506">
        <f t="shared" si="93"/>
        <v>45.727</v>
      </c>
      <c r="J506">
        <f t="shared" si="94"/>
        <v>0</v>
      </c>
      <c r="K506">
        <f t="shared" si="95"/>
        <v>0</v>
      </c>
      <c r="L506">
        <f t="shared" si="96"/>
        <v>0</v>
      </c>
      <c r="N506">
        <v>13433</v>
      </c>
      <c r="O506">
        <v>18862</v>
      </c>
      <c r="P506">
        <v>13901</v>
      </c>
      <c r="Q506">
        <v>15055</v>
      </c>
      <c r="R506">
        <v>22362</v>
      </c>
      <c r="S506">
        <v>15603</v>
      </c>
      <c r="T506">
        <v>10691</v>
      </c>
      <c r="U506">
        <v>15047</v>
      </c>
      <c r="V506">
        <v>45727</v>
      </c>
      <c r="AA506" t="s">
        <v>4796</v>
      </c>
      <c r="AC506">
        <v>13226</v>
      </c>
      <c r="AE506">
        <v>14467</v>
      </c>
      <c r="AG506" t="s">
        <v>4797</v>
      </c>
      <c r="AI506">
        <v>10328</v>
      </c>
      <c r="AP506" t="s">
        <v>4798</v>
      </c>
      <c r="AR506">
        <v>18617</v>
      </c>
      <c r="AT506">
        <v>21224</v>
      </c>
      <c r="AV506" t="s">
        <v>4799</v>
      </c>
      <c r="AX506">
        <v>14542</v>
      </c>
      <c r="BB506" t="s">
        <v>4800</v>
      </c>
      <c r="BD506">
        <v>13574</v>
      </c>
      <c r="BF506">
        <v>14817</v>
      </c>
      <c r="BH506" t="s">
        <v>4801</v>
      </c>
      <c r="BJ506">
        <v>44446</v>
      </c>
    </row>
    <row r="507" spans="1:62">
      <c r="A507">
        <f t="shared" si="85"/>
        <v>13.485</v>
      </c>
      <c r="B507">
        <f t="shared" si="86"/>
        <v>19.003</v>
      </c>
      <c r="C507">
        <f t="shared" si="87"/>
        <v>13.918</v>
      </c>
      <c r="D507">
        <f t="shared" si="88"/>
        <v>15.061</v>
      </c>
      <c r="E507">
        <f t="shared" si="89"/>
        <v>22.76</v>
      </c>
      <c r="F507">
        <f t="shared" si="90"/>
        <v>15.671</v>
      </c>
      <c r="G507">
        <f t="shared" si="91"/>
        <v>10.813</v>
      </c>
      <c r="H507">
        <f t="shared" si="92"/>
        <v>15.104</v>
      </c>
      <c r="I507">
        <f t="shared" si="93"/>
        <v>45.873</v>
      </c>
      <c r="J507">
        <f t="shared" si="94"/>
        <v>0</v>
      </c>
      <c r="K507">
        <f t="shared" si="95"/>
        <v>0</v>
      </c>
      <c r="L507">
        <f t="shared" si="96"/>
        <v>0</v>
      </c>
      <c r="N507">
        <v>13485</v>
      </c>
      <c r="O507">
        <v>19003</v>
      </c>
      <c r="P507">
        <v>13918</v>
      </c>
      <c r="Q507">
        <v>15061</v>
      </c>
      <c r="R507">
        <v>22760</v>
      </c>
      <c r="S507">
        <v>15671</v>
      </c>
      <c r="T507">
        <v>10813</v>
      </c>
      <c r="U507">
        <v>15104</v>
      </c>
      <c r="V507">
        <v>45873</v>
      </c>
      <c r="AA507" t="s">
        <v>4802</v>
      </c>
      <c r="AC507">
        <v>13241</v>
      </c>
      <c r="AE507">
        <v>14540</v>
      </c>
      <c r="AG507" t="s">
        <v>4803</v>
      </c>
      <c r="AI507">
        <v>10419</v>
      </c>
      <c r="AP507" t="s">
        <v>4804</v>
      </c>
      <c r="AR507">
        <v>18620</v>
      </c>
      <c r="AT507">
        <v>21275</v>
      </c>
      <c r="AV507" t="s">
        <v>4805</v>
      </c>
      <c r="AX507">
        <v>14643</v>
      </c>
      <c r="BB507" t="s">
        <v>4806</v>
      </c>
      <c r="BD507">
        <v>13594</v>
      </c>
      <c r="BF507">
        <v>15000</v>
      </c>
      <c r="BH507" t="s">
        <v>4807</v>
      </c>
      <c r="BJ507">
        <v>44794</v>
      </c>
    </row>
    <row r="508" spans="1:62">
      <c r="A508">
        <f t="shared" si="85"/>
        <v>13.486</v>
      </c>
      <c r="B508">
        <f t="shared" si="86"/>
        <v>19.314</v>
      </c>
      <c r="C508">
        <f t="shared" si="87"/>
        <v>13.997</v>
      </c>
      <c r="D508">
        <f t="shared" si="88"/>
        <v>15.143</v>
      </c>
      <c r="E508">
        <f t="shared" si="89"/>
        <v>22.881</v>
      </c>
      <c r="F508">
        <f t="shared" si="90"/>
        <v>15.686</v>
      </c>
      <c r="G508">
        <f t="shared" si="91"/>
        <v>10.815</v>
      </c>
      <c r="H508">
        <f t="shared" si="92"/>
        <v>15.107</v>
      </c>
      <c r="I508">
        <f t="shared" si="93"/>
        <v>45.939</v>
      </c>
      <c r="J508">
        <f t="shared" si="94"/>
        <v>0</v>
      </c>
      <c r="K508">
        <f t="shared" si="95"/>
        <v>0</v>
      </c>
      <c r="L508">
        <f t="shared" si="96"/>
        <v>0</v>
      </c>
      <c r="N508">
        <v>13486</v>
      </c>
      <c r="O508">
        <v>19314</v>
      </c>
      <c r="P508">
        <v>13997</v>
      </c>
      <c r="Q508">
        <v>15143</v>
      </c>
      <c r="R508">
        <v>22881</v>
      </c>
      <c r="S508">
        <v>15686</v>
      </c>
      <c r="T508">
        <v>10815</v>
      </c>
      <c r="U508">
        <v>15107</v>
      </c>
      <c r="V508">
        <v>45939</v>
      </c>
      <c r="AA508" t="s">
        <v>4808</v>
      </c>
      <c r="AC508">
        <v>13288</v>
      </c>
      <c r="AE508">
        <v>14720</v>
      </c>
      <c r="AG508" t="s">
        <v>4809</v>
      </c>
      <c r="AI508">
        <v>10473</v>
      </c>
      <c r="AP508" t="s">
        <v>4810</v>
      </c>
      <c r="AR508">
        <v>18674</v>
      </c>
      <c r="AT508">
        <v>21342</v>
      </c>
      <c r="AV508" t="s">
        <v>4811</v>
      </c>
      <c r="AX508">
        <v>14655</v>
      </c>
      <c r="BB508" t="s">
        <v>4812</v>
      </c>
      <c r="BD508">
        <v>13696</v>
      </c>
      <c r="BF508">
        <v>15015</v>
      </c>
      <c r="BH508" t="s">
        <v>4813</v>
      </c>
      <c r="BJ508">
        <v>44804</v>
      </c>
    </row>
    <row r="509" spans="1:62">
      <c r="A509">
        <f t="shared" si="85"/>
        <v>13.572</v>
      </c>
      <c r="B509">
        <f t="shared" si="86"/>
        <v>19.329</v>
      </c>
      <c r="C509">
        <f t="shared" si="87"/>
        <v>14.094</v>
      </c>
      <c r="D509">
        <f t="shared" si="88"/>
        <v>15.146</v>
      </c>
      <c r="E509">
        <f t="shared" si="89"/>
        <v>22.964</v>
      </c>
      <c r="F509">
        <f t="shared" si="90"/>
        <v>15.784</v>
      </c>
      <c r="G509">
        <f t="shared" si="91"/>
        <v>10.846</v>
      </c>
      <c r="H509">
        <f t="shared" si="92"/>
        <v>15.129</v>
      </c>
      <c r="I509">
        <f t="shared" si="93"/>
        <v>46.01</v>
      </c>
      <c r="J509">
        <f t="shared" si="94"/>
        <v>0</v>
      </c>
      <c r="K509">
        <f t="shared" si="95"/>
        <v>0</v>
      </c>
      <c r="L509">
        <f t="shared" si="96"/>
        <v>0</v>
      </c>
      <c r="N509">
        <v>13572</v>
      </c>
      <c r="O509">
        <v>19329</v>
      </c>
      <c r="P509">
        <v>14094</v>
      </c>
      <c r="Q509">
        <v>15146</v>
      </c>
      <c r="R509">
        <v>22964</v>
      </c>
      <c r="S509">
        <v>15784</v>
      </c>
      <c r="T509">
        <v>10846</v>
      </c>
      <c r="U509">
        <v>15129</v>
      </c>
      <c r="V509">
        <v>46010</v>
      </c>
      <c r="AA509" t="s">
        <v>4814</v>
      </c>
      <c r="AC509">
        <v>13349</v>
      </c>
      <c r="AE509">
        <v>14737</v>
      </c>
      <c r="AG509" t="s">
        <v>4815</v>
      </c>
      <c r="AI509">
        <v>10489</v>
      </c>
      <c r="AP509" t="s">
        <v>4816</v>
      </c>
      <c r="AR509">
        <v>18683</v>
      </c>
      <c r="AT509">
        <v>21435</v>
      </c>
      <c r="AV509" t="s">
        <v>4817</v>
      </c>
      <c r="AX509">
        <v>14847</v>
      </c>
      <c r="BB509" t="s">
        <v>4818</v>
      </c>
      <c r="BD509">
        <v>13708</v>
      </c>
      <c r="BF509">
        <v>15325</v>
      </c>
      <c r="BH509" t="s">
        <v>4819</v>
      </c>
      <c r="BJ509">
        <v>44937</v>
      </c>
    </row>
    <row r="510" spans="1:62">
      <c r="A510">
        <f t="shared" si="85"/>
        <v>13.633</v>
      </c>
      <c r="B510">
        <f t="shared" si="86"/>
        <v>19.443</v>
      </c>
      <c r="C510">
        <f t="shared" si="87"/>
        <v>14.102</v>
      </c>
      <c r="D510">
        <f t="shared" si="88"/>
        <v>15.181</v>
      </c>
      <c r="E510">
        <f t="shared" si="89"/>
        <v>23.09</v>
      </c>
      <c r="F510">
        <f t="shared" si="90"/>
        <v>15.889</v>
      </c>
      <c r="G510">
        <f t="shared" si="91"/>
        <v>10.894</v>
      </c>
      <c r="H510">
        <f t="shared" si="92"/>
        <v>15.273</v>
      </c>
      <c r="I510">
        <f t="shared" si="93"/>
        <v>46.219</v>
      </c>
      <c r="J510">
        <f t="shared" si="94"/>
        <v>0</v>
      </c>
      <c r="K510">
        <f t="shared" si="95"/>
        <v>0</v>
      </c>
      <c r="L510">
        <f t="shared" si="96"/>
        <v>0</v>
      </c>
      <c r="N510">
        <v>13633</v>
      </c>
      <c r="O510">
        <v>19443</v>
      </c>
      <c r="P510">
        <v>14102</v>
      </c>
      <c r="Q510">
        <v>15181</v>
      </c>
      <c r="R510">
        <v>23090</v>
      </c>
      <c r="S510">
        <v>15889</v>
      </c>
      <c r="T510">
        <v>10894</v>
      </c>
      <c r="U510">
        <v>15273</v>
      </c>
      <c r="V510">
        <v>46219</v>
      </c>
      <c r="AA510" t="s">
        <v>4820</v>
      </c>
      <c r="AC510">
        <v>13366</v>
      </c>
      <c r="AE510">
        <v>14867</v>
      </c>
      <c r="AG510" t="s">
        <v>4821</v>
      </c>
      <c r="AI510">
        <v>10564</v>
      </c>
      <c r="AP510" t="s">
        <v>4822</v>
      </c>
      <c r="AR510">
        <v>18800</v>
      </c>
      <c r="AT510">
        <v>21581</v>
      </c>
      <c r="AV510" t="s">
        <v>4823</v>
      </c>
      <c r="AX510">
        <v>14880</v>
      </c>
      <c r="BB510" t="s">
        <v>4824</v>
      </c>
      <c r="BD510">
        <v>13758</v>
      </c>
      <c r="BF510">
        <v>15354</v>
      </c>
      <c r="BH510" t="s">
        <v>4825</v>
      </c>
      <c r="BJ510">
        <v>45020</v>
      </c>
    </row>
    <row r="511" spans="1:62">
      <c r="A511">
        <f t="shared" si="85"/>
        <v>13.665</v>
      </c>
      <c r="B511">
        <f t="shared" si="86"/>
        <v>19.488</v>
      </c>
      <c r="C511">
        <f t="shared" si="87"/>
        <v>14.116</v>
      </c>
      <c r="D511">
        <f t="shared" si="88"/>
        <v>15.253</v>
      </c>
      <c r="E511">
        <f t="shared" si="89"/>
        <v>23.395</v>
      </c>
      <c r="F511">
        <f t="shared" si="90"/>
        <v>15.935</v>
      </c>
      <c r="G511">
        <f t="shared" si="91"/>
        <v>10.931</v>
      </c>
      <c r="H511">
        <f t="shared" si="92"/>
        <v>15.299</v>
      </c>
      <c r="I511">
        <f t="shared" si="93"/>
        <v>46.275</v>
      </c>
      <c r="J511">
        <f t="shared" si="94"/>
        <v>0</v>
      </c>
      <c r="K511">
        <f t="shared" si="95"/>
        <v>0</v>
      </c>
      <c r="L511">
        <f t="shared" si="96"/>
        <v>0</v>
      </c>
      <c r="N511">
        <v>13665</v>
      </c>
      <c r="O511">
        <v>19488</v>
      </c>
      <c r="P511">
        <v>14116</v>
      </c>
      <c r="Q511">
        <v>15253</v>
      </c>
      <c r="R511">
        <v>23395</v>
      </c>
      <c r="S511">
        <v>15935</v>
      </c>
      <c r="T511">
        <v>10931</v>
      </c>
      <c r="U511">
        <v>15299</v>
      </c>
      <c r="V511">
        <v>46275</v>
      </c>
      <c r="AA511" t="s">
        <v>4826</v>
      </c>
      <c r="AC511">
        <v>13375</v>
      </c>
      <c r="AE511">
        <v>14909</v>
      </c>
      <c r="AG511" t="s">
        <v>4827</v>
      </c>
      <c r="AI511">
        <v>10578</v>
      </c>
      <c r="AP511" t="s">
        <v>4828</v>
      </c>
      <c r="AR511">
        <v>18804</v>
      </c>
      <c r="AT511">
        <v>21642</v>
      </c>
      <c r="AV511" t="s">
        <v>4829</v>
      </c>
      <c r="AX511">
        <v>14881</v>
      </c>
      <c r="BB511" t="s">
        <v>4830</v>
      </c>
      <c r="BD511">
        <v>13786</v>
      </c>
      <c r="BF511">
        <v>15415</v>
      </c>
      <c r="BH511" t="s">
        <v>4831</v>
      </c>
      <c r="BJ511">
        <v>45542</v>
      </c>
    </row>
    <row r="512" spans="1:62">
      <c r="A512">
        <f t="shared" si="85"/>
        <v>13.684</v>
      </c>
      <c r="B512">
        <f t="shared" si="86"/>
        <v>19.491</v>
      </c>
      <c r="C512">
        <f t="shared" si="87"/>
        <v>14.27</v>
      </c>
      <c r="D512">
        <f t="shared" si="88"/>
        <v>15.358</v>
      </c>
      <c r="E512">
        <f t="shared" si="89"/>
        <v>23.429</v>
      </c>
      <c r="F512">
        <f t="shared" si="90"/>
        <v>16.24</v>
      </c>
      <c r="G512">
        <f t="shared" si="91"/>
        <v>11.003</v>
      </c>
      <c r="H512">
        <f t="shared" si="92"/>
        <v>15.338</v>
      </c>
      <c r="I512">
        <f t="shared" si="93"/>
        <v>46.963</v>
      </c>
      <c r="J512">
        <f t="shared" si="94"/>
        <v>0</v>
      </c>
      <c r="K512">
        <f t="shared" si="95"/>
        <v>0</v>
      </c>
      <c r="L512">
        <f t="shared" si="96"/>
        <v>0</v>
      </c>
      <c r="N512">
        <v>13684</v>
      </c>
      <c r="O512">
        <v>19491</v>
      </c>
      <c r="P512">
        <v>14270</v>
      </c>
      <c r="Q512">
        <v>15358</v>
      </c>
      <c r="R512">
        <v>23429</v>
      </c>
      <c r="S512">
        <v>16240</v>
      </c>
      <c r="T512">
        <v>11003</v>
      </c>
      <c r="U512">
        <v>15338</v>
      </c>
      <c r="V512">
        <v>46963</v>
      </c>
      <c r="AA512" t="s">
        <v>4832</v>
      </c>
      <c r="AC512">
        <v>13381</v>
      </c>
      <c r="AE512">
        <v>14912</v>
      </c>
      <c r="AG512" t="s">
        <v>4833</v>
      </c>
      <c r="AI512">
        <v>10601</v>
      </c>
      <c r="AP512" t="s">
        <v>4834</v>
      </c>
      <c r="AR512">
        <v>18839</v>
      </c>
      <c r="AT512">
        <v>21989</v>
      </c>
      <c r="AV512" t="s">
        <v>4835</v>
      </c>
      <c r="AX512">
        <v>15003</v>
      </c>
      <c r="BB512" t="s">
        <v>4836</v>
      </c>
      <c r="BD512">
        <v>13807</v>
      </c>
      <c r="BF512">
        <v>15417</v>
      </c>
      <c r="BH512" t="s">
        <v>4837</v>
      </c>
      <c r="BJ512">
        <v>45563</v>
      </c>
    </row>
    <row r="513" spans="1:62">
      <c r="A513">
        <f t="shared" si="85"/>
        <v>13.724</v>
      </c>
      <c r="B513">
        <f t="shared" si="86"/>
        <v>19.532</v>
      </c>
      <c r="C513">
        <f t="shared" si="87"/>
        <v>14.271</v>
      </c>
      <c r="D513">
        <f t="shared" si="88"/>
        <v>15.461</v>
      </c>
      <c r="E513">
        <f t="shared" si="89"/>
        <v>23.433</v>
      </c>
      <c r="F513">
        <f t="shared" si="90"/>
        <v>16.256</v>
      </c>
      <c r="G513">
        <f t="shared" si="91"/>
        <v>11.011</v>
      </c>
      <c r="H513">
        <f t="shared" si="92"/>
        <v>15.365</v>
      </c>
      <c r="I513">
        <f t="shared" si="93"/>
        <v>47.192</v>
      </c>
      <c r="J513">
        <f t="shared" si="94"/>
        <v>0</v>
      </c>
      <c r="K513">
        <f t="shared" si="95"/>
        <v>0</v>
      </c>
      <c r="L513">
        <f t="shared" si="96"/>
        <v>0</v>
      </c>
      <c r="N513">
        <v>13724</v>
      </c>
      <c r="O513">
        <v>19532</v>
      </c>
      <c r="P513">
        <v>14271</v>
      </c>
      <c r="Q513">
        <v>15461</v>
      </c>
      <c r="R513">
        <v>23433</v>
      </c>
      <c r="S513">
        <v>16256</v>
      </c>
      <c r="T513">
        <v>11011</v>
      </c>
      <c r="U513">
        <v>15365</v>
      </c>
      <c r="V513">
        <v>47192</v>
      </c>
      <c r="AA513" t="s">
        <v>4838</v>
      </c>
      <c r="AC513">
        <v>13428</v>
      </c>
      <c r="AE513">
        <v>15012</v>
      </c>
      <c r="AG513" t="s">
        <v>4839</v>
      </c>
      <c r="AI513">
        <v>10678</v>
      </c>
      <c r="AP513" t="s">
        <v>4840</v>
      </c>
      <c r="AR513">
        <v>18862</v>
      </c>
      <c r="AT513">
        <v>22362</v>
      </c>
      <c r="AV513" t="s">
        <v>4841</v>
      </c>
      <c r="AX513">
        <v>15047</v>
      </c>
      <c r="BB513" t="s">
        <v>4842</v>
      </c>
      <c r="BD513">
        <v>13900</v>
      </c>
      <c r="BF513">
        <v>15429</v>
      </c>
      <c r="BH513" t="s">
        <v>4843</v>
      </c>
      <c r="BJ513">
        <v>45670</v>
      </c>
    </row>
    <row r="514" spans="1:62">
      <c r="A514">
        <f t="shared" si="85"/>
        <v>13.768</v>
      </c>
      <c r="B514">
        <f t="shared" si="86"/>
        <v>19.712</v>
      </c>
      <c r="C514">
        <f t="shared" si="87"/>
        <v>14.276</v>
      </c>
      <c r="D514">
        <f t="shared" si="88"/>
        <v>15.616</v>
      </c>
      <c r="E514">
        <f t="shared" si="89"/>
        <v>23.985</v>
      </c>
      <c r="F514">
        <f t="shared" si="90"/>
        <v>16.34</v>
      </c>
      <c r="G514">
        <f t="shared" si="91"/>
        <v>11.043</v>
      </c>
      <c r="H514">
        <f t="shared" si="92"/>
        <v>15.393</v>
      </c>
      <c r="I514">
        <f t="shared" si="93"/>
        <v>47.284</v>
      </c>
      <c r="J514">
        <f t="shared" si="94"/>
        <v>0</v>
      </c>
      <c r="K514">
        <f t="shared" si="95"/>
        <v>0</v>
      </c>
      <c r="L514">
        <f t="shared" si="96"/>
        <v>0</v>
      </c>
      <c r="N514">
        <v>13768</v>
      </c>
      <c r="O514">
        <v>19712</v>
      </c>
      <c r="P514">
        <v>14276</v>
      </c>
      <c r="Q514">
        <v>15616</v>
      </c>
      <c r="R514">
        <v>23985</v>
      </c>
      <c r="S514">
        <v>16340</v>
      </c>
      <c r="T514">
        <v>11043</v>
      </c>
      <c r="U514">
        <v>15393</v>
      </c>
      <c r="V514">
        <v>47284</v>
      </c>
      <c r="AA514" t="s">
        <v>4844</v>
      </c>
      <c r="AC514">
        <v>13433</v>
      </c>
      <c r="AE514">
        <v>15055</v>
      </c>
      <c r="AG514" t="s">
        <v>4845</v>
      </c>
      <c r="AI514">
        <v>10691</v>
      </c>
      <c r="AP514" t="s">
        <v>4846</v>
      </c>
      <c r="AR514">
        <v>19003</v>
      </c>
      <c r="AT514">
        <v>22760</v>
      </c>
      <c r="AV514" t="s">
        <v>4847</v>
      </c>
      <c r="AX514">
        <v>15104</v>
      </c>
      <c r="BB514" t="s">
        <v>4848</v>
      </c>
      <c r="BD514">
        <v>13901</v>
      </c>
      <c r="BF514">
        <v>15603</v>
      </c>
      <c r="BH514" t="s">
        <v>4849</v>
      </c>
      <c r="BJ514">
        <v>45727</v>
      </c>
    </row>
    <row r="515" spans="1:62">
      <c r="A515">
        <f t="shared" si="85"/>
        <v>13.854</v>
      </c>
      <c r="B515">
        <f t="shared" si="86"/>
        <v>19.871</v>
      </c>
      <c r="C515">
        <f t="shared" si="87"/>
        <v>14.362</v>
      </c>
      <c r="D515">
        <f t="shared" si="88"/>
        <v>15.619</v>
      </c>
      <c r="E515">
        <f t="shared" si="89"/>
        <v>24.181</v>
      </c>
      <c r="F515">
        <f t="shared" si="90"/>
        <v>16.347</v>
      </c>
      <c r="G515">
        <f t="shared" si="91"/>
        <v>11.092</v>
      </c>
      <c r="H515">
        <f t="shared" si="92"/>
        <v>15.532</v>
      </c>
      <c r="I515">
        <f t="shared" si="93"/>
        <v>47.303</v>
      </c>
      <c r="J515">
        <f t="shared" si="94"/>
        <v>0</v>
      </c>
      <c r="K515">
        <f t="shared" si="95"/>
        <v>0</v>
      </c>
      <c r="L515">
        <f t="shared" si="96"/>
        <v>0</v>
      </c>
      <c r="N515">
        <v>13854</v>
      </c>
      <c r="O515">
        <v>19871</v>
      </c>
      <c r="P515">
        <v>14362</v>
      </c>
      <c r="Q515">
        <v>15619</v>
      </c>
      <c r="R515">
        <v>24181</v>
      </c>
      <c r="S515">
        <v>16347</v>
      </c>
      <c r="T515">
        <v>11092</v>
      </c>
      <c r="U515">
        <v>15532</v>
      </c>
      <c r="V515">
        <v>47303</v>
      </c>
      <c r="AA515" t="s">
        <v>4850</v>
      </c>
      <c r="AC515">
        <v>13485</v>
      </c>
      <c r="AE515">
        <v>15061</v>
      </c>
      <c r="AG515" t="s">
        <v>4851</v>
      </c>
      <c r="AI515">
        <v>10813</v>
      </c>
      <c r="AP515" t="s">
        <v>4852</v>
      </c>
      <c r="AR515">
        <v>19314</v>
      </c>
      <c r="AT515">
        <v>22881</v>
      </c>
      <c r="AV515" t="s">
        <v>4853</v>
      </c>
      <c r="AX515">
        <v>15107</v>
      </c>
      <c r="BB515" t="s">
        <v>4854</v>
      </c>
      <c r="BD515">
        <v>13918</v>
      </c>
      <c r="BF515">
        <v>15671</v>
      </c>
      <c r="BH515" t="s">
        <v>4855</v>
      </c>
      <c r="BJ515">
        <v>45873</v>
      </c>
    </row>
    <row r="516" spans="1:62">
      <c r="A516">
        <f t="shared" ref="A516:A579" si="97">N516/1000</f>
        <v>13.898</v>
      </c>
      <c r="B516">
        <f t="shared" ref="B516:B579" si="98">O516/1000</f>
        <v>19.909</v>
      </c>
      <c r="C516">
        <f t="shared" ref="C516:C579" si="99">P516/1000</f>
        <v>14.367</v>
      </c>
      <c r="D516">
        <f t="shared" ref="D516:D579" si="100">Q516/1000</f>
        <v>15.999</v>
      </c>
      <c r="E516">
        <f t="shared" ref="E516:E579" si="101">R516/1000</f>
        <v>24.253</v>
      </c>
      <c r="F516">
        <f t="shared" ref="F516:F579" si="102">S516/1000</f>
        <v>16.365</v>
      </c>
      <c r="G516">
        <f t="shared" ref="G516:G579" si="103">T516/1000</f>
        <v>11.116</v>
      </c>
      <c r="H516">
        <f t="shared" ref="H516:H579" si="104">U516/1000</f>
        <v>15.549</v>
      </c>
      <c r="I516">
        <f t="shared" ref="I516:I579" si="105">V516/1000</f>
        <v>47.483</v>
      </c>
      <c r="J516">
        <f t="shared" ref="J516:J579" si="106">W516/1000</f>
        <v>0</v>
      </c>
      <c r="K516">
        <f t="shared" ref="K516:K579" si="107">X516/1000</f>
        <v>0</v>
      </c>
      <c r="L516">
        <f t="shared" ref="L516:L579" si="108">Y516/1000</f>
        <v>0</v>
      </c>
      <c r="N516">
        <v>13898</v>
      </c>
      <c r="O516">
        <v>19909</v>
      </c>
      <c r="P516">
        <v>14367</v>
      </c>
      <c r="Q516">
        <v>15999</v>
      </c>
      <c r="R516">
        <v>24253</v>
      </c>
      <c r="S516">
        <v>16365</v>
      </c>
      <c r="T516">
        <v>11116</v>
      </c>
      <c r="U516">
        <v>15549</v>
      </c>
      <c r="V516">
        <v>47483</v>
      </c>
      <c r="AA516" t="s">
        <v>4856</v>
      </c>
      <c r="AC516">
        <v>13486</v>
      </c>
      <c r="AE516">
        <v>15143</v>
      </c>
      <c r="AG516" t="s">
        <v>4857</v>
      </c>
      <c r="AI516">
        <v>10815</v>
      </c>
      <c r="AP516" t="s">
        <v>4858</v>
      </c>
      <c r="AR516">
        <v>19329</v>
      </c>
      <c r="AT516">
        <v>22964</v>
      </c>
      <c r="AV516" t="s">
        <v>4859</v>
      </c>
      <c r="AX516">
        <v>15129</v>
      </c>
      <c r="BB516" t="s">
        <v>4860</v>
      </c>
      <c r="BD516">
        <v>13997</v>
      </c>
      <c r="BF516">
        <v>15686</v>
      </c>
      <c r="BH516" t="s">
        <v>4861</v>
      </c>
      <c r="BJ516">
        <v>45939</v>
      </c>
    </row>
    <row r="517" spans="1:62">
      <c r="A517">
        <f t="shared" si="97"/>
        <v>13.905</v>
      </c>
      <c r="B517">
        <f t="shared" si="98"/>
        <v>20.053</v>
      </c>
      <c r="C517">
        <f t="shared" si="99"/>
        <v>14.404</v>
      </c>
      <c r="D517">
        <f t="shared" si="100"/>
        <v>16</v>
      </c>
      <c r="E517">
        <f t="shared" si="101"/>
        <v>24.306</v>
      </c>
      <c r="F517">
        <f t="shared" si="102"/>
        <v>16.367</v>
      </c>
      <c r="G517">
        <f t="shared" si="103"/>
        <v>11.174</v>
      </c>
      <c r="H517">
        <f t="shared" si="104"/>
        <v>15.571</v>
      </c>
      <c r="I517">
        <f t="shared" si="105"/>
        <v>47.627</v>
      </c>
      <c r="J517">
        <f t="shared" si="106"/>
        <v>0</v>
      </c>
      <c r="K517">
        <f t="shared" si="107"/>
        <v>0</v>
      </c>
      <c r="L517">
        <f t="shared" si="108"/>
        <v>0</v>
      </c>
      <c r="N517">
        <v>13905</v>
      </c>
      <c r="O517">
        <v>20053</v>
      </c>
      <c r="P517">
        <v>14404</v>
      </c>
      <c r="Q517">
        <v>16000</v>
      </c>
      <c r="R517">
        <v>24306</v>
      </c>
      <c r="S517">
        <v>16367</v>
      </c>
      <c r="T517">
        <v>11174</v>
      </c>
      <c r="U517">
        <v>15571</v>
      </c>
      <c r="V517">
        <v>47627</v>
      </c>
      <c r="AA517" t="s">
        <v>4862</v>
      </c>
      <c r="AC517">
        <v>13572</v>
      </c>
      <c r="AE517">
        <v>15146</v>
      </c>
      <c r="AG517" t="s">
        <v>4863</v>
      </c>
      <c r="AI517">
        <v>10846</v>
      </c>
      <c r="AP517" t="s">
        <v>4864</v>
      </c>
      <c r="AR517">
        <v>19443</v>
      </c>
      <c r="AT517">
        <v>23090</v>
      </c>
      <c r="AV517" t="s">
        <v>4865</v>
      </c>
      <c r="AX517">
        <v>15273</v>
      </c>
      <c r="BB517" t="s">
        <v>4866</v>
      </c>
      <c r="BD517">
        <v>14094</v>
      </c>
      <c r="BF517">
        <v>15784</v>
      </c>
      <c r="BH517" t="s">
        <v>4867</v>
      </c>
      <c r="BJ517">
        <v>46010</v>
      </c>
    </row>
    <row r="518" spans="1:62">
      <c r="A518">
        <f t="shared" si="97"/>
        <v>14.079</v>
      </c>
      <c r="B518">
        <f t="shared" si="98"/>
        <v>20.101</v>
      </c>
      <c r="C518">
        <f t="shared" si="99"/>
        <v>14.41</v>
      </c>
      <c r="D518">
        <f t="shared" si="100"/>
        <v>16.068</v>
      </c>
      <c r="E518">
        <f t="shared" si="101"/>
        <v>25.19</v>
      </c>
      <c r="F518">
        <f t="shared" si="102"/>
        <v>16.527</v>
      </c>
      <c r="G518">
        <f t="shared" si="103"/>
        <v>11.329</v>
      </c>
      <c r="H518">
        <f t="shared" si="104"/>
        <v>15.617</v>
      </c>
      <c r="I518">
        <f t="shared" si="105"/>
        <v>47.774</v>
      </c>
      <c r="J518">
        <f t="shared" si="106"/>
        <v>0</v>
      </c>
      <c r="K518">
        <f t="shared" si="107"/>
        <v>0</v>
      </c>
      <c r="L518">
        <f t="shared" si="108"/>
        <v>0</v>
      </c>
      <c r="N518">
        <v>14079</v>
      </c>
      <c r="O518">
        <v>20101</v>
      </c>
      <c r="P518">
        <v>14410</v>
      </c>
      <c r="Q518">
        <v>16068</v>
      </c>
      <c r="R518">
        <v>25190</v>
      </c>
      <c r="S518">
        <v>16527</v>
      </c>
      <c r="T518">
        <v>11329</v>
      </c>
      <c r="U518">
        <v>15617</v>
      </c>
      <c r="V518">
        <v>47774</v>
      </c>
      <c r="AA518" t="s">
        <v>4868</v>
      </c>
      <c r="AC518">
        <v>13633</v>
      </c>
      <c r="AE518">
        <v>15181</v>
      </c>
      <c r="AG518" t="s">
        <v>4869</v>
      </c>
      <c r="AI518">
        <v>10894</v>
      </c>
      <c r="AP518" t="s">
        <v>4870</v>
      </c>
      <c r="AR518">
        <v>19488</v>
      </c>
      <c r="AT518">
        <v>23395</v>
      </c>
      <c r="AV518" t="s">
        <v>4871</v>
      </c>
      <c r="AX518">
        <v>15299</v>
      </c>
      <c r="BB518" t="s">
        <v>4872</v>
      </c>
      <c r="BD518">
        <v>14102</v>
      </c>
      <c r="BF518">
        <v>15889</v>
      </c>
      <c r="BH518" t="s">
        <v>4873</v>
      </c>
      <c r="BJ518">
        <v>46219</v>
      </c>
    </row>
    <row r="519" spans="1:62">
      <c r="A519">
        <f t="shared" si="97"/>
        <v>14.145</v>
      </c>
      <c r="B519">
        <f t="shared" si="98"/>
        <v>20.208</v>
      </c>
      <c r="C519">
        <f t="shared" si="99"/>
        <v>14.429</v>
      </c>
      <c r="D519">
        <f t="shared" si="100"/>
        <v>16.221</v>
      </c>
      <c r="E519">
        <f t="shared" si="101"/>
        <v>25.389</v>
      </c>
      <c r="F519">
        <f t="shared" si="102"/>
        <v>16.542</v>
      </c>
      <c r="G519">
        <f t="shared" si="103"/>
        <v>11.456</v>
      </c>
      <c r="H519">
        <f t="shared" si="104"/>
        <v>15.8</v>
      </c>
      <c r="I519">
        <f t="shared" si="105"/>
        <v>47.799</v>
      </c>
      <c r="J519">
        <f t="shared" si="106"/>
        <v>0</v>
      </c>
      <c r="K519">
        <f t="shared" si="107"/>
        <v>0</v>
      </c>
      <c r="L519">
        <f t="shared" si="108"/>
        <v>0</v>
      </c>
      <c r="N519">
        <v>14145</v>
      </c>
      <c r="O519">
        <v>20208</v>
      </c>
      <c r="P519">
        <v>14429</v>
      </c>
      <c r="Q519">
        <v>16221</v>
      </c>
      <c r="R519">
        <v>25389</v>
      </c>
      <c r="S519">
        <v>16542</v>
      </c>
      <c r="T519">
        <v>11456</v>
      </c>
      <c r="U519">
        <v>15800</v>
      </c>
      <c r="V519">
        <v>47799</v>
      </c>
      <c r="AA519" t="s">
        <v>4874</v>
      </c>
      <c r="AC519">
        <v>13665</v>
      </c>
      <c r="AE519">
        <v>15253</v>
      </c>
      <c r="AG519" t="s">
        <v>4875</v>
      </c>
      <c r="AI519">
        <v>10931</v>
      </c>
      <c r="AP519" t="s">
        <v>4876</v>
      </c>
      <c r="AR519">
        <v>19491</v>
      </c>
      <c r="AT519">
        <v>23429</v>
      </c>
      <c r="AV519" t="s">
        <v>4877</v>
      </c>
      <c r="AX519">
        <v>15338</v>
      </c>
      <c r="BB519" t="s">
        <v>4878</v>
      </c>
      <c r="BD519">
        <v>14116</v>
      </c>
      <c r="BF519">
        <v>15935</v>
      </c>
      <c r="BH519" t="s">
        <v>4879</v>
      </c>
      <c r="BJ519">
        <v>46275</v>
      </c>
    </row>
    <row r="520" spans="1:62">
      <c r="A520">
        <f t="shared" si="97"/>
        <v>14.228</v>
      </c>
      <c r="B520">
        <f t="shared" si="98"/>
        <v>20.212</v>
      </c>
      <c r="C520">
        <f t="shared" si="99"/>
        <v>14.501</v>
      </c>
      <c r="D520">
        <f t="shared" si="100"/>
        <v>16.329</v>
      </c>
      <c r="E520">
        <f t="shared" si="101"/>
        <v>25.434</v>
      </c>
      <c r="F520">
        <f t="shared" si="102"/>
        <v>16.84</v>
      </c>
      <c r="G520">
        <f t="shared" si="103"/>
        <v>11.65</v>
      </c>
      <c r="H520">
        <f t="shared" si="104"/>
        <v>16.018</v>
      </c>
      <c r="I520">
        <f t="shared" si="105"/>
        <v>47.814</v>
      </c>
      <c r="J520">
        <f t="shared" si="106"/>
        <v>0</v>
      </c>
      <c r="K520">
        <f t="shared" si="107"/>
        <v>0</v>
      </c>
      <c r="L520">
        <f t="shared" si="108"/>
        <v>0</v>
      </c>
      <c r="N520">
        <v>14228</v>
      </c>
      <c r="O520">
        <v>20212</v>
      </c>
      <c r="P520">
        <v>14501</v>
      </c>
      <c r="Q520">
        <v>16329</v>
      </c>
      <c r="R520">
        <v>25434</v>
      </c>
      <c r="S520">
        <v>16840</v>
      </c>
      <c r="T520">
        <v>11650</v>
      </c>
      <c r="U520">
        <v>16018</v>
      </c>
      <c r="V520">
        <v>47814</v>
      </c>
      <c r="AA520" t="s">
        <v>4880</v>
      </c>
      <c r="AC520">
        <v>13684</v>
      </c>
      <c r="AE520">
        <v>15358</v>
      </c>
      <c r="AG520" t="s">
        <v>4881</v>
      </c>
      <c r="AI520">
        <v>11003</v>
      </c>
      <c r="AP520" t="s">
        <v>4882</v>
      </c>
      <c r="AR520">
        <v>19532</v>
      </c>
      <c r="AT520">
        <v>23433</v>
      </c>
      <c r="AV520" t="s">
        <v>4883</v>
      </c>
      <c r="AX520">
        <v>15365</v>
      </c>
      <c r="BB520" t="s">
        <v>4884</v>
      </c>
      <c r="BD520">
        <v>14270</v>
      </c>
      <c r="BF520">
        <v>16240</v>
      </c>
      <c r="BH520" t="s">
        <v>4885</v>
      </c>
      <c r="BJ520">
        <v>46963</v>
      </c>
    </row>
    <row r="521" spans="1:62">
      <c r="A521">
        <f t="shared" si="97"/>
        <v>14.234</v>
      </c>
      <c r="B521">
        <f t="shared" si="98"/>
        <v>20.328</v>
      </c>
      <c r="C521">
        <f t="shared" si="99"/>
        <v>14.564</v>
      </c>
      <c r="D521">
        <f t="shared" si="100"/>
        <v>16.33</v>
      </c>
      <c r="E521">
        <f t="shared" si="101"/>
        <v>25.489</v>
      </c>
      <c r="F521">
        <f t="shared" si="102"/>
        <v>16.912</v>
      </c>
      <c r="G521">
        <f t="shared" si="103"/>
        <v>11.804</v>
      </c>
      <c r="H521">
        <f t="shared" si="104"/>
        <v>16.028</v>
      </c>
      <c r="I521">
        <f t="shared" si="105"/>
        <v>47.857</v>
      </c>
      <c r="J521">
        <f t="shared" si="106"/>
        <v>0</v>
      </c>
      <c r="K521">
        <f t="shared" si="107"/>
        <v>0</v>
      </c>
      <c r="L521">
        <f t="shared" si="108"/>
        <v>0</v>
      </c>
      <c r="N521">
        <v>14234</v>
      </c>
      <c r="O521">
        <v>20328</v>
      </c>
      <c r="P521">
        <v>14564</v>
      </c>
      <c r="Q521">
        <v>16330</v>
      </c>
      <c r="R521">
        <v>25489</v>
      </c>
      <c r="S521">
        <v>16912</v>
      </c>
      <c r="T521">
        <v>11804</v>
      </c>
      <c r="U521">
        <v>16028</v>
      </c>
      <c r="V521">
        <v>47857</v>
      </c>
      <c r="AA521" t="s">
        <v>4886</v>
      </c>
      <c r="AC521">
        <v>13724</v>
      </c>
      <c r="AE521">
        <v>15461</v>
      </c>
      <c r="AG521" t="s">
        <v>4887</v>
      </c>
      <c r="AI521">
        <v>11011</v>
      </c>
      <c r="AP521" t="s">
        <v>4888</v>
      </c>
      <c r="AR521">
        <v>19712</v>
      </c>
      <c r="AT521">
        <v>23985</v>
      </c>
      <c r="AV521" t="s">
        <v>4889</v>
      </c>
      <c r="AX521">
        <v>15393</v>
      </c>
      <c r="BB521" t="s">
        <v>4890</v>
      </c>
      <c r="BD521">
        <v>14271</v>
      </c>
      <c r="BF521">
        <v>16256</v>
      </c>
      <c r="BH521" t="s">
        <v>4891</v>
      </c>
      <c r="BJ521">
        <v>47192</v>
      </c>
    </row>
    <row r="522" spans="1:62">
      <c r="A522">
        <f t="shared" si="97"/>
        <v>14.236</v>
      </c>
      <c r="B522">
        <f t="shared" si="98"/>
        <v>20.565</v>
      </c>
      <c r="C522">
        <f t="shared" si="99"/>
        <v>14.583</v>
      </c>
      <c r="D522">
        <f t="shared" si="100"/>
        <v>16.362</v>
      </c>
      <c r="E522">
        <f t="shared" si="101"/>
        <v>25.63</v>
      </c>
      <c r="F522">
        <f t="shared" si="102"/>
        <v>17.03</v>
      </c>
      <c r="G522">
        <f t="shared" si="103"/>
        <v>11.811</v>
      </c>
      <c r="H522">
        <f t="shared" si="104"/>
        <v>16.073</v>
      </c>
      <c r="I522">
        <f t="shared" si="105"/>
        <v>47.939</v>
      </c>
      <c r="J522">
        <f t="shared" si="106"/>
        <v>0</v>
      </c>
      <c r="K522">
        <f t="shared" si="107"/>
        <v>0</v>
      </c>
      <c r="L522">
        <f t="shared" si="108"/>
        <v>0</v>
      </c>
      <c r="N522">
        <v>14236</v>
      </c>
      <c r="O522">
        <v>20565</v>
      </c>
      <c r="P522">
        <v>14583</v>
      </c>
      <c r="Q522">
        <v>16362</v>
      </c>
      <c r="R522">
        <v>25630</v>
      </c>
      <c r="S522">
        <v>17030</v>
      </c>
      <c r="T522">
        <v>11811</v>
      </c>
      <c r="U522">
        <v>16073</v>
      </c>
      <c r="V522">
        <v>47939</v>
      </c>
      <c r="AA522" t="s">
        <v>4892</v>
      </c>
      <c r="AC522">
        <v>13768</v>
      </c>
      <c r="AE522">
        <v>15616</v>
      </c>
      <c r="AG522" t="s">
        <v>4893</v>
      </c>
      <c r="AI522">
        <v>11043</v>
      </c>
      <c r="AP522" t="s">
        <v>4894</v>
      </c>
      <c r="AR522">
        <v>19871</v>
      </c>
      <c r="AT522">
        <v>24181</v>
      </c>
      <c r="AV522" t="s">
        <v>4895</v>
      </c>
      <c r="AX522">
        <v>15532</v>
      </c>
      <c r="BB522" t="s">
        <v>4896</v>
      </c>
      <c r="BD522">
        <v>14276</v>
      </c>
      <c r="BF522">
        <v>16340</v>
      </c>
      <c r="BH522" t="s">
        <v>4897</v>
      </c>
      <c r="BJ522">
        <v>47284</v>
      </c>
    </row>
    <row r="523" spans="1:62">
      <c r="A523">
        <f t="shared" si="97"/>
        <v>14.275</v>
      </c>
      <c r="B523">
        <f t="shared" si="98"/>
        <v>20.604</v>
      </c>
      <c r="C523">
        <f t="shared" si="99"/>
        <v>14.641</v>
      </c>
      <c r="D523">
        <f t="shared" si="100"/>
        <v>16.38</v>
      </c>
      <c r="E523">
        <f t="shared" si="101"/>
        <v>25.69</v>
      </c>
      <c r="F523">
        <f t="shared" si="102"/>
        <v>17.075</v>
      </c>
      <c r="G523">
        <f t="shared" si="103"/>
        <v>11.962</v>
      </c>
      <c r="H523">
        <f t="shared" si="104"/>
        <v>16.074</v>
      </c>
      <c r="I523">
        <f t="shared" si="105"/>
        <v>48.091</v>
      </c>
      <c r="J523">
        <f t="shared" si="106"/>
        <v>0</v>
      </c>
      <c r="K523">
        <f t="shared" si="107"/>
        <v>0</v>
      </c>
      <c r="L523">
        <f t="shared" si="108"/>
        <v>0</v>
      </c>
      <c r="N523">
        <v>14275</v>
      </c>
      <c r="O523">
        <v>20604</v>
      </c>
      <c r="P523">
        <v>14641</v>
      </c>
      <c r="Q523">
        <v>16380</v>
      </c>
      <c r="R523">
        <v>25690</v>
      </c>
      <c r="S523">
        <v>17075</v>
      </c>
      <c r="T523">
        <v>11962</v>
      </c>
      <c r="U523">
        <v>16074</v>
      </c>
      <c r="V523">
        <v>48091</v>
      </c>
      <c r="AA523" t="s">
        <v>4898</v>
      </c>
      <c r="AC523">
        <v>13854</v>
      </c>
      <c r="AE523">
        <v>15619</v>
      </c>
      <c r="AG523" t="s">
        <v>4899</v>
      </c>
      <c r="AI523">
        <v>11092</v>
      </c>
      <c r="AP523" t="s">
        <v>4900</v>
      </c>
      <c r="AR523">
        <v>19909</v>
      </c>
      <c r="AT523">
        <v>24253</v>
      </c>
      <c r="AV523" t="s">
        <v>4901</v>
      </c>
      <c r="AX523">
        <v>15549</v>
      </c>
      <c r="BB523" t="s">
        <v>4902</v>
      </c>
      <c r="BD523">
        <v>14362</v>
      </c>
      <c r="BF523">
        <v>16347</v>
      </c>
      <c r="BH523" t="s">
        <v>4903</v>
      </c>
      <c r="BJ523">
        <v>47303</v>
      </c>
    </row>
    <row r="524" spans="1:62">
      <c r="A524">
        <f t="shared" si="97"/>
        <v>14.347</v>
      </c>
      <c r="B524">
        <f t="shared" si="98"/>
        <v>20.672</v>
      </c>
      <c r="C524">
        <f t="shared" si="99"/>
        <v>14.702</v>
      </c>
      <c r="D524">
        <f t="shared" si="100"/>
        <v>16.471</v>
      </c>
      <c r="E524">
        <f t="shared" si="101"/>
        <v>25.805</v>
      </c>
      <c r="F524">
        <f t="shared" si="102"/>
        <v>17.246</v>
      </c>
      <c r="G524">
        <f t="shared" si="103"/>
        <v>11.999</v>
      </c>
      <c r="H524">
        <f t="shared" si="104"/>
        <v>16.159</v>
      </c>
      <c r="I524">
        <f t="shared" si="105"/>
        <v>48.147</v>
      </c>
      <c r="J524">
        <f t="shared" si="106"/>
        <v>0</v>
      </c>
      <c r="K524">
        <f t="shared" si="107"/>
        <v>0</v>
      </c>
      <c r="L524">
        <f t="shared" si="108"/>
        <v>0</v>
      </c>
      <c r="N524">
        <v>14347</v>
      </c>
      <c r="O524">
        <v>20672</v>
      </c>
      <c r="P524">
        <v>14702</v>
      </c>
      <c r="Q524">
        <v>16471</v>
      </c>
      <c r="R524">
        <v>25805</v>
      </c>
      <c r="S524">
        <v>17246</v>
      </c>
      <c r="T524">
        <v>11999</v>
      </c>
      <c r="U524">
        <v>16159</v>
      </c>
      <c r="V524">
        <v>48147</v>
      </c>
      <c r="AA524" t="s">
        <v>4904</v>
      </c>
      <c r="AC524">
        <v>13898</v>
      </c>
      <c r="AE524">
        <v>15999</v>
      </c>
      <c r="AG524" t="s">
        <v>4905</v>
      </c>
      <c r="AI524">
        <v>11116</v>
      </c>
      <c r="AP524" t="s">
        <v>4906</v>
      </c>
      <c r="AR524">
        <v>20053</v>
      </c>
      <c r="AT524">
        <v>24306</v>
      </c>
      <c r="AV524" t="s">
        <v>4907</v>
      </c>
      <c r="AX524">
        <v>15571</v>
      </c>
      <c r="BB524" t="s">
        <v>4908</v>
      </c>
      <c r="BD524">
        <v>14367</v>
      </c>
      <c r="BF524">
        <v>16365</v>
      </c>
      <c r="BH524" t="s">
        <v>4909</v>
      </c>
      <c r="BJ524">
        <v>47483</v>
      </c>
    </row>
    <row r="525" spans="1:62">
      <c r="A525">
        <f t="shared" si="97"/>
        <v>14.35</v>
      </c>
      <c r="B525">
        <f t="shared" si="98"/>
        <v>21.069</v>
      </c>
      <c r="C525">
        <f t="shared" si="99"/>
        <v>14.731</v>
      </c>
      <c r="D525">
        <f t="shared" si="100"/>
        <v>16.635</v>
      </c>
      <c r="E525">
        <f t="shared" si="101"/>
        <v>25.905</v>
      </c>
      <c r="F525">
        <f t="shared" si="102"/>
        <v>17.274</v>
      </c>
      <c r="G525">
        <f t="shared" si="103"/>
        <v>12.191</v>
      </c>
      <c r="H525">
        <f t="shared" si="104"/>
        <v>16.185</v>
      </c>
      <c r="I525">
        <f t="shared" si="105"/>
        <v>48.225</v>
      </c>
      <c r="J525">
        <f t="shared" si="106"/>
        <v>0</v>
      </c>
      <c r="K525">
        <f t="shared" si="107"/>
        <v>0</v>
      </c>
      <c r="L525">
        <f t="shared" si="108"/>
        <v>0</v>
      </c>
      <c r="N525">
        <v>14350</v>
      </c>
      <c r="O525">
        <v>21069</v>
      </c>
      <c r="P525">
        <v>14731</v>
      </c>
      <c r="Q525">
        <v>16635</v>
      </c>
      <c r="R525">
        <v>25905</v>
      </c>
      <c r="S525">
        <v>17274</v>
      </c>
      <c r="T525">
        <v>12191</v>
      </c>
      <c r="U525">
        <v>16185</v>
      </c>
      <c r="V525">
        <v>48225</v>
      </c>
      <c r="AA525" t="s">
        <v>4910</v>
      </c>
      <c r="AC525">
        <v>13905</v>
      </c>
      <c r="AE525">
        <v>16000</v>
      </c>
      <c r="AG525" t="s">
        <v>4911</v>
      </c>
      <c r="AI525">
        <v>11174</v>
      </c>
      <c r="AP525" t="s">
        <v>4912</v>
      </c>
      <c r="AR525">
        <v>20101</v>
      </c>
      <c r="AT525">
        <v>25190</v>
      </c>
      <c r="AV525" t="s">
        <v>4913</v>
      </c>
      <c r="AX525">
        <v>15617</v>
      </c>
      <c r="BB525" t="s">
        <v>4914</v>
      </c>
      <c r="BD525">
        <v>14404</v>
      </c>
      <c r="BF525">
        <v>16367</v>
      </c>
      <c r="BH525" t="s">
        <v>4915</v>
      </c>
      <c r="BJ525">
        <v>47627</v>
      </c>
    </row>
    <row r="526" spans="1:62">
      <c r="A526">
        <f t="shared" si="97"/>
        <v>14.432</v>
      </c>
      <c r="B526">
        <f t="shared" si="98"/>
        <v>21.117</v>
      </c>
      <c r="C526">
        <f t="shared" si="99"/>
        <v>14.809</v>
      </c>
      <c r="D526">
        <f t="shared" si="100"/>
        <v>16.743</v>
      </c>
      <c r="E526">
        <f t="shared" si="101"/>
        <v>26.124</v>
      </c>
      <c r="F526">
        <f t="shared" si="102"/>
        <v>17.295</v>
      </c>
      <c r="G526">
        <f t="shared" si="103"/>
        <v>12.226</v>
      </c>
      <c r="H526">
        <f t="shared" si="104"/>
        <v>16.241</v>
      </c>
      <c r="I526">
        <f t="shared" si="105"/>
        <v>48.226</v>
      </c>
      <c r="J526">
        <f t="shared" si="106"/>
        <v>0</v>
      </c>
      <c r="K526">
        <f t="shared" si="107"/>
        <v>0</v>
      </c>
      <c r="L526">
        <f t="shared" si="108"/>
        <v>0</v>
      </c>
      <c r="N526">
        <v>14432</v>
      </c>
      <c r="O526">
        <v>21117</v>
      </c>
      <c r="P526">
        <v>14809</v>
      </c>
      <c r="Q526">
        <v>16743</v>
      </c>
      <c r="R526">
        <v>26124</v>
      </c>
      <c r="S526">
        <v>17295</v>
      </c>
      <c r="T526">
        <v>12226</v>
      </c>
      <c r="U526">
        <v>16241</v>
      </c>
      <c r="V526">
        <v>48226</v>
      </c>
      <c r="AA526" t="s">
        <v>4916</v>
      </c>
      <c r="AC526">
        <v>14079</v>
      </c>
      <c r="AE526">
        <v>16068</v>
      </c>
      <c r="AG526" t="s">
        <v>4917</v>
      </c>
      <c r="AI526">
        <v>11329</v>
      </c>
      <c r="AP526" t="s">
        <v>4918</v>
      </c>
      <c r="AR526">
        <v>20208</v>
      </c>
      <c r="AT526">
        <v>25389</v>
      </c>
      <c r="AV526" t="s">
        <v>4919</v>
      </c>
      <c r="AX526">
        <v>15800</v>
      </c>
      <c r="BB526" t="s">
        <v>4920</v>
      </c>
      <c r="BD526">
        <v>14410</v>
      </c>
      <c r="BF526">
        <v>16527</v>
      </c>
      <c r="BH526" t="s">
        <v>4921</v>
      </c>
      <c r="BJ526">
        <v>47774</v>
      </c>
    </row>
    <row r="527" spans="1:62">
      <c r="A527">
        <f t="shared" si="97"/>
        <v>14.464</v>
      </c>
      <c r="B527">
        <f t="shared" si="98"/>
        <v>21.149</v>
      </c>
      <c r="C527">
        <f t="shared" si="99"/>
        <v>14.817</v>
      </c>
      <c r="D527">
        <f t="shared" si="100"/>
        <v>16.748</v>
      </c>
      <c r="E527">
        <f t="shared" si="101"/>
        <v>26.134</v>
      </c>
      <c r="F527">
        <f t="shared" si="102"/>
        <v>17.384</v>
      </c>
      <c r="G527">
        <f t="shared" si="103"/>
        <v>12.333</v>
      </c>
      <c r="H527">
        <f t="shared" si="104"/>
        <v>16.274</v>
      </c>
      <c r="I527">
        <f t="shared" si="105"/>
        <v>48.859</v>
      </c>
      <c r="J527">
        <f t="shared" si="106"/>
        <v>0</v>
      </c>
      <c r="K527">
        <f t="shared" si="107"/>
        <v>0</v>
      </c>
      <c r="L527">
        <f t="shared" si="108"/>
        <v>0</v>
      </c>
      <c r="N527">
        <v>14464</v>
      </c>
      <c r="O527">
        <v>21149</v>
      </c>
      <c r="P527">
        <v>14817</v>
      </c>
      <c r="Q527">
        <v>16748</v>
      </c>
      <c r="R527">
        <v>26134</v>
      </c>
      <c r="S527">
        <v>17384</v>
      </c>
      <c r="T527">
        <v>12333</v>
      </c>
      <c r="U527">
        <v>16274</v>
      </c>
      <c r="V527">
        <v>48859</v>
      </c>
      <c r="AA527" t="s">
        <v>4922</v>
      </c>
      <c r="AC527">
        <v>14145</v>
      </c>
      <c r="AE527">
        <v>16221</v>
      </c>
      <c r="AG527" t="s">
        <v>4923</v>
      </c>
      <c r="AI527">
        <v>11456</v>
      </c>
      <c r="AP527" t="s">
        <v>4924</v>
      </c>
      <c r="AR527">
        <v>20212</v>
      </c>
      <c r="AT527">
        <v>25434</v>
      </c>
      <c r="AV527" t="s">
        <v>4925</v>
      </c>
      <c r="AX527">
        <v>16018</v>
      </c>
      <c r="BB527" t="s">
        <v>4926</v>
      </c>
      <c r="BD527">
        <v>14429</v>
      </c>
      <c r="BF527">
        <v>16542</v>
      </c>
      <c r="BH527" t="s">
        <v>4927</v>
      </c>
      <c r="BJ527">
        <v>47799</v>
      </c>
    </row>
    <row r="528" spans="1:62">
      <c r="A528">
        <f t="shared" si="97"/>
        <v>14.467</v>
      </c>
      <c r="B528">
        <f t="shared" si="98"/>
        <v>21.211</v>
      </c>
      <c r="C528">
        <f t="shared" si="99"/>
        <v>15</v>
      </c>
      <c r="D528">
        <f t="shared" si="100"/>
        <v>16.872</v>
      </c>
      <c r="E528">
        <f t="shared" si="101"/>
        <v>26.151</v>
      </c>
      <c r="F528">
        <f t="shared" si="102"/>
        <v>17.422</v>
      </c>
      <c r="G528">
        <f t="shared" si="103"/>
        <v>12.495</v>
      </c>
      <c r="H528">
        <f t="shared" si="104"/>
        <v>16.405</v>
      </c>
      <c r="I528">
        <f t="shared" si="105"/>
        <v>48.911</v>
      </c>
      <c r="J528">
        <f t="shared" si="106"/>
        <v>0</v>
      </c>
      <c r="K528">
        <f t="shared" si="107"/>
        <v>0</v>
      </c>
      <c r="L528">
        <f t="shared" si="108"/>
        <v>0</v>
      </c>
      <c r="N528">
        <v>14467</v>
      </c>
      <c r="O528">
        <v>21211</v>
      </c>
      <c r="P528">
        <v>15000</v>
      </c>
      <c r="Q528">
        <v>16872</v>
      </c>
      <c r="R528">
        <v>26151</v>
      </c>
      <c r="S528">
        <v>17422</v>
      </c>
      <c r="T528">
        <v>12495</v>
      </c>
      <c r="U528">
        <v>16405</v>
      </c>
      <c r="V528">
        <v>48911</v>
      </c>
      <c r="AA528" t="s">
        <v>4928</v>
      </c>
      <c r="AC528">
        <v>14228</v>
      </c>
      <c r="AE528">
        <v>16329</v>
      </c>
      <c r="AG528" t="s">
        <v>4929</v>
      </c>
      <c r="AI528">
        <v>11650</v>
      </c>
      <c r="AP528" t="s">
        <v>4930</v>
      </c>
      <c r="AR528">
        <v>20328</v>
      </c>
      <c r="AT528">
        <v>25489</v>
      </c>
      <c r="AV528" t="s">
        <v>4931</v>
      </c>
      <c r="AX528">
        <v>16028</v>
      </c>
      <c r="BB528" t="s">
        <v>4932</v>
      </c>
      <c r="BD528">
        <v>14501</v>
      </c>
      <c r="BF528">
        <v>16840</v>
      </c>
      <c r="BH528" t="s">
        <v>4933</v>
      </c>
      <c r="BJ528">
        <v>47814</v>
      </c>
    </row>
    <row r="529" spans="1:62">
      <c r="A529">
        <f t="shared" si="97"/>
        <v>14.54</v>
      </c>
      <c r="B529">
        <f t="shared" si="98"/>
        <v>21.224</v>
      </c>
      <c r="C529">
        <f t="shared" si="99"/>
        <v>15.015</v>
      </c>
      <c r="D529">
        <f t="shared" si="100"/>
        <v>16.882</v>
      </c>
      <c r="E529">
        <f t="shared" si="101"/>
        <v>26.241</v>
      </c>
      <c r="F529">
        <f t="shared" si="102"/>
        <v>17.433</v>
      </c>
      <c r="G529">
        <f t="shared" si="103"/>
        <v>12.581</v>
      </c>
      <c r="H529">
        <f t="shared" si="104"/>
        <v>16.447</v>
      </c>
      <c r="I529">
        <f t="shared" si="105"/>
        <v>48.919</v>
      </c>
      <c r="J529">
        <f t="shared" si="106"/>
        <v>0</v>
      </c>
      <c r="K529">
        <f t="shared" si="107"/>
        <v>0</v>
      </c>
      <c r="L529">
        <f t="shared" si="108"/>
        <v>0</v>
      </c>
      <c r="N529">
        <v>14540</v>
      </c>
      <c r="O529">
        <v>21224</v>
      </c>
      <c r="P529">
        <v>15015</v>
      </c>
      <c r="Q529">
        <v>16882</v>
      </c>
      <c r="R529">
        <v>26241</v>
      </c>
      <c r="S529">
        <v>17433</v>
      </c>
      <c r="T529">
        <v>12581</v>
      </c>
      <c r="U529">
        <v>16447</v>
      </c>
      <c r="V529">
        <v>48919</v>
      </c>
      <c r="AA529" t="s">
        <v>4934</v>
      </c>
      <c r="AC529">
        <v>14234</v>
      </c>
      <c r="AE529">
        <v>16330</v>
      </c>
      <c r="AG529" t="s">
        <v>4935</v>
      </c>
      <c r="AI529">
        <v>11804</v>
      </c>
      <c r="AP529" t="s">
        <v>4936</v>
      </c>
      <c r="AR529">
        <v>20565</v>
      </c>
      <c r="AT529">
        <v>25630</v>
      </c>
      <c r="AV529" t="s">
        <v>4937</v>
      </c>
      <c r="AX529">
        <v>16073</v>
      </c>
      <c r="BB529" t="s">
        <v>4938</v>
      </c>
      <c r="BD529">
        <v>14564</v>
      </c>
      <c r="BF529">
        <v>16912</v>
      </c>
      <c r="BH529" t="s">
        <v>4939</v>
      </c>
      <c r="BJ529">
        <v>47857</v>
      </c>
    </row>
    <row r="530" spans="1:62">
      <c r="A530">
        <f t="shared" si="97"/>
        <v>14.72</v>
      </c>
      <c r="B530">
        <f t="shared" si="98"/>
        <v>21.275</v>
      </c>
      <c r="C530">
        <f t="shared" si="99"/>
        <v>15.325</v>
      </c>
      <c r="D530">
        <f t="shared" si="100"/>
        <v>16.923</v>
      </c>
      <c r="E530">
        <f t="shared" si="101"/>
        <v>26.241</v>
      </c>
      <c r="F530">
        <f t="shared" si="102"/>
        <v>17.624</v>
      </c>
      <c r="G530">
        <f t="shared" si="103"/>
        <v>12.778</v>
      </c>
      <c r="H530">
        <f t="shared" si="104"/>
        <v>16.537</v>
      </c>
      <c r="I530">
        <f t="shared" si="105"/>
        <v>49.153</v>
      </c>
      <c r="J530">
        <f t="shared" si="106"/>
        <v>0</v>
      </c>
      <c r="K530">
        <f t="shared" si="107"/>
        <v>0</v>
      </c>
      <c r="L530">
        <f t="shared" si="108"/>
        <v>0</v>
      </c>
      <c r="N530">
        <v>14720</v>
      </c>
      <c r="O530">
        <v>21275</v>
      </c>
      <c r="P530">
        <v>15325</v>
      </c>
      <c r="Q530">
        <v>16923</v>
      </c>
      <c r="R530">
        <v>26241</v>
      </c>
      <c r="S530">
        <v>17624</v>
      </c>
      <c r="T530">
        <v>12778</v>
      </c>
      <c r="U530">
        <v>16537</v>
      </c>
      <c r="V530">
        <v>49153</v>
      </c>
      <c r="AA530" t="s">
        <v>4940</v>
      </c>
      <c r="AC530">
        <v>14236</v>
      </c>
      <c r="AE530">
        <v>16362</v>
      </c>
      <c r="AG530" t="s">
        <v>4941</v>
      </c>
      <c r="AI530">
        <v>11811</v>
      </c>
      <c r="AP530" t="s">
        <v>4942</v>
      </c>
      <c r="AR530">
        <v>20604</v>
      </c>
      <c r="AT530">
        <v>25690</v>
      </c>
      <c r="AV530" t="s">
        <v>4943</v>
      </c>
      <c r="AX530">
        <v>16074</v>
      </c>
      <c r="BB530" t="s">
        <v>4944</v>
      </c>
      <c r="BD530">
        <v>14583</v>
      </c>
      <c r="BF530">
        <v>17030</v>
      </c>
      <c r="BH530" t="s">
        <v>4945</v>
      </c>
      <c r="BJ530">
        <v>47939</v>
      </c>
    </row>
    <row r="531" spans="1:62">
      <c r="A531">
        <f t="shared" si="97"/>
        <v>14.737</v>
      </c>
      <c r="B531">
        <f t="shared" si="98"/>
        <v>21.342</v>
      </c>
      <c r="C531">
        <f t="shared" si="99"/>
        <v>15.354</v>
      </c>
      <c r="D531">
        <f t="shared" si="100"/>
        <v>17.102</v>
      </c>
      <c r="E531">
        <f t="shared" si="101"/>
        <v>26.308</v>
      </c>
      <c r="F531">
        <f t="shared" si="102"/>
        <v>18.033</v>
      </c>
      <c r="G531">
        <f t="shared" si="103"/>
        <v>12.783</v>
      </c>
      <c r="H531">
        <f t="shared" si="104"/>
        <v>16.538</v>
      </c>
      <c r="I531">
        <f t="shared" si="105"/>
        <v>49.213</v>
      </c>
      <c r="J531">
        <f t="shared" si="106"/>
        <v>0</v>
      </c>
      <c r="K531">
        <f t="shared" si="107"/>
        <v>0</v>
      </c>
      <c r="L531">
        <f t="shared" si="108"/>
        <v>0</v>
      </c>
      <c r="N531">
        <v>14737</v>
      </c>
      <c r="O531">
        <v>21342</v>
      </c>
      <c r="P531">
        <v>15354</v>
      </c>
      <c r="Q531">
        <v>17102</v>
      </c>
      <c r="R531">
        <v>26308</v>
      </c>
      <c r="S531">
        <v>18033</v>
      </c>
      <c r="T531">
        <v>12783</v>
      </c>
      <c r="U531">
        <v>16538</v>
      </c>
      <c r="V531">
        <v>49213</v>
      </c>
      <c r="AA531" t="s">
        <v>4946</v>
      </c>
      <c r="AC531">
        <v>14275</v>
      </c>
      <c r="AE531">
        <v>16380</v>
      </c>
      <c r="AG531" t="s">
        <v>4947</v>
      </c>
      <c r="AI531">
        <v>11962</v>
      </c>
      <c r="AP531" t="s">
        <v>4948</v>
      </c>
      <c r="AR531">
        <v>20672</v>
      </c>
      <c r="AT531">
        <v>25805</v>
      </c>
      <c r="AV531" t="s">
        <v>4949</v>
      </c>
      <c r="AX531">
        <v>16159</v>
      </c>
      <c r="BB531" t="s">
        <v>4950</v>
      </c>
      <c r="BD531">
        <v>14641</v>
      </c>
      <c r="BF531">
        <v>17075</v>
      </c>
      <c r="BH531" t="s">
        <v>4951</v>
      </c>
      <c r="BJ531">
        <v>48091</v>
      </c>
    </row>
    <row r="532" spans="1:62">
      <c r="A532">
        <f t="shared" si="97"/>
        <v>14.867</v>
      </c>
      <c r="B532">
        <f t="shared" si="98"/>
        <v>21.435</v>
      </c>
      <c r="C532">
        <f t="shared" si="99"/>
        <v>15.415</v>
      </c>
      <c r="D532">
        <f t="shared" si="100"/>
        <v>17.344</v>
      </c>
      <c r="E532">
        <f t="shared" si="101"/>
        <v>26.434</v>
      </c>
      <c r="F532">
        <f t="shared" si="102"/>
        <v>18.051</v>
      </c>
      <c r="G532">
        <f t="shared" si="103"/>
        <v>12.919</v>
      </c>
      <c r="H532">
        <f t="shared" si="104"/>
        <v>16.781</v>
      </c>
      <c r="I532">
        <f t="shared" si="105"/>
        <v>49.295</v>
      </c>
      <c r="J532">
        <f t="shared" si="106"/>
        <v>0</v>
      </c>
      <c r="K532">
        <f t="shared" si="107"/>
        <v>0</v>
      </c>
      <c r="L532">
        <f t="shared" si="108"/>
        <v>0</v>
      </c>
      <c r="N532">
        <v>14867</v>
      </c>
      <c r="O532">
        <v>21435</v>
      </c>
      <c r="P532">
        <v>15415</v>
      </c>
      <c r="Q532">
        <v>17344</v>
      </c>
      <c r="R532">
        <v>26434</v>
      </c>
      <c r="S532">
        <v>18051</v>
      </c>
      <c r="T532">
        <v>12919</v>
      </c>
      <c r="U532">
        <v>16781</v>
      </c>
      <c r="V532">
        <v>49295</v>
      </c>
      <c r="AA532" t="s">
        <v>4952</v>
      </c>
      <c r="AC532">
        <v>14347</v>
      </c>
      <c r="AE532">
        <v>16471</v>
      </c>
      <c r="AG532" t="s">
        <v>4953</v>
      </c>
      <c r="AI532">
        <v>11999</v>
      </c>
      <c r="AP532" t="s">
        <v>4954</v>
      </c>
      <c r="AR532">
        <v>21069</v>
      </c>
      <c r="AT532">
        <v>25905</v>
      </c>
      <c r="AV532" t="s">
        <v>4955</v>
      </c>
      <c r="AX532">
        <v>16185</v>
      </c>
      <c r="BB532" t="s">
        <v>4956</v>
      </c>
      <c r="BD532">
        <v>14702</v>
      </c>
      <c r="BF532">
        <v>17246</v>
      </c>
      <c r="BH532" t="s">
        <v>4957</v>
      </c>
      <c r="BJ532">
        <v>48147</v>
      </c>
    </row>
    <row r="533" spans="1:62">
      <c r="A533">
        <f t="shared" si="97"/>
        <v>14.909</v>
      </c>
      <c r="B533">
        <f t="shared" si="98"/>
        <v>21.581</v>
      </c>
      <c r="C533">
        <f t="shared" si="99"/>
        <v>15.417</v>
      </c>
      <c r="D533">
        <f t="shared" si="100"/>
        <v>17.558</v>
      </c>
      <c r="E533">
        <f t="shared" si="101"/>
        <v>26.51</v>
      </c>
      <c r="F533">
        <f t="shared" si="102"/>
        <v>18.104</v>
      </c>
      <c r="G533">
        <f t="shared" si="103"/>
        <v>13.042</v>
      </c>
      <c r="H533">
        <f t="shared" si="104"/>
        <v>16.849</v>
      </c>
      <c r="I533">
        <f t="shared" si="105"/>
        <v>49.425</v>
      </c>
      <c r="J533">
        <f t="shared" si="106"/>
        <v>0</v>
      </c>
      <c r="K533">
        <f t="shared" si="107"/>
        <v>0</v>
      </c>
      <c r="L533">
        <f t="shared" si="108"/>
        <v>0</v>
      </c>
      <c r="N533">
        <v>14909</v>
      </c>
      <c r="O533">
        <v>21581</v>
      </c>
      <c r="P533">
        <v>15417</v>
      </c>
      <c r="Q533">
        <v>17558</v>
      </c>
      <c r="R533">
        <v>26510</v>
      </c>
      <c r="S533">
        <v>18104</v>
      </c>
      <c r="T533">
        <v>13042</v>
      </c>
      <c r="U533">
        <v>16849</v>
      </c>
      <c r="V533">
        <v>49425</v>
      </c>
      <c r="AA533" t="s">
        <v>4958</v>
      </c>
      <c r="AC533">
        <v>14350</v>
      </c>
      <c r="AE533">
        <v>16635</v>
      </c>
      <c r="AG533" t="s">
        <v>4959</v>
      </c>
      <c r="AI533">
        <v>12191</v>
      </c>
      <c r="AP533" t="s">
        <v>4960</v>
      </c>
      <c r="AR533">
        <v>21117</v>
      </c>
      <c r="AT533">
        <v>26124</v>
      </c>
      <c r="AV533" t="s">
        <v>4961</v>
      </c>
      <c r="AX533">
        <v>16241</v>
      </c>
      <c r="BB533" t="s">
        <v>4962</v>
      </c>
      <c r="BD533">
        <v>14731</v>
      </c>
      <c r="BF533">
        <v>17274</v>
      </c>
      <c r="BH533" t="s">
        <v>4963</v>
      </c>
      <c r="BJ533">
        <v>48225</v>
      </c>
    </row>
    <row r="534" spans="1:62">
      <c r="A534">
        <f t="shared" si="97"/>
        <v>14.912</v>
      </c>
      <c r="B534">
        <f t="shared" si="98"/>
        <v>21.642</v>
      </c>
      <c r="C534">
        <f t="shared" si="99"/>
        <v>15.429</v>
      </c>
      <c r="D534">
        <f t="shared" si="100"/>
        <v>17.585</v>
      </c>
      <c r="E534">
        <f t="shared" si="101"/>
        <v>26.57</v>
      </c>
      <c r="F534">
        <f t="shared" si="102"/>
        <v>18.318</v>
      </c>
      <c r="G534">
        <f t="shared" si="103"/>
        <v>13.076</v>
      </c>
      <c r="H534">
        <f t="shared" si="104"/>
        <v>16.969</v>
      </c>
      <c r="I534">
        <f t="shared" si="105"/>
        <v>49.57</v>
      </c>
      <c r="J534">
        <f t="shared" si="106"/>
        <v>0</v>
      </c>
      <c r="K534">
        <f t="shared" si="107"/>
        <v>0</v>
      </c>
      <c r="L534">
        <f t="shared" si="108"/>
        <v>0</v>
      </c>
      <c r="N534">
        <v>14912</v>
      </c>
      <c r="O534">
        <v>21642</v>
      </c>
      <c r="P534">
        <v>15429</v>
      </c>
      <c r="Q534">
        <v>17585</v>
      </c>
      <c r="R534">
        <v>26570</v>
      </c>
      <c r="S534">
        <v>18318</v>
      </c>
      <c r="T534">
        <v>13076</v>
      </c>
      <c r="U534">
        <v>16969</v>
      </c>
      <c r="V534">
        <v>49570</v>
      </c>
      <c r="AA534" t="s">
        <v>4964</v>
      </c>
      <c r="AC534">
        <v>14432</v>
      </c>
      <c r="AE534">
        <v>16743</v>
      </c>
      <c r="AG534" t="s">
        <v>4965</v>
      </c>
      <c r="AI534">
        <v>12226</v>
      </c>
      <c r="AP534" t="s">
        <v>4966</v>
      </c>
      <c r="AR534">
        <v>21149</v>
      </c>
      <c r="AT534">
        <v>26134</v>
      </c>
      <c r="AV534" t="s">
        <v>4967</v>
      </c>
      <c r="AX534">
        <v>16274</v>
      </c>
      <c r="BB534" t="s">
        <v>4968</v>
      </c>
      <c r="BD534">
        <v>14809</v>
      </c>
      <c r="BF534">
        <v>17295</v>
      </c>
      <c r="BH534" t="s">
        <v>4969</v>
      </c>
      <c r="BJ534">
        <v>48226</v>
      </c>
    </row>
    <row r="535" spans="1:62">
      <c r="A535">
        <f t="shared" si="97"/>
        <v>15.012</v>
      </c>
      <c r="B535">
        <f t="shared" si="98"/>
        <v>21.989</v>
      </c>
      <c r="C535">
        <f t="shared" si="99"/>
        <v>15.603</v>
      </c>
      <c r="D535">
        <f t="shared" si="100"/>
        <v>17.714</v>
      </c>
      <c r="E535">
        <f t="shared" si="101"/>
        <v>26.598</v>
      </c>
      <c r="F535">
        <f t="shared" si="102"/>
        <v>18.326</v>
      </c>
      <c r="G535">
        <f t="shared" si="103"/>
        <v>13.151</v>
      </c>
      <c r="H535">
        <f t="shared" si="104"/>
        <v>16.98</v>
      </c>
      <c r="I535">
        <f t="shared" si="105"/>
        <v>49.608</v>
      </c>
      <c r="J535">
        <f t="shared" si="106"/>
        <v>0</v>
      </c>
      <c r="K535">
        <f t="shared" si="107"/>
        <v>0</v>
      </c>
      <c r="L535">
        <f t="shared" si="108"/>
        <v>0</v>
      </c>
      <c r="N535">
        <v>15012</v>
      </c>
      <c r="O535">
        <v>21989</v>
      </c>
      <c r="P535">
        <v>15603</v>
      </c>
      <c r="Q535">
        <v>17714</v>
      </c>
      <c r="R535">
        <v>26598</v>
      </c>
      <c r="S535">
        <v>18326</v>
      </c>
      <c r="T535">
        <v>13151</v>
      </c>
      <c r="U535">
        <v>16980</v>
      </c>
      <c r="V535">
        <v>49608</v>
      </c>
      <c r="AA535" t="s">
        <v>4970</v>
      </c>
      <c r="AC535">
        <v>14464</v>
      </c>
      <c r="AE535">
        <v>16748</v>
      </c>
      <c r="AG535" t="s">
        <v>4971</v>
      </c>
      <c r="AI535">
        <v>12333</v>
      </c>
      <c r="AP535" t="s">
        <v>4972</v>
      </c>
      <c r="AR535">
        <v>21211</v>
      </c>
      <c r="AT535">
        <v>26151</v>
      </c>
      <c r="AV535" t="s">
        <v>4973</v>
      </c>
      <c r="AX535">
        <v>16405</v>
      </c>
      <c r="BB535" t="s">
        <v>4974</v>
      </c>
      <c r="BD535">
        <v>14817</v>
      </c>
      <c r="BF535">
        <v>17384</v>
      </c>
      <c r="BH535" t="s">
        <v>4975</v>
      </c>
      <c r="BJ535">
        <v>48859</v>
      </c>
    </row>
    <row r="536" spans="1:62">
      <c r="A536">
        <f t="shared" si="97"/>
        <v>15.055</v>
      </c>
      <c r="B536">
        <f t="shared" si="98"/>
        <v>22.362</v>
      </c>
      <c r="C536">
        <f t="shared" si="99"/>
        <v>15.671</v>
      </c>
      <c r="D536">
        <f t="shared" si="100"/>
        <v>17.938</v>
      </c>
      <c r="E536">
        <f t="shared" si="101"/>
        <v>26.711</v>
      </c>
      <c r="F536">
        <f t="shared" si="102"/>
        <v>18.339</v>
      </c>
      <c r="G536">
        <f t="shared" si="103"/>
        <v>13.583</v>
      </c>
      <c r="H536">
        <f t="shared" si="104"/>
        <v>17.199</v>
      </c>
      <c r="I536">
        <f t="shared" si="105"/>
        <v>49.63</v>
      </c>
      <c r="J536">
        <f t="shared" si="106"/>
        <v>0</v>
      </c>
      <c r="K536">
        <f t="shared" si="107"/>
        <v>0</v>
      </c>
      <c r="L536">
        <f t="shared" si="108"/>
        <v>0</v>
      </c>
      <c r="N536">
        <v>15055</v>
      </c>
      <c r="O536">
        <v>22362</v>
      </c>
      <c r="P536">
        <v>15671</v>
      </c>
      <c r="Q536">
        <v>17938</v>
      </c>
      <c r="R536">
        <v>26711</v>
      </c>
      <c r="S536">
        <v>18339</v>
      </c>
      <c r="T536">
        <v>13583</v>
      </c>
      <c r="U536">
        <v>17199</v>
      </c>
      <c r="V536">
        <v>49630</v>
      </c>
      <c r="AA536" t="s">
        <v>4976</v>
      </c>
      <c r="AC536">
        <v>14467</v>
      </c>
      <c r="AE536">
        <v>16872</v>
      </c>
      <c r="AG536" t="s">
        <v>4977</v>
      </c>
      <c r="AI536">
        <v>12495</v>
      </c>
      <c r="AP536" t="s">
        <v>4978</v>
      </c>
      <c r="AR536">
        <v>21224</v>
      </c>
      <c r="AT536">
        <v>26241</v>
      </c>
      <c r="AV536" t="s">
        <v>4979</v>
      </c>
      <c r="AX536">
        <v>16447</v>
      </c>
      <c r="BB536" t="s">
        <v>4980</v>
      </c>
      <c r="BD536">
        <v>15000</v>
      </c>
      <c r="BF536">
        <v>17422</v>
      </c>
      <c r="BH536" t="s">
        <v>4981</v>
      </c>
      <c r="BJ536">
        <v>48911</v>
      </c>
    </row>
    <row r="537" spans="1:62">
      <c r="A537">
        <f t="shared" si="97"/>
        <v>15.061</v>
      </c>
      <c r="B537">
        <f t="shared" si="98"/>
        <v>22.76</v>
      </c>
      <c r="C537">
        <f t="shared" si="99"/>
        <v>15.686</v>
      </c>
      <c r="D537">
        <f t="shared" si="100"/>
        <v>18.028</v>
      </c>
      <c r="E537">
        <f t="shared" si="101"/>
        <v>26.779</v>
      </c>
      <c r="F537">
        <f t="shared" si="102"/>
        <v>18.644</v>
      </c>
      <c r="G537">
        <f t="shared" si="103"/>
        <v>13.689</v>
      </c>
      <c r="H537">
        <f t="shared" si="104"/>
        <v>17.247</v>
      </c>
      <c r="I537">
        <f t="shared" si="105"/>
        <v>49.941</v>
      </c>
      <c r="J537">
        <f t="shared" si="106"/>
        <v>0</v>
      </c>
      <c r="K537">
        <f t="shared" si="107"/>
        <v>0</v>
      </c>
      <c r="L537">
        <f t="shared" si="108"/>
        <v>0</v>
      </c>
      <c r="N537">
        <v>15061</v>
      </c>
      <c r="O537">
        <v>22760</v>
      </c>
      <c r="P537">
        <v>15686</v>
      </c>
      <c r="Q537">
        <v>18028</v>
      </c>
      <c r="R537">
        <v>26779</v>
      </c>
      <c r="S537">
        <v>18644</v>
      </c>
      <c r="T537">
        <v>13689</v>
      </c>
      <c r="U537">
        <v>17247</v>
      </c>
      <c r="V537">
        <v>49941</v>
      </c>
      <c r="AA537" t="s">
        <v>4982</v>
      </c>
      <c r="AC537">
        <v>14540</v>
      </c>
      <c r="AE537">
        <v>16882</v>
      </c>
      <c r="AG537" t="s">
        <v>4983</v>
      </c>
      <c r="AI537">
        <v>12581</v>
      </c>
      <c r="AP537" t="s">
        <v>4984</v>
      </c>
      <c r="AR537">
        <v>21275</v>
      </c>
      <c r="AT537">
        <v>26241</v>
      </c>
      <c r="AV537" t="s">
        <v>4985</v>
      </c>
      <c r="AX537">
        <v>16537</v>
      </c>
      <c r="BB537" t="s">
        <v>4986</v>
      </c>
      <c r="BD537">
        <v>15015</v>
      </c>
      <c r="BF537">
        <v>17433</v>
      </c>
      <c r="BH537" t="s">
        <v>4987</v>
      </c>
      <c r="BJ537">
        <v>48919</v>
      </c>
    </row>
    <row r="538" spans="1:62">
      <c r="A538">
        <f t="shared" si="97"/>
        <v>15.143</v>
      </c>
      <c r="B538">
        <f t="shared" si="98"/>
        <v>22.881</v>
      </c>
      <c r="C538">
        <f t="shared" si="99"/>
        <v>15.784</v>
      </c>
      <c r="D538">
        <f t="shared" si="100"/>
        <v>18.209</v>
      </c>
      <c r="E538">
        <f t="shared" si="101"/>
        <v>27.196</v>
      </c>
      <c r="F538">
        <f t="shared" si="102"/>
        <v>18.669</v>
      </c>
      <c r="G538">
        <f t="shared" si="103"/>
        <v>13.709</v>
      </c>
      <c r="H538">
        <f t="shared" si="104"/>
        <v>17.513</v>
      </c>
      <c r="I538">
        <f t="shared" si="105"/>
        <v>49.957</v>
      </c>
      <c r="J538">
        <f t="shared" si="106"/>
        <v>0</v>
      </c>
      <c r="K538">
        <f t="shared" si="107"/>
        <v>0</v>
      </c>
      <c r="L538">
        <f t="shared" si="108"/>
        <v>0</v>
      </c>
      <c r="N538">
        <v>15143</v>
      </c>
      <c r="O538">
        <v>22881</v>
      </c>
      <c r="P538">
        <v>15784</v>
      </c>
      <c r="Q538">
        <v>18209</v>
      </c>
      <c r="R538">
        <v>27196</v>
      </c>
      <c r="S538">
        <v>18669</v>
      </c>
      <c r="T538">
        <v>13709</v>
      </c>
      <c r="U538">
        <v>17513</v>
      </c>
      <c r="V538">
        <v>49957</v>
      </c>
      <c r="AA538" t="s">
        <v>4988</v>
      </c>
      <c r="AC538">
        <v>14720</v>
      </c>
      <c r="AE538">
        <v>16923</v>
      </c>
      <c r="AG538" t="s">
        <v>4989</v>
      </c>
      <c r="AI538">
        <v>12778</v>
      </c>
      <c r="AP538" t="s">
        <v>4990</v>
      </c>
      <c r="AR538">
        <v>21342</v>
      </c>
      <c r="AT538">
        <v>26308</v>
      </c>
      <c r="AV538" t="s">
        <v>4991</v>
      </c>
      <c r="AX538">
        <v>16538</v>
      </c>
      <c r="BB538" t="s">
        <v>4992</v>
      </c>
      <c r="BD538">
        <v>15325</v>
      </c>
      <c r="BF538">
        <v>17624</v>
      </c>
      <c r="BH538" t="s">
        <v>4993</v>
      </c>
      <c r="BJ538">
        <v>49153</v>
      </c>
    </row>
    <row r="539" spans="1:62">
      <c r="A539">
        <f t="shared" si="97"/>
        <v>15.146</v>
      </c>
      <c r="B539">
        <f t="shared" si="98"/>
        <v>22.964</v>
      </c>
      <c r="C539">
        <f t="shared" si="99"/>
        <v>15.889</v>
      </c>
      <c r="D539">
        <f t="shared" si="100"/>
        <v>18.232</v>
      </c>
      <c r="E539">
        <f t="shared" si="101"/>
        <v>27.353</v>
      </c>
      <c r="F539">
        <f t="shared" si="102"/>
        <v>18.834</v>
      </c>
      <c r="G539">
        <f t="shared" si="103"/>
        <v>13.842</v>
      </c>
      <c r="H539">
        <f t="shared" si="104"/>
        <v>17.61</v>
      </c>
      <c r="I539">
        <f t="shared" si="105"/>
        <v>50.114</v>
      </c>
      <c r="J539">
        <f t="shared" si="106"/>
        <v>0</v>
      </c>
      <c r="K539">
        <f t="shared" si="107"/>
        <v>0</v>
      </c>
      <c r="L539">
        <f t="shared" si="108"/>
        <v>0</v>
      </c>
      <c r="N539">
        <v>15146</v>
      </c>
      <c r="O539">
        <v>22964</v>
      </c>
      <c r="P539">
        <v>15889</v>
      </c>
      <c r="Q539">
        <v>18232</v>
      </c>
      <c r="R539">
        <v>27353</v>
      </c>
      <c r="S539">
        <v>18834</v>
      </c>
      <c r="T539">
        <v>13842</v>
      </c>
      <c r="U539">
        <v>17610</v>
      </c>
      <c r="V539">
        <v>50114</v>
      </c>
      <c r="AA539" t="s">
        <v>4994</v>
      </c>
      <c r="AC539">
        <v>14737</v>
      </c>
      <c r="AE539">
        <v>17102</v>
      </c>
      <c r="AG539" t="s">
        <v>4995</v>
      </c>
      <c r="AI539">
        <v>12783</v>
      </c>
      <c r="AP539" t="s">
        <v>4996</v>
      </c>
      <c r="AR539">
        <v>21435</v>
      </c>
      <c r="AT539">
        <v>26434</v>
      </c>
      <c r="AV539" t="s">
        <v>4997</v>
      </c>
      <c r="AX539">
        <v>16781</v>
      </c>
      <c r="BB539" t="s">
        <v>4998</v>
      </c>
      <c r="BD539">
        <v>15354</v>
      </c>
      <c r="BF539">
        <v>18033</v>
      </c>
      <c r="BH539" t="s">
        <v>4999</v>
      </c>
      <c r="BJ539">
        <v>49213</v>
      </c>
    </row>
    <row r="540" spans="1:62">
      <c r="A540">
        <f t="shared" si="97"/>
        <v>15.181</v>
      </c>
      <c r="B540">
        <f t="shared" si="98"/>
        <v>23.09</v>
      </c>
      <c r="C540">
        <f t="shared" si="99"/>
        <v>15.935</v>
      </c>
      <c r="D540">
        <f t="shared" si="100"/>
        <v>18.448</v>
      </c>
      <c r="E540">
        <f t="shared" si="101"/>
        <v>27.38</v>
      </c>
      <c r="F540">
        <f t="shared" si="102"/>
        <v>18.886</v>
      </c>
      <c r="G540">
        <f t="shared" si="103"/>
        <v>13.843</v>
      </c>
      <c r="H540">
        <f t="shared" si="104"/>
        <v>17.658</v>
      </c>
      <c r="I540">
        <f t="shared" si="105"/>
        <v>50.345</v>
      </c>
      <c r="J540">
        <f t="shared" si="106"/>
        <v>0</v>
      </c>
      <c r="K540">
        <f t="shared" si="107"/>
        <v>0</v>
      </c>
      <c r="L540">
        <f t="shared" si="108"/>
        <v>0</v>
      </c>
      <c r="N540">
        <v>15181</v>
      </c>
      <c r="O540">
        <v>23090</v>
      </c>
      <c r="P540">
        <v>15935</v>
      </c>
      <c r="Q540">
        <v>18448</v>
      </c>
      <c r="R540">
        <v>27380</v>
      </c>
      <c r="S540">
        <v>18886</v>
      </c>
      <c r="T540">
        <v>13843</v>
      </c>
      <c r="U540">
        <v>17658</v>
      </c>
      <c r="V540">
        <v>50345</v>
      </c>
      <c r="AA540" t="s">
        <v>5000</v>
      </c>
      <c r="AC540">
        <v>14867</v>
      </c>
      <c r="AE540">
        <v>17344</v>
      </c>
      <c r="AG540" t="s">
        <v>5001</v>
      </c>
      <c r="AI540">
        <v>12919</v>
      </c>
      <c r="AP540" t="s">
        <v>5002</v>
      </c>
      <c r="AR540">
        <v>21581</v>
      </c>
      <c r="AT540">
        <v>26510</v>
      </c>
      <c r="AV540" t="s">
        <v>5003</v>
      </c>
      <c r="AX540">
        <v>16849</v>
      </c>
      <c r="BB540" t="s">
        <v>5004</v>
      </c>
      <c r="BD540">
        <v>15415</v>
      </c>
      <c r="BF540">
        <v>18051</v>
      </c>
      <c r="BH540" t="s">
        <v>5005</v>
      </c>
      <c r="BJ540">
        <v>49295</v>
      </c>
    </row>
    <row r="541" spans="1:62">
      <c r="A541">
        <f t="shared" si="97"/>
        <v>15.253</v>
      </c>
      <c r="B541">
        <f t="shared" si="98"/>
        <v>23.196</v>
      </c>
      <c r="C541">
        <f t="shared" si="99"/>
        <v>16.24</v>
      </c>
      <c r="D541">
        <f t="shared" si="100"/>
        <v>18.458</v>
      </c>
      <c r="E541">
        <f t="shared" si="101"/>
        <v>27.48</v>
      </c>
      <c r="F541">
        <f t="shared" si="102"/>
        <v>19.058</v>
      </c>
      <c r="G541">
        <f t="shared" si="103"/>
        <v>13.989</v>
      </c>
      <c r="H541">
        <f t="shared" si="104"/>
        <v>17.726</v>
      </c>
      <c r="I541">
        <f t="shared" si="105"/>
        <v>50.42</v>
      </c>
      <c r="J541">
        <f t="shared" si="106"/>
        <v>0</v>
      </c>
      <c r="K541">
        <f t="shared" si="107"/>
        <v>0</v>
      </c>
      <c r="L541">
        <f t="shared" si="108"/>
        <v>0</v>
      </c>
      <c r="N541">
        <v>15253</v>
      </c>
      <c r="O541">
        <v>23196</v>
      </c>
      <c r="P541">
        <v>16240</v>
      </c>
      <c r="Q541">
        <v>18458</v>
      </c>
      <c r="R541">
        <v>27480</v>
      </c>
      <c r="S541">
        <v>19058</v>
      </c>
      <c r="T541">
        <v>13989</v>
      </c>
      <c r="U541">
        <v>17726</v>
      </c>
      <c r="V541">
        <v>50420</v>
      </c>
      <c r="AA541" t="s">
        <v>5006</v>
      </c>
      <c r="AC541">
        <v>14909</v>
      </c>
      <c r="AE541">
        <v>17558</v>
      </c>
      <c r="AG541" t="s">
        <v>5007</v>
      </c>
      <c r="AI541">
        <v>13042</v>
      </c>
      <c r="AP541" t="s">
        <v>5008</v>
      </c>
      <c r="AR541">
        <v>21642</v>
      </c>
      <c r="AT541">
        <v>26570</v>
      </c>
      <c r="AV541" t="s">
        <v>5009</v>
      </c>
      <c r="AX541">
        <v>16969</v>
      </c>
      <c r="BB541" t="s">
        <v>5010</v>
      </c>
      <c r="BD541">
        <v>15417</v>
      </c>
      <c r="BF541">
        <v>18104</v>
      </c>
      <c r="BH541" t="s">
        <v>5011</v>
      </c>
      <c r="BJ541">
        <v>49425</v>
      </c>
    </row>
    <row r="542" spans="1:62">
      <c r="A542">
        <f t="shared" si="97"/>
        <v>15.358</v>
      </c>
      <c r="B542">
        <f t="shared" si="98"/>
        <v>23.395</v>
      </c>
      <c r="C542">
        <f t="shared" si="99"/>
        <v>16.256</v>
      </c>
      <c r="D542">
        <f t="shared" si="100"/>
        <v>18.577</v>
      </c>
      <c r="E542">
        <f t="shared" si="101"/>
        <v>27.48</v>
      </c>
      <c r="F542">
        <f t="shared" si="102"/>
        <v>19.097</v>
      </c>
      <c r="G542">
        <f t="shared" si="103"/>
        <v>14.04</v>
      </c>
      <c r="H542">
        <f t="shared" si="104"/>
        <v>17.77</v>
      </c>
      <c r="I542">
        <f t="shared" si="105"/>
        <v>50.517</v>
      </c>
      <c r="J542">
        <f t="shared" si="106"/>
        <v>0</v>
      </c>
      <c r="K542">
        <f t="shared" si="107"/>
        <v>0</v>
      </c>
      <c r="L542">
        <f t="shared" si="108"/>
        <v>0</v>
      </c>
      <c r="N542">
        <v>15358</v>
      </c>
      <c r="O542">
        <v>23395</v>
      </c>
      <c r="P542">
        <v>16256</v>
      </c>
      <c r="Q542">
        <v>18577</v>
      </c>
      <c r="R542">
        <v>27480</v>
      </c>
      <c r="S542">
        <v>19097</v>
      </c>
      <c r="T542">
        <v>14040</v>
      </c>
      <c r="U542">
        <v>17770</v>
      </c>
      <c r="V542">
        <v>50517</v>
      </c>
      <c r="AA542" t="s">
        <v>5012</v>
      </c>
      <c r="AC542">
        <v>14912</v>
      </c>
      <c r="AE542">
        <v>17585</v>
      </c>
      <c r="AG542" t="s">
        <v>5013</v>
      </c>
      <c r="AI542">
        <v>13076</v>
      </c>
      <c r="AP542" t="s">
        <v>5014</v>
      </c>
      <c r="AR542">
        <v>21989</v>
      </c>
      <c r="AT542">
        <v>26598</v>
      </c>
      <c r="AV542" t="s">
        <v>5015</v>
      </c>
      <c r="AX542">
        <v>16980</v>
      </c>
      <c r="BB542" t="s">
        <v>5016</v>
      </c>
      <c r="BD542">
        <v>15429</v>
      </c>
      <c r="BF542">
        <v>18318</v>
      </c>
      <c r="BH542" t="s">
        <v>5017</v>
      </c>
      <c r="BJ542">
        <v>49570</v>
      </c>
    </row>
    <row r="543" spans="1:62">
      <c r="A543">
        <f t="shared" si="97"/>
        <v>15.461</v>
      </c>
      <c r="B543">
        <f t="shared" si="98"/>
        <v>23.429</v>
      </c>
      <c r="C543">
        <f t="shared" si="99"/>
        <v>16.34</v>
      </c>
      <c r="D543">
        <f t="shared" si="100"/>
        <v>18.695</v>
      </c>
      <c r="E543">
        <f t="shared" si="101"/>
        <v>27.488</v>
      </c>
      <c r="F543">
        <f t="shared" si="102"/>
        <v>19.283</v>
      </c>
      <c r="G543">
        <f t="shared" si="103"/>
        <v>14.136</v>
      </c>
      <c r="H543">
        <f t="shared" si="104"/>
        <v>17.782</v>
      </c>
      <c r="I543">
        <f t="shared" si="105"/>
        <v>50.776</v>
      </c>
      <c r="J543">
        <f t="shared" si="106"/>
        <v>0</v>
      </c>
      <c r="K543">
        <f t="shared" si="107"/>
        <v>0</v>
      </c>
      <c r="L543">
        <f t="shared" si="108"/>
        <v>0</v>
      </c>
      <c r="N543">
        <v>15461</v>
      </c>
      <c r="O543">
        <v>23429</v>
      </c>
      <c r="P543">
        <v>16340</v>
      </c>
      <c r="Q543">
        <v>18695</v>
      </c>
      <c r="R543">
        <v>27488</v>
      </c>
      <c r="S543">
        <v>19283</v>
      </c>
      <c r="T543">
        <v>14136</v>
      </c>
      <c r="U543">
        <v>17782</v>
      </c>
      <c r="V543">
        <v>50776</v>
      </c>
      <c r="AA543" t="s">
        <v>5018</v>
      </c>
      <c r="AC543">
        <v>15012</v>
      </c>
      <c r="AE543">
        <v>17714</v>
      </c>
      <c r="AG543" t="s">
        <v>5019</v>
      </c>
      <c r="AI543">
        <v>13151</v>
      </c>
      <c r="AP543" t="s">
        <v>5020</v>
      </c>
      <c r="AR543">
        <v>22362</v>
      </c>
      <c r="AT543">
        <v>26711</v>
      </c>
      <c r="AV543" t="s">
        <v>5021</v>
      </c>
      <c r="AX543">
        <v>17199</v>
      </c>
      <c r="BB543" t="s">
        <v>5022</v>
      </c>
      <c r="BD543">
        <v>15603</v>
      </c>
      <c r="BF543">
        <v>18326</v>
      </c>
      <c r="BH543" t="s">
        <v>5023</v>
      </c>
      <c r="BJ543">
        <v>49608</v>
      </c>
    </row>
    <row r="544" spans="1:62">
      <c r="A544">
        <f t="shared" si="97"/>
        <v>15.616</v>
      </c>
      <c r="B544">
        <f t="shared" si="98"/>
        <v>23.433</v>
      </c>
      <c r="C544">
        <f t="shared" si="99"/>
        <v>16.347</v>
      </c>
      <c r="D544">
        <f t="shared" si="100"/>
        <v>18.8</v>
      </c>
      <c r="E544">
        <f t="shared" si="101"/>
        <v>27.677</v>
      </c>
      <c r="F544">
        <f t="shared" si="102"/>
        <v>19.34</v>
      </c>
      <c r="G544">
        <f t="shared" si="103"/>
        <v>14.161</v>
      </c>
      <c r="H544">
        <f t="shared" si="104"/>
        <v>17.886</v>
      </c>
      <c r="I544">
        <f t="shared" si="105"/>
        <v>50.958</v>
      </c>
      <c r="J544">
        <f t="shared" si="106"/>
        <v>0</v>
      </c>
      <c r="K544">
        <f t="shared" si="107"/>
        <v>0</v>
      </c>
      <c r="L544">
        <f t="shared" si="108"/>
        <v>0</v>
      </c>
      <c r="N544">
        <v>15616</v>
      </c>
      <c r="O544">
        <v>23433</v>
      </c>
      <c r="P544">
        <v>16347</v>
      </c>
      <c r="Q544">
        <v>18800</v>
      </c>
      <c r="R544">
        <v>27677</v>
      </c>
      <c r="S544">
        <v>19340</v>
      </c>
      <c r="T544">
        <v>14161</v>
      </c>
      <c r="U544">
        <v>17886</v>
      </c>
      <c r="V544">
        <v>50958</v>
      </c>
      <c r="AA544" t="s">
        <v>5024</v>
      </c>
      <c r="AC544">
        <v>15055</v>
      </c>
      <c r="AE544">
        <v>17938</v>
      </c>
      <c r="AG544" t="s">
        <v>5025</v>
      </c>
      <c r="AI544">
        <v>13583</v>
      </c>
      <c r="AP544" t="s">
        <v>5026</v>
      </c>
      <c r="AR544">
        <v>22760</v>
      </c>
      <c r="AT544">
        <v>26779</v>
      </c>
      <c r="AV544" t="s">
        <v>5027</v>
      </c>
      <c r="AX544">
        <v>17247</v>
      </c>
      <c r="BB544" t="s">
        <v>5028</v>
      </c>
      <c r="BD544">
        <v>15671</v>
      </c>
      <c r="BF544">
        <v>18339</v>
      </c>
      <c r="BH544" t="s">
        <v>5029</v>
      </c>
      <c r="BJ544">
        <v>49630</v>
      </c>
    </row>
    <row r="545" spans="1:62">
      <c r="A545">
        <f t="shared" si="97"/>
        <v>15.619</v>
      </c>
      <c r="B545">
        <f t="shared" si="98"/>
        <v>23.985</v>
      </c>
      <c r="C545">
        <f t="shared" si="99"/>
        <v>16.365</v>
      </c>
      <c r="D545">
        <f t="shared" si="100"/>
        <v>19.002</v>
      </c>
      <c r="E545">
        <f t="shared" si="101"/>
        <v>27.689</v>
      </c>
      <c r="F545">
        <f t="shared" si="102"/>
        <v>19.425</v>
      </c>
      <c r="G545">
        <f t="shared" si="103"/>
        <v>14.17</v>
      </c>
      <c r="H545">
        <f t="shared" si="104"/>
        <v>18.043</v>
      </c>
      <c r="I545">
        <f t="shared" si="105"/>
        <v>51.451</v>
      </c>
      <c r="J545">
        <f t="shared" si="106"/>
        <v>0</v>
      </c>
      <c r="K545">
        <f t="shared" si="107"/>
        <v>0</v>
      </c>
      <c r="L545">
        <f t="shared" si="108"/>
        <v>0</v>
      </c>
      <c r="N545">
        <v>15619</v>
      </c>
      <c r="O545">
        <v>23985</v>
      </c>
      <c r="P545">
        <v>16365</v>
      </c>
      <c r="Q545">
        <v>19002</v>
      </c>
      <c r="R545">
        <v>27689</v>
      </c>
      <c r="S545">
        <v>19425</v>
      </c>
      <c r="T545">
        <v>14170</v>
      </c>
      <c r="U545">
        <v>18043</v>
      </c>
      <c r="V545">
        <v>51451</v>
      </c>
      <c r="AA545" t="s">
        <v>5030</v>
      </c>
      <c r="AC545">
        <v>15061</v>
      </c>
      <c r="AE545">
        <v>18028</v>
      </c>
      <c r="AG545" t="s">
        <v>5031</v>
      </c>
      <c r="AI545">
        <v>13689</v>
      </c>
      <c r="AP545" t="s">
        <v>5032</v>
      </c>
      <c r="AR545">
        <v>22881</v>
      </c>
      <c r="AT545">
        <v>27196</v>
      </c>
      <c r="AV545" t="s">
        <v>5033</v>
      </c>
      <c r="AX545">
        <v>17513</v>
      </c>
      <c r="BB545" t="s">
        <v>5034</v>
      </c>
      <c r="BD545">
        <v>15686</v>
      </c>
      <c r="BF545">
        <v>18644</v>
      </c>
      <c r="BH545" t="s">
        <v>5035</v>
      </c>
      <c r="BJ545">
        <v>49941</v>
      </c>
    </row>
    <row r="546" spans="1:62">
      <c r="A546">
        <f t="shared" si="97"/>
        <v>15.999</v>
      </c>
      <c r="B546">
        <f t="shared" si="98"/>
        <v>24.181</v>
      </c>
      <c r="C546">
        <f t="shared" si="99"/>
        <v>16.367</v>
      </c>
      <c r="D546">
        <f t="shared" si="100"/>
        <v>19.131</v>
      </c>
      <c r="E546">
        <f t="shared" si="101"/>
        <v>28.322</v>
      </c>
      <c r="F546">
        <f t="shared" si="102"/>
        <v>19.616</v>
      </c>
      <c r="G546">
        <f t="shared" si="103"/>
        <v>14.192</v>
      </c>
      <c r="H546">
        <f t="shared" si="104"/>
        <v>18.135</v>
      </c>
      <c r="I546">
        <f t="shared" si="105"/>
        <v>51.652</v>
      </c>
      <c r="J546">
        <f t="shared" si="106"/>
        <v>0</v>
      </c>
      <c r="K546">
        <f t="shared" si="107"/>
        <v>0</v>
      </c>
      <c r="L546">
        <f t="shared" si="108"/>
        <v>0</v>
      </c>
      <c r="N546">
        <v>15999</v>
      </c>
      <c r="O546">
        <v>24181</v>
      </c>
      <c r="P546">
        <v>16367</v>
      </c>
      <c r="Q546">
        <v>19131</v>
      </c>
      <c r="R546">
        <v>28322</v>
      </c>
      <c r="S546">
        <v>19616</v>
      </c>
      <c r="T546">
        <v>14192</v>
      </c>
      <c r="U546">
        <v>18135</v>
      </c>
      <c r="V546">
        <v>51652</v>
      </c>
      <c r="AA546" t="s">
        <v>5036</v>
      </c>
      <c r="AC546">
        <v>15143</v>
      </c>
      <c r="AE546">
        <v>18209</v>
      </c>
      <c r="AG546" t="s">
        <v>5037</v>
      </c>
      <c r="AI546">
        <v>13709</v>
      </c>
      <c r="AP546" t="s">
        <v>5038</v>
      </c>
      <c r="AR546">
        <v>22964</v>
      </c>
      <c r="AT546">
        <v>27353</v>
      </c>
      <c r="AV546" t="s">
        <v>5039</v>
      </c>
      <c r="AX546">
        <v>17610</v>
      </c>
      <c r="BB546" t="s">
        <v>5040</v>
      </c>
      <c r="BD546">
        <v>15784</v>
      </c>
      <c r="BF546">
        <v>18669</v>
      </c>
      <c r="BH546" t="s">
        <v>5041</v>
      </c>
      <c r="BJ546">
        <v>49957</v>
      </c>
    </row>
    <row r="547" spans="1:62">
      <c r="A547">
        <f t="shared" si="97"/>
        <v>16</v>
      </c>
      <c r="B547">
        <f t="shared" si="98"/>
        <v>24.253</v>
      </c>
      <c r="C547">
        <f t="shared" si="99"/>
        <v>16.527</v>
      </c>
      <c r="D547">
        <f t="shared" si="100"/>
        <v>19.172</v>
      </c>
      <c r="E547">
        <f t="shared" si="101"/>
        <v>28.364</v>
      </c>
      <c r="F547">
        <f t="shared" si="102"/>
        <v>19.704</v>
      </c>
      <c r="G547">
        <f t="shared" si="103"/>
        <v>14.339</v>
      </c>
      <c r="H547">
        <f t="shared" si="104"/>
        <v>18.392</v>
      </c>
      <c r="I547">
        <f t="shared" si="105"/>
        <v>51.72</v>
      </c>
      <c r="J547">
        <f t="shared" si="106"/>
        <v>0</v>
      </c>
      <c r="K547">
        <f t="shared" si="107"/>
        <v>0</v>
      </c>
      <c r="L547">
        <f t="shared" si="108"/>
        <v>0</v>
      </c>
      <c r="N547">
        <v>16000</v>
      </c>
      <c r="O547">
        <v>24253</v>
      </c>
      <c r="P547">
        <v>16527</v>
      </c>
      <c r="Q547">
        <v>19172</v>
      </c>
      <c r="R547">
        <v>28364</v>
      </c>
      <c r="S547">
        <v>19704</v>
      </c>
      <c r="T547">
        <v>14339</v>
      </c>
      <c r="U547">
        <v>18392</v>
      </c>
      <c r="V547">
        <v>51720</v>
      </c>
      <c r="AA547" t="s">
        <v>5042</v>
      </c>
      <c r="AC547">
        <v>15146</v>
      </c>
      <c r="AE547">
        <v>18232</v>
      </c>
      <c r="AG547" t="s">
        <v>5043</v>
      </c>
      <c r="AI547">
        <v>13842</v>
      </c>
      <c r="AP547" t="s">
        <v>5044</v>
      </c>
      <c r="AR547">
        <v>23090</v>
      </c>
      <c r="AT547">
        <v>27380</v>
      </c>
      <c r="AV547" t="s">
        <v>5045</v>
      </c>
      <c r="AX547">
        <v>17658</v>
      </c>
      <c r="BB547" t="s">
        <v>5046</v>
      </c>
      <c r="BD547">
        <v>15889</v>
      </c>
      <c r="BF547">
        <v>18834</v>
      </c>
      <c r="BH547" t="s">
        <v>5047</v>
      </c>
      <c r="BJ547">
        <v>50114</v>
      </c>
    </row>
    <row r="548" spans="1:62">
      <c r="A548">
        <f t="shared" si="97"/>
        <v>16.068</v>
      </c>
      <c r="B548">
        <f t="shared" si="98"/>
        <v>24.306</v>
      </c>
      <c r="C548">
        <f t="shared" si="99"/>
        <v>16.542</v>
      </c>
      <c r="D548">
        <f t="shared" si="100"/>
        <v>19.521</v>
      </c>
      <c r="E548">
        <f t="shared" si="101"/>
        <v>28.537</v>
      </c>
      <c r="F548">
        <f t="shared" si="102"/>
        <v>19.751</v>
      </c>
      <c r="G548">
        <f t="shared" si="103"/>
        <v>14.374</v>
      </c>
      <c r="H548">
        <f t="shared" si="104"/>
        <v>18.834</v>
      </c>
      <c r="I548">
        <f t="shared" si="105"/>
        <v>51.749</v>
      </c>
      <c r="J548">
        <f t="shared" si="106"/>
        <v>0</v>
      </c>
      <c r="K548">
        <f t="shared" si="107"/>
        <v>0</v>
      </c>
      <c r="L548">
        <f t="shared" si="108"/>
        <v>0</v>
      </c>
      <c r="N548">
        <v>16068</v>
      </c>
      <c r="O548">
        <v>24306</v>
      </c>
      <c r="P548">
        <v>16542</v>
      </c>
      <c r="Q548">
        <v>19521</v>
      </c>
      <c r="R548">
        <v>28537</v>
      </c>
      <c r="S548">
        <v>19751</v>
      </c>
      <c r="T548">
        <v>14374</v>
      </c>
      <c r="U548">
        <v>18834</v>
      </c>
      <c r="V548">
        <v>51749</v>
      </c>
      <c r="AA548" t="s">
        <v>5048</v>
      </c>
      <c r="AC548">
        <v>15181</v>
      </c>
      <c r="AE548">
        <v>18448</v>
      </c>
      <c r="AG548" t="s">
        <v>5049</v>
      </c>
      <c r="AI548">
        <v>13843</v>
      </c>
      <c r="AP548" t="s">
        <v>5050</v>
      </c>
      <c r="AR548">
        <v>23196</v>
      </c>
      <c r="AT548">
        <v>27480</v>
      </c>
      <c r="AV548" t="s">
        <v>5051</v>
      </c>
      <c r="AX548">
        <v>17726</v>
      </c>
      <c r="BB548" t="s">
        <v>5052</v>
      </c>
      <c r="BD548">
        <v>15935</v>
      </c>
      <c r="BF548">
        <v>18886</v>
      </c>
      <c r="BH548" t="s">
        <v>5053</v>
      </c>
      <c r="BJ548">
        <v>50345</v>
      </c>
    </row>
    <row r="549" spans="1:62">
      <c r="A549">
        <f t="shared" si="97"/>
        <v>16.221</v>
      </c>
      <c r="B549">
        <f t="shared" si="98"/>
        <v>25.19</v>
      </c>
      <c r="C549">
        <f t="shared" si="99"/>
        <v>16.84</v>
      </c>
      <c r="D549">
        <f t="shared" si="100"/>
        <v>19.669</v>
      </c>
      <c r="E549">
        <f t="shared" si="101"/>
        <v>28.696</v>
      </c>
      <c r="F549">
        <f t="shared" si="102"/>
        <v>19.83</v>
      </c>
      <c r="G549">
        <f t="shared" si="103"/>
        <v>14.53</v>
      </c>
      <c r="H549">
        <f t="shared" si="104"/>
        <v>19.008</v>
      </c>
      <c r="I549">
        <f t="shared" si="105"/>
        <v>51.923</v>
      </c>
      <c r="J549">
        <f t="shared" si="106"/>
        <v>0</v>
      </c>
      <c r="K549">
        <f t="shared" si="107"/>
        <v>0</v>
      </c>
      <c r="L549">
        <f t="shared" si="108"/>
        <v>0</v>
      </c>
      <c r="N549">
        <v>16221</v>
      </c>
      <c r="O549">
        <v>25190</v>
      </c>
      <c r="P549">
        <v>16840</v>
      </c>
      <c r="Q549">
        <v>19669</v>
      </c>
      <c r="R549">
        <v>28696</v>
      </c>
      <c r="S549">
        <v>19830</v>
      </c>
      <c r="T549">
        <v>14530</v>
      </c>
      <c r="U549">
        <v>19008</v>
      </c>
      <c r="V549">
        <v>51923</v>
      </c>
      <c r="AA549" t="s">
        <v>5054</v>
      </c>
      <c r="AC549">
        <v>15253</v>
      </c>
      <c r="AE549">
        <v>18458</v>
      </c>
      <c r="AG549" t="s">
        <v>5055</v>
      </c>
      <c r="AI549">
        <v>13989</v>
      </c>
      <c r="AP549" t="s">
        <v>5056</v>
      </c>
      <c r="AR549">
        <v>23395</v>
      </c>
      <c r="AT549">
        <v>27480</v>
      </c>
      <c r="AV549" t="s">
        <v>5057</v>
      </c>
      <c r="AX549">
        <v>17770</v>
      </c>
      <c r="BB549" t="s">
        <v>5058</v>
      </c>
      <c r="BD549">
        <v>16240</v>
      </c>
      <c r="BF549">
        <v>19058</v>
      </c>
      <c r="BH549" t="s">
        <v>5059</v>
      </c>
      <c r="BJ549">
        <v>50420</v>
      </c>
    </row>
    <row r="550" spans="1:62">
      <c r="A550">
        <f t="shared" si="97"/>
        <v>16.329</v>
      </c>
      <c r="B550">
        <f t="shared" si="98"/>
        <v>25.389</v>
      </c>
      <c r="C550">
        <f t="shared" si="99"/>
        <v>16.912</v>
      </c>
      <c r="D550">
        <f t="shared" si="100"/>
        <v>19.805</v>
      </c>
      <c r="E550">
        <f t="shared" si="101"/>
        <v>28.81</v>
      </c>
      <c r="F550">
        <f t="shared" si="102"/>
        <v>19.958</v>
      </c>
      <c r="G550">
        <f t="shared" si="103"/>
        <v>14.584</v>
      </c>
      <c r="H550">
        <f t="shared" si="104"/>
        <v>19.159</v>
      </c>
      <c r="I550">
        <f t="shared" si="105"/>
        <v>51.982</v>
      </c>
      <c r="J550">
        <f t="shared" si="106"/>
        <v>0</v>
      </c>
      <c r="K550">
        <f t="shared" si="107"/>
        <v>0</v>
      </c>
      <c r="L550">
        <f t="shared" si="108"/>
        <v>0</v>
      </c>
      <c r="N550">
        <v>16329</v>
      </c>
      <c r="O550">
        <v>25389</v>
      </c>
      <c r="P550">
        <v>16912</v>
      </c>
      <c r="Q550">
        <v>19805</v>
      </c>
      <c r="R550">
        <v>28810</v>
      </c>
      <c r="S550">
        <v>19958</v>
      </c>
      <c r="T550">
        <v>14584</v>
      </c>
      <c r="U550">
        <v>19159</v>
      </c>
      <c r="V550">
        <v>51982</v>
      </c>
      <c r="AA550" t="s">
        <v>5060</v>
      </c>
      <c r="AC550">
        <v>15358</v>
      </c>
      <c r="AE550">
        <v>18577</v>
      </c>
      <c r="AG550" t="s">
        <v>5061</v>
      </c>
      <c r="AI550">
        <v>14040</v>
      </c>
      <c r="AP550" t="s">
        <v>5062</v>
      </c>
      <c r="AR550">
        <v>23429</v>
      </c>
      <c r="AT550">
        <v>27488</v>
      </c>
      <c r="AV550" t="s">
        <v>5063</v>
      </c>
      <c r="AX550">
        <v>17782</v>
      </c>
      <c r="BB550" t="s">
        <v>5064</v>
      </c>
      <c r="BD550">
        <v>16256</v>
      </c>
      <c r="BF550">
        <v>19097</v>
      </c>
      <c r="BH550" t="s">
        <v>5065</v>
      </c>
      <c r="BJ550">
        <v>50517</v>
      </c>
    </row>
    <row r="551" spans="1:62">
      <c r="A551">
        <f t="shared" si="97"/>
        <v>16.33</v>
      </c>
      <c r="B551">
        <f t="shared" si="98"/>
        <v>25.434</v>
      </c>
      <c r="C551">
        <f t="shared" si="99"/>
        <v>17.03</v>
      </c>
      <c r="D551">
        <f t="shared" si="100"/>
        <v>19.925</v>
      </c>
      <c r="E551">
        <f t="shared" si="101"/>
        <v>29.271</v>
      </c>
      <c r="F551">
        <f t="shared" si="102"/>
        <v>19.985</v>
      </c>
      <c r="G551">
        <f t="shared" si="103"/>
        <v>14.713</v>
      </c>
      <c r="H551">
        <f t="shared" si="104"/>
        <v>19.162</v>
      </c>
      <c r="I551">
        <f t="shared" si="105"/>
        <v>52.13</v>
      </c>
      <c r="J551">
        <f t="shared" si="106"/>
        <v>0</v>
      </c>
      <c r="K551">
        <f t="shared" si="107"/>
        <v>0</v>
      </c>
      <c r="L551">
        <f t="shared" si="108"/>
        <v>0</v>
      </c>
      <c r="N551">
        <v>16330</v>
      </c>
      <c r="O551">
        <v>25434</v>
      </c>
      <c r="P551">
        <v>17030</v>
      </c>
      <c r="Q551">
        <v>19925</v>
      </c>
      <c r="R551">
        <v>29271</v>
      </c>
      <c r="S551">
        <v>19985</v>
      </c>
      <c r="T551">
        <v>14713</v>
      </c>
      <c r="U551">
        <v>19162</v>
      </c>
      <c r="V551">
        <v>52130</v>
      </c>
      <c r="AA551" t="s">
        <v>5066</v>
      </c>
      <c r="AC551">
        <v>15461</v>
      </c>
      <c r="AE551">
        <v>18695</v>
      </c>
      <c r="AG551" t="s">
        <v>5067</v>
      </c>
      <c r="AI551">
        <v>14136</v>
      </c>
      <c r="AP551" t="s">
        <v>5068</v>
      </c>
      <c r="AR551">
        <v>23433</v>
      </c>
      <c r="AT551">
        <v>27677</v>
      </c>
      <c r="AV551" t="s">
        <v>5069</v>
      </c>
      <c r="AX551">
        <v>17886</v>
      </c>
      <c r="BB551" t="s">
        <v>5070</v>
      </c>
      <c r="BD551">
        <v>16340</v>
      </c>
      <c r="BF551">
        <v>19283</v>
      </c>
      <c r="BH551" t="s">
        <v>5071</v>
      </c>
      <c r="BJ551">
        <v>50776</v>
      </c>
    </row>
    <row r="552" spans="1:62">
      <c r="A552">
        <f t="shared" si="97"/>
        <v>16.362</v>
      </c>
      <c r="B552">
        <f t="shared" si="98"/>
        <v>25.489</v>
      </c>
      <c r="C552">
        <f t="shared" si="99"/>
        <v>17.075</v>
      </c>
      <c r="D552">
        <f t="shared" si="100"/>
        <v>19.994</v>
      </c>
      <c r="E552">
        <f t="shared" si="101"/>
        <v>29.4</v>
      </c>
      <c r="F552">
        <f t="shared" si="102"/>
        <v>20.38</v>
      </c>
      <c r="G552">
        <f t="shared" si="103"/>
        <v>14.726</v>
      </c>
      <c r="H552">
        <f t="shared" si="104"/>
        <v>19.495</v>
      </c>
      <c r="I552">
        <f t="shared" si="105"/>
        <v>52.233</v>
      </c>
      <c r="J552">
        <f t="shared" si="106"/>
        <v>0</v>
      </c>
      <c r="K552">
        <f t="shared" si="107"/>
        <v>0</v>
      </c>
      <c r="L552">
        <f t="shared" si="108"/>
        <v>0</v>
      </c>
      <c r="N552">
        <v>16362</v>
      </c>
      <c r="O552">
        <v>25489</v>
      </c>
      <c r="P552">
        <v>17075</v>
      </c>
      <c r="Q552">
        <v>19994</v>
      </c>
      <c r="R552">
        <v>29400</v>
      </c>
      <c r="S552">
        <v>20380</v>
      </c>
      <c r="T552">
        <v>14726</v>
      </c>
      <c r="U552">
        <v>19495</v>
      </c>
      <c r="V552">
        <v>52233</v>
      </c>
      <c r="AA552" t="s">
        <v>5072</v>
      </c>
      <c r="AC552">
        <v>15616</v>
      </c>
      <c r="AE552">
        <v>18800</v>
      </c>
      <c r="AG552" t="s">
        <v>5073</v>
      </c>
      <c r="AI552">
        <v>14161</v>
      </c>
      <c r="AP552" t="s">
        <v>5074</v>
      </c>
      <c r="AR552">
        <v>23985</v>
      </c>
      <c r="AT552">
        <v>27689</v>
      </c>
      <c r="AV552" t="s">
        <v>5075</v>
      </c>
      <c r="AX552">
        <v>18043</v>
      </c>
      <c r="BB552" t="s">
        <v>5076</v>
      </c>
      <c r="BD552">
        <v>16347</v>
      </c>
      <c r="BF552">
        <v>19340</v>
      </c>
      <c r="BH552" t="s">
        <v>5077</v>
      </c>
      <c r="BJ552">
        <v>50958</v>
      </c>
    </row>
    <row r="553" spans="1:62">
      <c r="A553">
        <f t="shared" si="97"/>
        <v>16.38</v>
      </c>
      <c r="B553">
        <f t="shared" si="98"/>
        <v>25.63</v>
      </c>
      <c r="C553">
        <f t="shared" si="99"/>
        <v>17.246</v>
      </c>
      <c r="D553">
        <f t="shared" si="100"/>
        <v>20.386</v>
      </c>
      <c r="E553">
        <f t="shared" si="101"/>
        <v>29.417</v>
      </c>
      <c r="F553">
        <f t="shared" si="102"/>
        <v>20.583</v>
      </c>
      <c r="G553">
        <f t="shared" si="103"/>
        <v>14.736</v>
      </c>
      <c r="H553">
        <f t="shared" si="104"/>
        <v>19.602</v>
      </c>
      <c r="I553">
        <f t="shared" si="105"/>
        <v>52.259</v>
      </c>
      <c r="J553">
        <f t="shared" si="106"/>
        <v>0</v>
      </c>
      <c r="K553">
        <f t="shared" si="107"/>
        <v>0</v>
      </c>
      <c r="L553">
        <f t="shared" si="108"/>
        <v>0</v>
      </c>
      <c r="N553">
        <v>16380</v>
      </c>
      <c r="O553">
        <v>25630</v>
      </c>
      <c r="P553">
        <v>17246</v>
      </c>
      <c r="Q553">
        <v>20386</v>
      </c>
      <c r="R553">
        <v>29417</v>
      </c>
      <c r="S553">
        <v>20583</v>
      </c>
      <c r="T553">
        <v>14736</v>
      </c>
      <c r="U553">
        <v>19602</v>
      </c>
      <c r="V553">
        <v>52259</v>
      </c>
      <c r="AA553" t="s">
        <v>5078</v>
      </c>
      <c r="AC553">
        <v>15619</v>
      </c>
      <c r="AE553">
        <v>19002</v>
      </c>
      <c r="AG553" t="s">
        <v>5079</v>
      </c>
      <c r="AI553">
        <v>14170</v>
      </c>
      <c r="AP553" t="s">
        <v>5080</v>
      </c>
      <c r="AR553">
        <v>24181</v>
      </c>
      <c r="AT553">
        <v>28322</v>
      </c>
      <c r="AV553" t="s">
        <v>5081</v>
      </c>
      <c r="AX553">
        <v>18135</v>
      </c>
      <c r="BB553" t="s">
        <v>5082</v>
      </c>
      <c r="BD553">
        <v>16365</v>
      </c>
      <c r="BF553">
        <v>19425</v>
      </c>
      <c r="BH553" t="s">
        <v>5083</v>
      </c>
      <c r="BJ553">
        <v>51451</v>
      </c>
    </row>
    <row r="554" spans="1:62">
      <c r="A554">
        <f t="shared" si="97"/>
        <v>16.471</v>
      </c>
      <c r="B554">
        <f t="shared" si="98"/>
        <v>25.69</v>
      </c>
      <c r="C554">
        <f t="shared" si="99"/>
        <v>17.274</v>
      </c>
      <c r="D554">
        <f t="shared" si="100"/>
        <v>20.705</v>
      </c>
      <c r="E554">
        <f t="shared" si="101"/>
        <v>29.584</v>
      </c>
      <c r="F554">
        <f t="shared" si="102"/>
        <v>20.596</v>
      </c>
      <c r="G554">
        <f t="shared" si="103"/>
        <v>15.014</v>
      </c>
      <c r="H554">
        <f t="shared" si="104"/>
        <v>20.476</v>
      </c>
      <c r="I554">
        <f t="shared" si="105"/>
        <v>52.526</v>
      </c>
      <c r="J554">
        <f t="shared" si="106"/>
        <v>0</v>
      </c>
      <c r="K554">
        <f t="shared" si="107"/>
        <v>0</v>
      </c>
      <c r="L554">
        <f t="shared" si="108"/>
        <v>0</v>
      </c>
      <c r="N554">
        <v>16471</v>
      </c>
      <c r="O554">
        <v>25690</v>
      </c>
      <c r="P554">
        <v>17274</v>
      </c>
      <c r="Q554">
        <v>20705</v>
      </c>
      <c r="R554">
        <v>29584</v>
      </c>
      <c r="S554">
        <v>20596</v>
      </c>
      <c r="T554">
        <v>15014</v>
      </c>
      <c r="U554">
        <v>20476</v>
      </c>
      <c r="V554">
        <v>52526</v>
      </c>
      <c r="AA554" t="s">
        <v>5084</v>
      </c>
      <c r="AC554">
        <v>15999</v>
      </c>
      <c r="AE554">
        <v>19131</v>
      </c>
      <c r="AG554" t="s">
        <v>5085</v>
      </c>
      <c r="AI554">
        <v>14192</v>
      </c>
      <c r="AP554" t="s">
        <v>5086</v>
      </c>
      <c r="AR554">
        <v>24253</v>
      </c>
      <c r="AT554">
        <v>28364</v>
      </c>
      <c r="AV554" t="s">
        <v>5087</v>
      </c>
      <c r="AX554">
        <v>18392</v>
      </c>
      <c r="BB554" t="s">
        <v>5088</v>
      </c>
      <c r="BD554">
        <v>16367</v>
      </c>
      <c r="BF554">
        <v>19616</v>
      </c>
      <c r="BH554" t="s">
        <v>5089</v>
      </c>
      <c r="BJ554">
        <v>51652</v>
      </c>
    </row>
    <row r="555" spans="1:62">
      <c r="A555">
        <f t="shared" si="97"/>
        <v>16.635</v>
      </c>
      <c r="B555">
        <f t="shared" si="98"/>
        <v>25.805</v>
      </c>
      <c r="C555">
        <f t="shared" si="99"/>
        <v>17.295</v>
      </c>
      <c r="D555">
        <f t="shared" si="100"/>
        <v>20.924</v>
      </c>
      <c r="E555">
        <f t="shared" si="101"/>
        <v>29.585</v>
      </c>
      <c r="F555">
        <f t="shared" si="102"/>
        <v>21.189</v>
      </c>
      <c r="G555">
        <f t="shared" si="103"/>
        <v>15.033</v>
      </c>
      <c r="H555">
        <f t="shared" si="104"/>
        <v>20.599</v>
      </c>
      <c r="I555">
        <f t="shared" si="105"/>
        <v>52.531</v>
      </c>
      <c r="J555">
        <f t="shared" si="106"/>
        <v>0</v>
      </c>
      <c r="K555">
        <f t="shared" si="107"/>
        <v>0</v>
      </c>
      <c r="L555">
        <f t="shared" si="108"/>
        <v>0</v>
      </c>
      <c r="N555">
        <v>16635</v>
      </c>
      <c r="O555">
        <v>25805</v>
      </c>
      <c r="P555">
        <v>17295</v>
      </c>
      <c r="Q555">
        <v>20924</v>
      </c>
      <c r="R555">
        <v>29585</v>
      </c>
      <c r="S555">
        <v>21189</v>
      </c>
      <c r="T555">
        <v>15033</v>
      </c>
      <c r="U555">
        <v>20599</v>
      </c>
      <c r="V555">
        <v>52531</v>
      </c>
      <c r="AA555" t="s">
        <v>5090</v>
      </c>
      <c r="AC555">
        <v>16000</v>
      </c>
      <c r="AE555">
        <v>19172</v>
      </c>
      <c r="AG555" t="s">
        <v>5091</v>
      </c>
      <c r="AI555">
        <v>14339</v>
      </c>
      <c r="AP555" t="s">
        <v>5092</v>
      </c>
      <c r="AR555">
        <v>24306</v>
      </c>
      <c r="AT555">
        <v>28537</v>
      </c>
      <c r="AV555" t="s">
        <v>5093</v>
      </c>
      <c r="AX555">
        <v>18834</v>
      </c>
      <c r="BB555" t="s">
        <v>5094</v>
      </c>
      <c r="BD555">
        <v>16527</v>
      </c>
      <c r="BF555">
        <v>19704</v>
      </c>
      <c r="BH555" t="s">
        <v>5095</v>
      </c>
      <c r="BJ555">
        <v>51720</v>
      </c>
    </row>
    <row r="556" spans="1:62">
      <c r="A556">
        <f t="shared" si="97"/>
        <v>16.743</v>
      </c>
      <c r="B556">
        <f t="shared" si="98"/>
        <v>25.905</v>
      </c>
      <c r="C556">
        <f t="shared" si="99"/>
        <v>17.384</v>
      </c>
      <c r="D556">
        <f t="shared" si="100"/>
        <v>21.12</v>
      </c>
      <c r="E556">
        <f t="shared" si="101"/>
        <v>29.949</v>
      </c>
      <c r="F556">
        <f t="shared" si="102"/>
        <v>21.547</v>
      </c>
      <c r="G556">
        <f t="shared" si="103"/>
        <v>15.187</v>
      </c>
      <c r="H556">
        <f t="shared" si="104"/>
        <v>20.804</v>
      </c>
      <c r="I556">
        <f t="shared" si="105"/>
        <v>52.732</v>
      </c>
      <c r="J556">
        <f t="shared" si="106"/>
        <v>0</v>
      </c>
      <c r="K556">
        <f t="shared" si="107"/>
        <v>0</v>
      </c>
      <c r="L556">
        <f t="shared" si="108"/>
        <v>0</v>
      </c>
      <c r="N556">
        <v>16743</v>
      </c>
      <c r="O556">
        <v>25905</v>
      </c>
      <c r="P556">
        <v>17384</v>
      </c>
      <c r="Q556">
        <v>21120</v>
      </c>
      <c r="R556">
        <v>29949</v>
      </c>
      <c r="S556">
        <v>21547</v>
      </c>
      <c r="T556">
        <v>15187</v>
      </c>
      <c r="U556">
        <v>20804</v>
      </c>
      <c r="V556">
        <v>52732</v>
      </c>
      <c r="AA556" t="s">
        <v>5096</v>
      </c>
      <c r="AC556">
        <v>16068</v>
      </c>
      <c r="AE556">
        <v>19521</v>
      </c>
      <c r="AG556" t="s">
        <v>5097</v>
      </c>
      <c r="AI556">
        <v>14374</v>
      </c>
      <c r="AP556" t="s">
        <v>5098</v>
      </c>
      <c r="AR556">
        <v>25190</v>
      </c>
      <c r="AT556">
        <v>28696</v>
      </c>
      <c r="AV556" t="s">
        <v>5099</v>
      </c>
      <c r="AX556">
        <v>19008</v>
      </c>
      <c r="BB556" t="s">
        <v>5100</v>
      </c>
      <c r="BD556">
        <v>16542</v>
      </c>
      <c r="BF556">
        <v>19751</v>
      </c>
      <c r="BH556" t="s">
        <v>5101</v>
      </c>
      <c r="BJ556">
        <v>51749</v>
      </c>
    </row>
    <row r="557" spans="1:62">
      <c r="A557">
        <f t="shared" si="97"/>
        <v>16.748</v>
      </c>
      <c r="B557">
        <f t="shared" si="98"/>
        <v>26.124</v>
      </c>
      <c r="C557">
        <f t="shared" si="99"/>
        <v>17.422</v>
      </c>
      <c r="D557">
        <f t="shared" si="100"/>
        <v>21.166</v>
      </c>
      <c r="E557">
        <f t="shared" si="101"/>
        <v>30.847</v>
      </c>
      <c r="F557">
        <f t="shared" si="102"/>
        <v>21.67</v>
      </c>
      <c r="G557">
        <f t="shared" si="103"/>
        <v>15.246</v>
      </c>
      <c r="H557">
        <f t="shared" si="104"/>
        <v>20.978</v>
      </c>
      <c r="I557">
        <f t="shared" si="105"/>
        <v>52.797</v>
      </c>
      <c r="J557">
        <f t="shared" si="106"/>
        <v>0</v>
      </c>
      <c r="K557">
        <f t="shared" si="107"/>
        <v>0</v>
      </c>
      <c r="L557">
        <f t="shared" si="108"/>
        <v>0</v>
      </c>
      <c r="N557">
        <v>16748</v>
      </c>
      <c r="O557">
        <v>26124</v>
      </c>
      <c r="P557">
        <v>17422</v>
      </c>
      <c r="Q557">
        <v>21166</v>
      </c>
      <c r="R557">
        <v>30847</v>
      </c>
      <c r="S557">
        <v>21670</v>
      </c>
      <c r="T557">
        <v>15246</v>
      </c>
      <c r="U557">
        <v>20978</v>
      </c>
      <c r="V557">
        <v>52797</v>
      </c>
      <c r="AA557" t="s">
        <v>5102</v>
      </c>
      <c r="AC557">
        <v>16221</v>
      </c>
      <c r="AE557">
        <v>19669</v>
      </c>
      <c r="AG557" t="s">
        <v>5103</v>
      </c>
      <c r="AI557">
        <v>14530</v>
      </c>
      <c r="AP557" t="s">
        <v>5104</v>
      </c>
      <c r="AR557">
        <v>25389</v>
      </c>
      <c r="AT557">
        <v>28810</v>
      </c>
      <c r="AV557" t="s">
        <v>5105</v>
      </c>
      <c r="AX557">
        <v>19159</v>
      </c>
      <c r="BB557" t="s">
        <v>5106</v>
      </c>
      <c r="BD557">
        <v>16840</v>
      </c>
      <c r="BF557">
        <v>19830</v>
      </c>
      <c r="BH557" t="s">
        <v>5107</v>
      </c>
      <c r="BJ557">
        <v>51923</v>
      </c>
    </row>
    <row r="558" spans="1:62">
      <c r="A558">
        <f t="shared" si="97"/>
        <v>16.872</v>
      </c>
      <c r="B558">
        <f t="shared" si="98"/>
        <v>26.134</v>
      </c>
      <c r="C558">
        <f t="shared" si="99"/>
        <v>17.433</v>
      </c>
      <c r="D558">
        <f t="shared" si="100"/>
        <v>21.18</v>
      </c>
      <c r="E558">
        <f t="shared" si="101"/>
        <v>30.976</v>
      </c>
      <c r="F558">
        <f t="shared" si="102"/>
        <v>22.371</v>
      </c>
      <c r="G558">
        <f t="shared" si="103"/>
        <v>15.265</v>
      </c>
      <c r="H558">
        <f t="shared" si="104"/>
        <v>20.987</v>
      </c>
      <c r="I558">
        <f t="shared" si="105"/>
        <v>52.897</v>
      </c>
      <c r="J558">
        <f t="shared" si="106"/>
        <v>0</v>
      </c>
      <c r="K558">
        <f t="shared" si="107"/>
        <v>0</v>
      </c>
      <c r="L558">
        <f t="shared" si="108"/>
        <v>0</v>
      </c>
      <c r="N558">
        <v>16872</v>
      </c>
      <c r="O558">
        <v>26134</v>
      </c>
      <c r="P558">
        <v>17433</v>
      </c>
      <c r="Q558">
        <v>21180</v>
      </c>
      <c r="R558">
        <v>30976</v>
      </c>
      <c r="S558">
        <v>22371</v>
      </c>
      <c r="T558">
        <v>15265</v>
      </c>
      <c r="U558">
        <v>20987</v>
      </c>
      <c r="V558">
        <v>52897</v>
      </c>
      <c r="AA558" t="s">
        <v>5108</v>
      </c>
      <c r="AC558">
        <v>16329</v>
      </c>
      <c r="AE558">
        <v>19805</v>
      </c>
      <c r="AG558" t="s">
        <v>5109</v>
      </c>
      <c r="AI558">
        <v>14584</v>
      </c>
      <c r="AP558" t="s">
        <v>5110</v>
      </c>
      <c r="AR558">
        <v>25434</v>
      </c>
      <c r="AT558">
        <v>29271</v>
      </c>
      <c r="AV558" t="s">
        <v>5111</v>
      </c>
      <c r="AX558">
        <v>19162</v>
      </c>
      <c r="BB558" t="s">
        <v>5112</v>
      </c>
      <c r="BD558">
        <v>16912</v>
      </c>
      <c r="BF558">
        <v>19958</v>
      </c>
      <c r="BH558" t="s">
        <v>5113</v>
      </c>
      <c r="BJ558">
        <v>51982</v>
      </c>
    </row>
    <row r="559" spans="1:62">
      <c r="A559">
        <f t="shared" si="97"/>
        <v>16.882</v>
      </c>
      <c r="B559">
        <f t="shared" si="98"/>
        <v>26.151</v>
      </c>
      <c r="C559">
        <f t="shared" si="99"/>
        <v>17.624</v>
      </c>
      <c r="D559">
        <f t="shared" si="100"/>
        <v>21.225</v>
      </c>
      <c r="E559">
        <f t="shared" si="101"/>
        <v>31.743</v>
      </c>
      <c r="F559">
        <f t="shared" si="102"/>
        <v>22.989</v>
      </c>
      <c r="G559">
        <f t="shared" si="103"/>
        <v>15.458</v>
      </c>
      <c r="H559">
        <f t="shared" si="104"/>
        <v>21.101</v>
      </c>
      <c r="I559">
        <f t="shared" si="105"/>
        <v>53.088</v>
      </c>
      <c r="J559">
        <f t="shared" si="106"/>
        <v>0</v>
      </c>
      <c r="K559">
        <f t="shared" si="107"/>
        <v>0</v>
      </c>
      <c r="L559">
        <f t="shared" si="108"/>
        <v>0</v>
      </c>
      <c r="N559">
        <v>16882</v>
      </c>
      <c r="O559">
        <v>26151</v>
      </c>
      <c r="P559">
        <v>17624</v>
      </c>
      <c r="Q559">
        <v>21225</v>
      </c>
      <c r="R559">
        <v>31743</v>
      </c>
      <c r="S559">
        <v>22989</v>
      </c>
      <c r="T559">
        <v>15458</v>
      </c>
      <c r="U559">
        <v>21101</v>
      </c>
      <c r="V559">
        <v>53088</v>
      </c>
      <c r="AA559" t="s">
        <v>5114</v>
      </c>
      <c r="AC559">
        <v>16330</v>
      </c>
      <c r="AE559">
        <v>19925</v>
      </c>
      <c r="AG559" t="s">
        <v>5115</v>
      </c>
      <c r="AI559">
        <v>14713</v>
      </c>
      <c r="AP559" t="s">
        <v>5116</v>
      </c>
      <c r="AR559">
        <v>25489</v>
      </c>
      <c r="AT559">
        <v>29400</v>
      </c>
      <c r="AV559" t="s">
        <v>5117</v>
      </c>
      <c r="AX559">
        <v>19495</v>
      </c>
      <c r="BB559" t="s">
        <v>5118</v>
      </c>
      <c r="BD559">
        <v>17030</v>
      </c>
      <c r="BF559">
        <v>19985</v>
      </c>
      <c r="BH559" t="s">
        <v>5119</v>
      </c>
      <c r="BJ559">
        <v>52130</v>
      </c>
    </row>
    <row r="560" spans="1:62">
      <c r="A560">
        <f t="shared" si="97"/>
        <v>16.923</v>
      </c>
      <c r="B560">
        <f t="shared" si="98"/>
        <v>26.241</v>
      </c>
      <c r="C560">
        <f t="shared" si="99"/>
        <v>18.033</v>
      </c>
      <c r="D560">
        <f t="shared" si="100"/>
        <v>21.292</v>
      </c>
      <c r="E560">
        <f t="shared" si="101"/>
        <v>33.101</v>
      </c>
      <c r="F560">
        <f t="shared" si="102"/>
        <v>23.107</v>
      </c>
      <c r="G560">
        <f t="shared" si="103"/>
        <v>15.52</v>
      </c>
      <c r="H560">
        <f t="shared" si="104"/>
        <v>21.699</v>
      </c>
      <c r="I560">
        <f t="shared" si="105"/>
        <v>53.137</v>
      </c>
      <c r="J560">
        <f t="shared" si="106"/>
        <v>0</v>
      </c>
      <c r="K560">
        <f t="shared" si="107"/>
        <v>0</v>
      </c>
      <c r="L560">
        <f t="shared" si="108"/>
        <v>0</v>
      </c>
      <c r="N560">
        <v>16923</v>
      </c>
      <c r="O560">
        <v>26241</v>
      </c>
      <c r="P560">
        <v>18033</v>
      </c>
      <c r="Q560">
        <v>21292</v>
      </c>
      <c r="R560">
        <v>33101</v>
      </c>
      <c r="S560">
        <v>23107</v>
      </c>
      <c r="T560">
        <v>15520</v>
      </c>
      <c r="U560">
        <v>21699</v>
      </c>
      <c r="V560">
        <v>53137</v>
      </c>
      <c r="AA560" t="s">
        <v>5120</v>
      </c>
      <c r="AC560">
        <v>16362</v>
      </c>
      <c r="AE560">
        <v>19994</v>
      </c>
      <c r="AG560" t="s">
        <v>5121</v>
      </c>
      <c r="AI560">
        <v>14726</v>
      </c>
      <c r="AP560" t="s">
        <v>5122</v>
      </c>
      <c r="AR560">
        <v>25630</v>
      </c>
      <c r="AT560">
        <v>29417</v>
      </c>
      <c r="AV560" t="s">
        <v>5123</v>
      </c>
      <c r="AX560">
        <v>19602</v>
      </c>
      <c r="BB560" t="s">
        <v>5124</v>
      </c>
      <c r="BD560">
        <v>17075</v>
      </c>
      <c r="BF560">
        <v>20380</v>
      </c>
      <c r="BH560" t="s">
        <v>5125</v>
      </c>
      <c r="BJ560">
        <v>52233</v>
      </c>
    </row>
    <row r="561" spans="1:62">
      <c r="A561">
        <f t="shared" si="97"/>
        <v>17.102</v>
      </c>
      <c r="B561">
        <f t="shared" si="98"/>
        <v>26.241</v>
      </c>
      <c r="C561">
        <f t="shared" si="99"/>
        <v>18.051</v>
      </c>
      <c r="D561">
        <f t="shared" si="100"/>
        <v>21.674</v>
      </c>
      <c r="E561">
        <f t="shared" si="101"/>
        <v>34.189</v>
      </c>
      <c r="F561">
        <f t="shared" si="102"/>
        <v>23.332</v>
      </c>
      <c r="G561">
        <f t="shared" si="103"/>
        <v>15.777</v>
      </c>
      <c r="H561">
        <f t="shared" si="104"/>
        <v>21.795</v>
      </c>
      <c r="I561">
        <f t="shared" si="105"/>
        <v>53.215</v>
      </c>
      <c r="J561">
        <f t="shared" si="106"/>
        <v>0</v>
      </c>
      <c r="K561">
        <f t="shared" si="107"/>
        <v>0</v>
      </c>
      <c r="L561">
        <f t="shared" si="108"/>
        <v>0</v>
      </c>
      <c r="N561">
        <v>17102</v>
      </c>
      <c r="O561">
        <v>26241</v>
      </c>
      <c r="P561">
        <v>18051</v>
      </c>
      <c r="Q561">
        <v>21674</v>
      </c>
      <c r="R561">
        <v>34189</v>
      </c>
      <c r="S561">
        <v>23332</v>
      </c>
      <c r="T561">
        <v>15777</v>
      </c>
      <c r="U561">
        <v>21795</v>
      </c>
      <c r="V561">
        <v>53215</v>
      </c>
      <c r="AA561" t="s">
        <v>5126</v>
      </c>
      <c r="AC561">
        <v>16380</v>
      </c>
      <c r="AE561">
        <v>20386</v>
      </c>
      <c r="AG561" t="s">
        <v>5127</v>
      </c>
      <c r="AI561">
        <v>14736</v>
      </c>
      <c r="AP561" t="s">
        <v>5128</v>
      </c>
      <c r="AR561">
        <v>25690</v>
      </c>
      <c r="AT561">
        <v>29584</v>
      </c>
      <c r="AV561" t="s">
        <v>5129</v>
      </c>
      <c r="AX561">
        <v>20476</v>
      </c>
      <c r="BB561" t="s">
        <v>5130</v>
      </c>
      <c r="BD561">
        <v>17246</v>
      </c>
      <c r="BF561">
        <v>20583</v>
      </c>
      <c r="BH561" t="s">
        <v>5131</v>
      </c>
      <c r="BJ561">
        <v>52259</v>
      </c>
    </row>
    <row r="562" spans="1:62">
      <c r="A562">
        <f t="shared" si="97"/>
        <v>17.344</v>
      </c>
      <c r="B562">
        <f t="shared" si="98"/>
        <v>26.308</v>
      </c>
      <c r="C562">
        <f t="shared" si="99"/>
        <v>18.104</v>
      </c>
      <c r="D562">
        <f t="shared" si="100"/>
        <v>21.897</v>
      </c>
      <c r="E562">
        <f t="shared" si="101"/>
        <v>34.717</v>
      </c>
      <c r="F562">
        <f t="shared" si="102"/>
        <v>23.425</v>
      </c>
      <c r="G562">
        <f t="shared" si="103"/>
        <v>15.838</v>
      </c>
      <c r="H562">
        <f t="shared" si="104"/>
        <v>21.931</v>
      </c>
      <c r="I562">
        <f t="shared" si="105"/>
        <v>53.265</v>
      </c>
      <c r="J562">
        <f t="shared" si="106"/>
        <v>0</v>
      </c>
      <c r="K562">
        <f t="shared" si="107"/>
        <v>0</v>
      </c>
      <c r="L562">
        <f t="shared" si="108"/>
        <v>0</v>
      </c>
      <c r="N562">
        <v>17344</v>
      </c>
      <c r="O562">
        <v>26308</v>
      </c>
      <c r="P562">
        <v>18104</v>
      </c>
      <c r="Q562">
        <v>21897</v>
      </c>
      <c r="R562">
        <v>34717</v>
      </c>
      <c r="S562">
        <v>23425</v>
      </c>
      <c r="T562">
        <v>15838</v>
      </c>
      <c r="U562">
        <v>21931</v>
      </c>
      <c r="V562">
        <v>53265</v>
      </c>
      <c r="AA562" t="s">
        <v>5132</v>
      </c>
      <c r="AC562">
        <v>16471</v>
      </c>
      <c r="AE562">
        <v>20705</v>
      </c>
      <c r="AG562" t="s">
        <v>5133</v>
      </c>
      <c r="AI562">
        <v>15014</v>
      </c>
      <c r="AP562" t="s">
        <v>5134</v>
      </c>
      <c r="AR562">
        <v>25805</v>
      </c>
      <c r="AT562">
        <v>29585</v>
      </c>
      <c r="AV562" t="s">
        <v>5135</v>
      </c>
      <c r="AX562">
        <v>20599</v>
      </c>
      <c r="BB562" t="s">
        <v>5136</v>
      </c>
      <c r="BD562">
        <v>17274</v>
      </c>
      <c r="BF562">
        <v>20596</v>
      </c>
      <c r="BH562" t="s">
        <v>5137</v>
      </c>
      <c r="BJ562">
        <v>52526</v>
      </c>
    </row>
    <row r="563" spans="1:62">
      <c r="A563">
        <f t="shared" si="97"/>
        <v>17.558</v>
      </c>
      <c r="B563">
        <f t="shared" si="98"/>
        <v>26.434</v>
      </c>
      <c r="C563">
        <f t="shared" si="99"/>
        <v>18.318</v>
      </c>
      <c r="D563">
        <f t="shared" si="100"/>
        <v>22.045</v>
      </c>
      <c r="E563">
        <f t="shared" si="101"/>
        <v>36.257</v>
      </c>
      <c r="F563">
        <f t="shared" si="102"/>
        <v>23.48</v>
      </c>
      <c r="G563">
        <f t="shared" si="103"/>
        <v>16.028</v>
      </c>
      <c r="H563">
        <f t="shared" si="104"/>
        <v>22.063</v>
      </c>
      <c r="I563">
        <f t="shared" si="105"/>
        <v>53.329</v>
      </c>
      <c r="J563">
        <f t="shared" si="106"/>
        <v>0</v>
      </c>
      <c r="K563">
        <f t="shared" si="107"/>
        <v>0</v>
      </c>
      <c r="L563">
        <f t="shared" si="108"/>
        <v>0</v>
      </c>
      <c r="N563">
        <v>17558</v>
      </c>
      <c r="O563">
        <v>26434</v>
      </c>
      <c r="P563">
        <v>18318</v>
      </c>
      <c r="Q563">
        <v>22045</v>
      </c>
      <c r="R563">
        <v>36257</v>
      </c>
      <c r="S563">
        <v>23480</v>
      </c>
      <c r="T563">
        <v>16028</v>
      </c>
      <c r="U563">
        <v>22063</v>
      </c>
      <c r="V563">
        <v>53329</v>
      </c>
      <c r="AA563" t="s">
        <v>5138</v>
      </c>
      <c r="AC563">
        <v>16635</v>
      </c>
      <c r="AE563">
        <v>20924</v>
      </c>
      <c r="AG563" t="s">
        <v>5139</v>
      </c>
      <c r="AI563">
        <v>15033</v>
      </c>
      <c r="AP563" t="s">
        <v>5140</v>
      </c>
      <c r="AR563">
        <v>25905</v>
      </c>
      <c r="AT563">
        <v>29949</v>
      </c>
      <c r="AV563" t="s">
        <v>5141</v>
      </c>
      <c r="AX563">
        <v>20804</v>
      </c>
      <c r="BB563" t="s">
        <v>5142</v>
      </c>
      <c r="BD563">
        <v>17295</v>
      </c>
      <c r="BF563">
        <v>21189</v>
      </c>
      <c r="BH563" t="s">
        <v>5143</v>
      </c>
      <c r="BJ563">
        <v>52531</v>
      </c>
    </row>
    <row r="564" spans="1:62">
      <c r="A564">
        <f t="shared" si="97"/>
        <v>17.585</v>
      </c>
      <c r="B564">
        <f t="shared" si="98"/>
        <v>26.51</v>
      </c>
      <c r="C564">
        <f t="shared" si="99"/>
        <v>18.326</v>
      </c>
      <c r="D564">
        <f t="shared" si="100"/>
        <v>22.816</v>
      </c>
      <c r="E564">
        <f t="shared" si="101"/>
        <v>36.364</v>
      </c>
      <c r="F564">
        <f t="shared" si="102"/>
        <v>23.552</v>
      </c>
      <c r="G564">
        <f t="shared" si="103"/>
        <v>16.028</v>
      </c>
      <c r="H564">
        <f t="shared" si="104"/>
        <v>22.548</v>
      </c>
      <c r="I564">
        <f t="shared" si="105"/>
        <v>53.438</v>
      </c>
      <c r="J564">
        <f t="shared" si="106"/>
        <v>0</v>
      </c>
      <c r="K564">
        <f t="shared" si="107"/>
        <v>0</v>
      </c>
      <c r="L564">
        <f t="shared" si="108"/>
        <v>0</v>
      </c>
      <c r="N564">
        <v>17585</v>
      </c>
      <c r="O564">
        <v>26510</v>
      </c>
      <c r="P564">
        <v>18326</v>
      </c>
      <c r="Q564">
        <v>22816</v>
      </c>
      <c r="R564">
        <v>36364</v>
      </c>
      <c r="S564">
        <v>23552</v>
      </c>
      <c r="T564">
        <v>16028</v>
      </c>
      <c r="U564">
        <v>22548</v>
      </c>
      <c r="V564">
        <v>53438</v>
      </c>
      <c r="AA564" t="s">
        <v>5144</v>
      </c>
      <c r="AC564">
        <v>16743</v>
      </c>
      <c r="AE564">
        <v>21120</v>
      </c>
      <c r="AG564" t="s">
        <v>5145</v>
      </c>
      <c r="AI564">
        <v>15187</v>
      </c>
      <c r="AP564" t="s">
        <v>5146</v>
      </c>
      <c r="AR564">
        <v>26124</v>
      </c>
      <c r="AT564">
        <v>30847</v>
      </c>
      <c r="AV564" t="s">
        <v>5147</v>
      </c>
      <c r="AX564">
        <v>20978</v>
      </c>
      <c r="BB564" t="s">
        <v>5148</v>
      </c>
      <c r="BD564">
        <v>17384</v>
      </c>
      <c r="BF564">
        <v>21547</v>
      </c>
      <c r="BH564" t="s">
        <v>5149</v>
      </c>
      <c r="BJ564">
        <v>52732</v>
      </c>
    </row>
    <row r="565" spans="1:62">
      <c r="A565">
        <f t="shared" si="97"/>
        <v>17.714</v>
      </c>
      <c r="B565">
        <f t="shared" si="98"/>
        <v>26.57</v>
      </c>
      <c r="C565">
        <f t="shared" si="99"/>
        <v>18.339</v>
      </c>
      <c r="D565">
        <f t="shared" si="100"/>
        <v>24.192</v>
      </c>
      <c r="E565">
        <f t="shared" si="101"/>
        <v>37.542</v>
      </c>
      <c r="F565">
        <f t="shared" si="102"/>
        <v>24.222</v>
      </c>
      <c r="G565">
        <f t="shared" si="103"/>
        <v>16.051</v>
      </c>
      <c r="H565">
        <f t="shared" si="104"/>
        <v>22.576</v>
      </c>
      <c r="I565">
        <f t="shared" si="105"/>
        <v>53.502</v>
      </c>
      <c r="J565">
        <f t="shared" si="106"/>
        <v>0</v>
      </c>
      <c r="K565">
        <f t="shared" si="107"/>
        <v>0</v>
      </c>
      <c r="L565">
        <f t="shared" si="108"/>
        <v>0</v>
      </c>
      <c r="N565">
        <v>17714</v>
      </c>
      <c r="O565">
        <v>26570</v>
      </c>
      <c r="P565">
        <v>18339</v>
      </c>
      <c r="Q565">
        <v>24192</v>
      </c>
      <c r="R565">
        <v>37542</v>
      </c>
      <c r="S565">
        <v>24222</v>
      </c>
      <c r="T565">
        <v>16051</v>
      </c>
      <c r="U565">
        <v>22576</v>
      </c>
      <c r="V565">
        <v>53502</v>
      </c>
      <c r="AA565" t="s">
        <v>5150</v>
      </c>
      <c r="AC565">
        <v>16748</v>
      </c>
      <c r="AE565">
        <v>21166</v>
      </c>
      <c r="AG565" t="s">
        <v>5151</v>
      </c>
      <c r="AI565">
        <v>15246</v>
      </c>
      <c r="AP565" t="s">
        <v>5152</v>
      </c>
      <c r="AR565">
        <v>26134</v>
      </c>
      <c r="AT565">
        <v>30976</v>
      </c>
      <c r="AV565" t="s">
        <v>5153</v>
      </c>
      <c r="AX565">
        <v>20987</v>
      </c>
      <c r="BB565" t="s">
        <v>5154</v>
      </c>
      <c r="BD565">
        <v>17422</v>
      </c>
      <c r="BF565">
        <v>21670</v>
      </c>
      <c r="BH565" t="s">
        <v>5155</v>
      </c>
      <c r="BJ565">
        <v>52797</v>
      </c>
    </row>
    <row r="566" spans="1:62">
      <c r="A566">
        <f t="shared" si="97"/>
        <v>17.938</v>
      </c>
      <c r="B566">
        <f t="shared" si="98"/>
        <v>26.598</v>
      </c>
      <c r="C566">
        <f t="shared" si="99"/>
        <v>18.644</v>
      </c>
      <c r="D566">
        <f t="shared" si="100"/>
        <v>24.291</v>
      </c>
      <c r="E566">
        <f t="shared" si="101"/>
        <v>38.639</v>
      </c>
      <c r="F566">
        <f t="shared" si="102"/>
        <v>25.096</v>
      </c>
      <c r="G566">
        <f t="shared" si="103"/>
        <v>16.247</v>
      </c>
      <c r="H566">
        <f t="shared" si="104"/>
        <v>22.587</v>
      </c>
      <c r="I566">
        <f t="shared" si="105"/>
        <v>53.542</v>
      </c>
      <c r="J566">
        <f t="shared" si="106"/>
        <v>0</v>
      </c>
      <c r="K566">
        <f t="shared" si="107"/>
        <v>0</v>
      </c>
      <c r="L566">
        <f t="shared" si="108"/>
        <v>0</v>
      </c>
      <c r="N566">
        <v>17938</v>
      </c>
      <c r="O566">
        <v>26598</v>
      </c>
      <c r="P566">
        <v>18644</v>
      </c>
      <c r="Q566">
        <v>24291</v>
      </c>
      <c r="R566">
        <v>38639</v>
      </c>
      <c r="S566">
        <v>25096</v>
      </c>
      <c r="T566">
        <v>16247</v>
      </c>
      <c r="U566">
        <v>22587</v>
      </c>
      <c r="V566">
        <v>53542</v>
      </c>
      <c r="AA566" t="s">
        <v>5156</v>
      </c>
      <c r="AC566">
        <v>16872</v>
      </c>
      <c r="AE566">
        <v>21180</v>
      </c>
      <c r="AG566" t="s">
        <v>5157</v>
      </c>
      <c r="AI566">
        <v>15265</v>
      </c>
      <c r="AP566" t="s">
        <v>5158</v>
      </c>
      <c r="AR566">
        <v>26151</v>
      </c>
      <c r="AT566">
        <v>31743</v>
      </c>
      <c r="AV566" t="s">
        <v>5159</v>
      </c>
      <c r="AX566">
        <v>21101</v>
      </c>
      <c r="BB566" t="s">
        <v>5160</v>
      </c>
      <c r="BD566">
        <v>17433</v>
      </c>
      <c r="BF566">
        <v>22371</v>
      </c>
      <c r="BH566" t="s">
        <v>5161</v>
      </c>
      <c r="BJ566">
        <v>52897</v>
      </c>
    </row>
    <row r="567" spans="1:62">
      <c r="A567">
        <f t="shared" si="97"/>
        <v>18.028</v>
      </c>
      <c r="B567">
        <f t="shared" si="98"/>
        <v>26.711</v>
      </c>
      <c r="C567">
        <f t="shared" si="99"/>
        <v>18.669</v>
      </c>
      <c r="D567">
        <f t="shared" si="100"/>
        <v>25.121</v>
      </c>
      <c r="E567">
        <f t="shared" si="101"/>
        <v>46.652</v>
      </c>
      <c r="F567">
        <f t="shared" si="102"/>
        <v>27.272</v>
      </c>
      <c r="G567">
        <f t="shared" si="103"/>
        <v>16.555</v>
      </c>
      <c r="H567">
        <f t="shared" si="104"/>
        <v>22.615</v>
      </c>
      <c r="I567">
        <f t="shared" si="105"/>
        <v>53.673</v>
      </c>
      <c r="J567">
        <f t="shared" si="106"/>
        <v>0</v>
      </c>
      <c r="K567">
        <f t="shared" si="107"/>
        <v>0</v>
      </c>
      <c r="L567">
        <f t="shared" si="108"/>
        <v>0</v>
      </c>
      <c r="N567">
        <v>18028</v>
      </c>
      <c r="O567">
        <v>26711</v>
      </c>
      <c r="P567">
        <v>18669</v>
      </c>
      <c r="Q567">
        <v>25121</v>
      </c>
      <c r="R567">
        <v>46652</v>
      </c>
      <c r="S567">
        <v>27272</v>
      </c>
      <c r="T567">
        <v>16555</v>
      </c>
      <c r="U567">
        <v>22615</v>
      </c>
      <c r="V567">
        <v>53673</v>
      </c>
      <c r="AA567" t="s">
        <v>5162</v>
      </c>
      <c r="AC567">
        <v>16882</v>
      </c>
      <c r="AE567">
        <v>21225</v>
      </c>
      <c r="AG567" t="s">
        <v>5163</v>
      </c>
      <c r="AI567">
        <v>15458</v>
      </c>
      <c r="AP567" t="s">
        <v>5164</v>
      </c>
      <c r="AR567">
        <v>26241</v>
      </c>
      <c r="AT567">
        <v>33101</v>
      </c>
      <c r="AV567" t="s">
        <v>5165</v>
      </c>
      <c r="AX567">
        <v>21699</v>
      </c>
      <c r="BB567" t="s">
        <v>5166</v>
      </c>
      <c r="BD567">
        <v>17624</v>
      </c>
      <c r="BF567">
        <v>22989</v>
      </c>
      <c r="BH567" t="s">
        <v>5167</v>
      </c>
      <c r="BJ567">
        <v>53088</v>
      </c>
    </row>
    <row r="568" spans="1:62">
      <c r="A568">
        <f t="shared" si="97"/>
        <v>18.209</v>
      </c>
      <c r="B568">
        <f t="shared" si="98"/>
        <v>26.759</v>
      </c>
      <c r="C568">
        <f t="shared" si="99"/>
        <v>18.834</v>
      </c>
      <c r="D568">
        <f t="shared" si="100"/>
        <v>25.729</v>
      </c>
      <c r="E568">
        <f t="shared" si="101"/>
        <v>47.704</v>
      </c>
      <c r="F568">
        <f t="shared" si="102"/>
        <v>28.044</v>
      </c>
      <c r="G568">
        <f t="shared" si="103"/>
        <v>16.861</v>
      </c>
      <c r="H568">
        <f t="shared" si="104"/>
        <v>22.868</v>
      </c>
      <c r="I568">
        <f t="shared" si="105"/>
        <v>53.873</v>
      </c>
      <c r="J568">
        <f t="shared" si="106"/>
        <v>0</v>
      </c>
      <c r="K568">
        <f t="shared" si="107"/>
        <v>0</v>
      </c>
      <c r="L568">
        <f t="shared" si="108"/>
        <v>0</v>
      </c>
      <c r="N568">
        <v>18209</v>
      </c>
      <c r="O568">
        <v>26759</v>
      </c>
      <c r="P568">
        <v>18834</v>
      </c>
      <c r="Q568">
        <v>25729</v>
      </c>
      <c r="R568">
        <v>47704</v>
      </c>
      <c r="S568">
        <v>28044</v>
      </c>
      <c r="T568">
        <v>16861</v>
      </c>
      <c r="U568">
        <v>22868</v>
      </c>
      <c r="V568">
        <v>53873</v>
      </c>
      <c r="AA568" t="s">
        <v>5168</v>
      </c>
      <c r="AC568">
        <v>16923</v>
      </c>
      <c r="AE568">
        <v>21292</v>
      </c>
      <c r="AG568" t="s">
        <v>5169</v>
      </c>
      <c r="AI568">
        <v>15520</v>
      </c>
      <c r="AP568" t="s">
        <v>5170</v>
      </c>
      <c r="AR568">
        <v>26241</v>
      </c>
      <c r="AT568">
        <v>34189</v>
      </c>
      <c r="AV568" t="s">
        <v>5171</v>
      </c>
      <c r="AX568">
        <v>21795</v>
      </c>
      <c r="BB568" t="s">
        <v>5172</v>
      </c>
      <c r="BD568">
        <v>18033</v>
      </c>
      <c r="BF568">
        <v>23107</v>
      </c>
      <c r="BH568" t="s">
        <v>5173</v>
      </c>
      <c r="BJ568">
        <v>53137</v>
      </c>
    </row>
    <row r="569" spans="1:62">
      <c r="A569">
        <f t="shared" si="97"/>
        <v>18.232</v>
      </c>
      <c r="B569">
        <f t="shared" si="98"/>
        <v>26.779</v>
      </c>
      <c r="C569">
        <f t="shared" si="99"/>
        <v>18.886</v>
      </c>
      <c r="D569">
        <f t="shared" si="100"/>
        <v>26.201</v>
      </c>
      <c r="E569">
        <f t="shared" si="101"/>
        <v>49.083</v>
      </c>
      <c r="F569">
        <f t="shared" si="102"/>
        <v>30.453</v>
      </c>
      <c r="G569">
        <f t="shared" si="103"/>
        <v>16.871</v>
      </c>
      <c r="H569">
        <f t="shared" si="104"/>
        <v>22.9</v>
      </c>
      <c r="I569">
        <f t="shared" si="105"/>
        <v>54.218</v>
      </c>
      <c r="J569">
        <f t="shared" si="106"/>
        <v>0</v>
      </c>
      <c r="K569">
        <f t="shared" si="107"/>
        <v>0</v>
      </c>
      <c r="L569">
        <f t="shared" si="108"/>
        <v>0</v>
      </c>
      <c r="N569">
        <v>18232</v>
      </c>
      <c r="O569">
        <v>26779</v>
      </c>
      <c r="P569">
        <v>18886</v>
      </c>
      <c r="Q569">
        <v>26201</v>
      </c>
      <c r="R569">
        <v>49083</v>
      </c>
      <c r="S569">
        <v>30453</v>
      </c>
      <c r="T569">
        <v>16871</v>
      </c>
      <c r="U569">
        <v>22900</v>
      </c>
      <c r="V569">
        <v>54218</v>
      </c>
      <c r="AA569" t="s">
        <v>5174</v>
      </c>
      <c r="AC569">
        <v>17102</v>
      </c>
      <c r="AE569">
        <v>21674</v>
      </c>
      <c r="AG569" t="s">
        <v>5175</v>
      </c>
      <c r="AI569">
        <v>15777</v>
      </c>
      <c r="AP569" t="s">
        <v>5176</v>
      </c>
      <c r="AR569">
        <v>26308</v>
      </c>
      <c r="AT569">
        <v>34717</v>
      </c>
      <c r="AV569" t="s">
        <v>5177</v>
      </c>
      <c r="AX569">
        <v>21931</v>
      </c>
      <c r="BB569" t="s">
        <v>5178</v>
      </c>
      <c r="BD569">
        <v>18051</v>
      </c>
      <c r="BF569">
        <v>23332</v>
      </c>
      <c r="BH569" t="s">
        <v>5179</v>
      </c>
      <c r="BJ569">
        <v>53215</v>
      </c>
    </row>
    <row r="570" spans="1:62">
      <c r="A570">
        <f t="shared" si="97"/>
        <v>18.448</v>
      </c>
      <c r="B570">
        <f t="shared" si="98"/>
        <v>27.196</v>
      </c>
      <c r="C570">
        <f t="shared" si="99"/>
        <v>19.058</v>
      </c>
      <c r="D570">
        <f t="shared" si="100"/>
        <v>26.3</v>
      </c>
      <c r="E570">
        <f t="shared" si="101"/>
        <v>103.462</v>
      </c>
      <c r="F570">
        <f t="shared" si="102"/>
        <v>31.184</v>
      </c>
      <c r="G570">
        <f t="shared" si="103"/>
        <v>16.935</v>
      </c>
      <c r="H570">
        <f t="shared" si="104"/>
        <v>23.118</v>
      </c>
      <c r="I570">
        <f t="shared" si="105"/>
        <v>54.344</v>
      </c>
      <c r="J570">
        <f t="shared" si="106"/>
        <v>0</v>
      </c>
      <c r="K570">
        <f t="shared" si="107"/>
        <v>0</v>
      </c>
      <c r="L570">
        <f t="shared" si="108"/>
        <v>0</v>
      </c>
      <c r="N570">
        <v>18448</v>
      </c>
      <c r="O570">
        <v>27196</v>
      </c>
      <c r="P570">
        <v>19058</v>
      </c>
      <c r="Q570">
        <v>26300</v>
      </c>
      <c r="R570">
        <v>103462</v>
      </c>
      <c r="S570">
        <v>31184</v>
      </c>
      <c r="T570">
        <v>16935</v>
      </c>
      <c r="U570">
        <v>23118</v>
      </c>
      <c r="V570">
        <v>54344</v>
      </c>
      <c r="AA570" t="s">
        <v>5180</v>
      </c>
      <c r="AC570">
        <v>17344</v>
      </c>
      <c r="AE570">
        <v>21897</v>
      </c>
      <c r="AG570" t="s">
        <v>5181</v>
      </c>
      <c r="AI570">
        <v>15838</v>
      </c>
      <c r="AP570" t="s">
        <v>5182</v>
      </c>
      <c r="AR570">
        <v>26434</v>
      </c>
      <c r="AT570">
        <v>36257</v>
      </c>
      <c r="AV570" t="s">
        <v>5183</v>
      </c>
      <c r="AX570">
        <v>22063</v>
      </c>
      <c r="BB570" t="s">
        <v>5184</v>
      </c>
      <c r="BD570">
        <v>18104</v>
      </c>
      <c r="BF570">
        <v>23425</v>
      </c>
      <c r="BH570" t="s">
        <v>5185</v>
      </c>
      <c r="BJ570">
        <v>53265</v>
      </c>
    </row>
    <row r="571" spans="1:62">
      <c r="A571">
        <f t="shared" si="97"/>
        <v>18.458</v>
      </c>
      <c r="B571">
        <f t="shared" si="98"/>
        <v>27.353</v>
      </c>
      <c r="C571">
        <f t="shared" si="99"/>
        <v>19.097</v>
      </c>
      <c r="D571">
        <f t="shared" si="100"/>
        <v>29.276</v>
      </c>
      <c r="E571">
        <f t="shared" si="101"/>
        <v>0</v>
      </c>
      <c r="F571">
        <f t="shared" si="102"/>
        <v>53.457</v>
      </c>
      <c r="G571">
        <f t="shared" si="103"/>
        <v>17.065</v>
      </c>
      <c r="H571">
        <f t="shared" si="104"/>
        <v>23.205</v>
      </c>
      <c r="I571">
        <f t="shared" si="105"/>
        <v>55.096</v>
      </c>
      <c r="J571">
        <f t="shared" si="106"/>
        <v>0</v>
      </c>
      <c r="K571">
        <f t="shared" si="107"/>
        <v>0</v>
      </c>
      <c r="L571">
        <f t="shared" si="108"/>
        <v>0</v>
      </c>
      <c r="N571">
        <v>18458</v>
      </c>
      <c r="O571">
        <v>27353</v>
      </c>
      <c r="P571">
        <v>19097</v>
      </c>
      <c r="Q571">
        <v>29276</v>
      </c>
      <c r="S571">
        <v>53457</v>
      </c>
      <c r="T571">
        <v>17065</v>
      </c>
      <c r="U571">
        <v>23205</v>
      </c>
      <c r="V571">
        <v>55096</v>
      </c>
      <c r="AA571" t="s">
        <v>5186</v>
      </c>
      <c r="AC571">
        <v>17558</v>
      </c>
      <c r="AE571">
        <v>22045</v>
      </c>
      <c r="AG571" t="s">
        <v>5187</v>
      </c>
      <c r="AI571">
        <v>16028</v>
      </c>
      <c r="AP571" t="s">
        <v>5188</v>
      </c>
      <c r="AR571">
        <v>26510</v>
      </c>
      <c r="AT571">
        <v>36364</v>
      </c>
      <c r="AV571" t="s">
        <v>5189</v>
      </c>
      <c r="AX571">
        <v>22548</v>
      </c>
      <c r="BB571" t="s">
        <v>5190</v>
      </c>
      <c r="BD571">
        <v>18318</v>
      </c>
      <c r="BF571">
        <v>23480</v>
      </c>
      <c r="BH571" t="s">
        <v>5191</v>
      </c>
      <c r="BJ571">
        <v>53329</v>
      </c>
    </row>
    <row r="572" spans="1:62">
      <c r="A572">
        <f t="shared" si="97"/>
        <v>18.577</v>
      </c>
      <c r="B572">
        <f t="shared" si="98"/>
        <v>27.38</v>
      </c>
      <c r="C572">
        <f t="shared" si="99"/>
        <v>19.283</v>
      </c>
      <c r="D572">
        <f t="shared" si="100"/>
        <v>104.046</v>
      </c>
      <c r="E572">
        <f t="shared" si="101"/>
        <v>0</v>
      </c>
      <c r="F572">
        <f t="shared" si="102"/>
        <v>103.571</v>
      </c>
      <c r="G572">
        <f t="shared" si="103"/>
        <v>17.857</v>
      </c>
      <c r="H572">
        <f t="shared" si="104"/>
        <v>23.424</v>
      </c>
      <c r="I572">
        <f t="shared" si="105"/>
        <v>55.114</v>
      </c>
      <c r="J572">
        <f t="shared" si="106"/>
        <v>0</v>
      </c>
      <c r="K572">
        <f t="shared" si="107"/>
        <v>0</v>
      </c>
      <c r="L572">
        <f t="shared" si="108"/>
        <v>0</v>
      </c>
      <c r="N572">
        <v>18577</v>
      </c>
      <c r="O572">
        <v>27380</v>
      </c>
      <c r="P572">
        <v>19283</v>
      </c>
      <c r="Q572">
        <v>104046</v>
      </c>
      <c r="S572">
        <v>103571</v>
      </c>
      <c r="T572">
        <v>17857</v>
      </c>
      <c r="U572">
        <v>23424</v>
      </c>
      <c r="V572">
        <v>55114</v>
      </c>
      <c r="AA572" t="s">
        <v>5192</v>
      </c>
      <c r="AC572">
        <v>17585</v>
      </c>
      <c r="AE572">
        <v>22816</v>
      </c>
      <c r="AG572" t="s">
        <v>5193</v>
      </c>
      <c r="AI572">
        <v>16028</v>
      </c>
      <c r="AP572" t="s">
        <v>5194</v>
      </c>
      <c r="AR572">
        <v>26570</v>
      </c>
      <c r="AT572">
        <v>37542</v>
      </c>
      <c r="AV572" t="s">
        <v>5195</v>
      </c>
      <c r="AX572">
        <v>22576</v>
      </c>
      <c r="BB572" t="s">
        <v>5196</v>
      </c>
      <c r="BD572">
        <v>18326</v>
      </c>
      <c r="BF572">
        <v>23552</v>
      </c>
      <c r="BH572" t="s">
        <v>5197</v>
      </c>
      <c r="BJ572">
        <v>53438</v>
      </c>
    </row>
    <row r="573" spans="1:62">
      <c r="A573">
        <f t="shared" si="97"/>
        <v>18.695</v>
      </c>
      <c r="B573">
        <f t="shared" si="98"/>
        <v>27.48</v>
      </c>
      <c r="C573">
        <f t="shared" si="99"/>
        <v>19.34</v>
      </c>
      <c r="D573">
        <f t="shared" si="100"/>
        <v>0</v>
      </c>
      <c r="E573">
        <f t="shared" si="101"/>
        <v>0</v>
      </c>
      <c r="F573">
        <f t="shared" si="102"/>
        <v>0</v>
      </c>
      <c r="G573">
        <f t="shared" si="103"/>
        <v>17.956</v>
      </c>
      <c r="H573">
        <f t="shared" si="104"/>
        <v>23.621</v>
      </c>
      <c r="I573">
        <f t="shared" si="105"/>
        <v>55.164</v>
      </c>
      <c r="J573">
        <f t="shared" si="106"/>
        <v>0</v>
      </c>
      <c r="K573">
        <f t="shared" si="107"/>
        <v>0</v>
      </c>
      <c r="L573">
        <f t="shared" si="108"/>
        <v>0</v>
      </c>
      <c r="N573">
        <v>18695</v>
      </c>
      <c r="O573">
        <v>27480</v>
      </c>
      <c r="P573">
        <v>19340</v>
      </c>
      <c r="T573">
        <v>17956</v>
      </c>
      <c r="U573">
        <v>23621</v>
      </c>
      <c r="V573">
        <v>55164</v>
      </c>
      <c r="AA573" t="s">
        <v>5198</v>
      </c>
      <c r="AC573">
        <v>17714</v>
      </c>
      <c r="AE573">
        <v>24192</v>
      </c>
      <c r="AG573" t="s">
        <v>5199</v>
      </c>
      <c r="AI573">
        <v>16051</v>
      </c>
      <c r="AP573" t="s">
        <v>5200</v>
      </c>
      <c r="AR573">
        <v>26598</v>
      </c>
      <c r="AT573">
        <v>38639</v>
      </c>
      <c r="AV573" t="s">
        <v>5201</v>
      </c>
      <c r="AX573">
        <v>22587</v>
      </c>
      <c r="BB573" t="s">
        <v>5202</v>
      </c>
      <c r="BD573">
        <v>18339</v>
      </c>
      <c r="BF573">
        <v>24222</v>
      </c>
      <c r="BH573" t="s">
        <v>5203</v>
      </c>
      <c r="BJ573">
        <v>53502</v>
      </c>
    </row>
    <row r="574" spans="1:62">
      <c r="A574">
        <f t="shared" si="97"/>
        <v>18.8</v>
      </c>
      <c r="B574">
        <f t="shared" si="98"/>
        <v>27.48</v>
      </c>
      <c r="C574">
        <f t="shared" si="99"/>
        <v>19.425</v>
      </c>
      <c r="D574">
        <f t="shared" si="100"/>
        <v>0</v>
      </c>
      <c r="E574">
        <f t="shared" si="101"/>
        <v>0</v>
      </c>
      <c r="F574">
        <f t="shared" si="102"/>
        <v>0</v>
      </c>
      <c r="G574">
        <f t="shared" si="103"/>
        <v>18.26</v>
      </c>
      <c r="H574">
        <f t="shared" si="104"/>
        <v>23.67</v>
      </c>
      <c r="I574">
        <f t="shared" si="105"/>
        <v>55.249</v>
      </c>
      <c r="J574">
        <f t="shared" si="106"/>
        <v>0</v>
      </c>
      <c r="K574">
        <f t="shared" si="107"/>
        <v>0</v>
      </c>
      <c r="L574">
        <f t="shared" si="108"/>
        <v>0</v>
      </c>
      <c r="N574">
        <v>18800</v>
      </c>
      <c r="O574">
        <v>27480</v>
      </c>
      <c r="P574">
        <v>19425</v>
      </c>
      <c r="T574">
        <v>18260</v>
      </c>
      <c r="U574">
        <v>23670</v>
      </c>
      <c r="V574">
        <v>55249</v>
      </c>
      <c r="AA574" t="s">
        <v>5204</v>
      </c>
      <c r="AC574">
        <v>17938</v>
      </c>
      <c r="AE574">
        <v>24291</v>
      </c>
      <c r="AG574" t="s">
        <v>5205</v>
      </c>
      <c r="AI574">
        <v>16247</v>
      </c>
      <c r="AP574" t="s">
        <v>5206</v>
      </c>
      <c r="AR574">
        <v>26711</v>
      </c>
      <c r="AT574">
        <v>46652</v>
      </c>
      <c r="AV574" t="s">
        <v>5207</v>
      </c>
      <c r="AX574">
        <v>22615</v>
      </c>
      <c r="BB574" t="s">
        <v>5208</v>
      </c>
      <c r="BD574">
        <v>18644</v>
      </c>
      <c r="BF574">
        <v>25096</v>
      </c>
      <c r="BH574" t="s">
        <v>5209</v>
      </c>
      <c r="BJ574">
        <v>53542</v>
      </c>
    </row>
    <row r="575" spans="1:62">
      <c r="A575">
        <f t="shared" si="97"/>
        <v>19.002</v>
      </c>
      <c r="B575">
        <f t="shared" si="98"/>
        <v>27.488</v>
      </c>
      <c r="C575">
        <f t="shared" si="99"/>
        <v>19.616</v>
      </c>
      <c r="D575">
        <f t="shared" si="100"/>
        <v>0</v>
      </c>
      <c r="E575">
        <f t="shared" si="101"/>
        <v>0</v>
      </c>
      <c r="F575">
        <f t="shared" si="102"/>
        <v>0</v>
      </c>
      <c r="G575">
        <f t="shared" si="103"/>
        <v>18.41</v>
      </c>
      <c r="H575">
        <f t="shared" si="104"/>
        <v>24.225</v>
      </c>
      <c r="I575">
        <f t="shared" si="105"/>
        <v>55.602</v>
      </c>
      <c r="J575">
        <f t="shared" si="106"/>
        <v>0</v>
      </c>
      <c r="K575">
        <f t="shared" si="107"/>
        <v>0</v>
      </c>
      <c r="L575">
        <f t="shared" si="108"/>
        <v>0</v>
      </c>
      <c r="N575">
        <v>19002</v>
      </c>
      <c r="O575">
        <v>27488</v>
      </c>
      <c r="P575">
        <v>19616</v>
      </c>
      <c r="T575">
        <v>18410</v>
      </c>
      <c r="U575">
        <v>24225</v>
      </c>
      <c r="V575">
        <v>55602</v>
      </c>
      <c r="AA575" t="s">
        <v>5210</v>
      </c>
      <c r="AC575">
        <v>18028</v>
      </c>
      <c r="AE575">
        <v>25121</v>
      </c>
      <c r="AG575" t="s">
        <v>5211</v>
      </c>
      <c r="AI575">
        <v>16555</v>
      </c>
      <c r="AP575" t="s">
        <v>5212</v>
      </c>
      <c r="AR575">
        <v>26759</v>
      </c>
      <c r="AT575">
        <v>47704</v>
      </c>
      <c r="AV575" t="s">
        <v>5213</v>
      </c>
      <c r="AX575">
        <v>22868</v>
      </c>
      <c r="BB575" t="s">
        <v>5214</v>
      </c>
      <c r="BD575">
        <v>18669</v>
      </c>
      <c r="BF575">
        <v>27272</v>
      </c>
      <c r="BH575" t="s">
        <v>5215</v>
      </c>
      <c r="BJ575">
        <v>53673</v>
      </c>
    </row>
    <row r="576" spans="1:62">
      <c r="A576">
        <f t="shared" si="97"/>
        <v>19.131</v>
      </c>
      <c r="B576">
        <f t="shared" si="98"/>
        <v>27.677</v>
      </c>
      <c r="C576">
        <f t="shared" si="99"/>
        <v>19.646</v>
      </c>
      <c r="D576">
        <f t="shared" si="100"/>
        <v>0</v>
      </c>
      <c r="E576">
        <f t="shared" si="101"/>
        <v>0</v>
      </c>
      <c r="F576">
        <f t="shared" si="102"/>
        <v>0</v>
      </c>
      <c r="G576">
        <f t="shared" si="103"/>
        <v>18.499</v>
      </c>
      <c r="H576">
        <f t="shared" si="104"/>
        <v>24.248</v>
      </c>
      <c r="I576">
        <f t="shared" si="105"/>
        <v>55.843</v>
      </c>
      <c r="J576">
        <f t="shared" si="106"/>
        <v>0</v>
      </c>
      <c r="K576">
        <f t="shared" si="107"/>
        <v>0</v>
      </c>
      <c r="L576">
        <f t="shared" si="108"/>
        <v>0</v>
      </c>
      <c r="N576">
        <v>19131</v>
      </c>
      <c r="O576">
        <v>27677</v>
      </c>
      <c r="P576">
        <v>19646</v>
      </c>
      <c r="T576">
        <v>18499</v>
      </c>
      <c r="U576">
        <v>24248</v>
      </c>
      <c r="V576">
        <v>55843</v>
      </c>
      <c r="AA576" t="s">
        <v>5216</v>
      </c>
      <c r="AC576">
        <v>18209</v>
      </c>
      <c r="AE576">
        <v>25729</v>
      </c>
      <c r="AG576" t="s">
        <v>5217</v>
      </c>
      <c r="AI576">
        <v>16861</v>
      </c>
      <c r="AP576" t="s">
        <v>5218</v>
      </c>
      <c r="AR576">
        <v>26779</v>
      </c>
      <c r="AT576">
        <v>49083</v>
      </c>
      <c r="AV576" t="s">
        <v>5219</v>
      </c>
      <c r="AX576">
        <v>22900</v>
      </c>
      <c r="BB576" t="s">
        <v>5220</v>
      </c>
      <c r="BD576">
        <v>18834</v>
      </c>
      <c r="BF576">
        <v>28044</v>
      </c>
      <c r="BH576" t="s">
        <v>5221</v>
      </c>
      <c r="BJ576">
        <v>53873</v>
      </c>
    </row>
    <row r="577" spans="1:62">
      <c r="A577">
        <f t="shared" si="97"/>
        <v>19.172</v>
      </c>
      <c r="B577">
        <f t="shared" si="98"/>
        <v>27.689</v>
      </c>
      <c r="C577">
        <f t="shared" si="99"/>
        <v>19.704</v>
      </c>
      <c r="D577">
        <f t="shared" si="100"/>
        <v>0</v>
      </c>
      <c r="E577">
        <f t="shared" si="101"/>
        <v>0</v>
      </c>
      <c r="F577">
        <f t="shared" si="102"/>
        <v>0</v>
      </c>
      <c r="G577">
        <f t="shared" si="103"/>
        <v>18.729</v>
      </c>
      <c r="H577">
        <f t="shared" si="104"/>
        <v>25.038</v>
      </c>
      <c r="I577">
        <f t="shared" si="105"/>
        <v>56.277</v>
      </c>
      <c r="J577">
        <f t="shared" si="106"/>
        <v>0</v>
      </c>
      <c r="K577">
        <f t="shared" si="107"/>
        <v>0</v>
      </c>
      <c r="L577">
        <f t="shared" si="108"/>
        <v>0</v>
      </c>
      <c r="N577">
        <v>19172</v>
      </c>
      <c r="O577">
        <v>27689</v>
      </c>
      <c r="P577">
        <v>19704</v>
      </c>
      <c r="T577">
        <v>18729</v>
      </c>
      <c r="U577">
        <v>25038</v>
      </c>
      <c r="V577">
        <v>56277</v>
      </c>
      <c r="AA577" t="s">
        <v>5222</v>
      </c>
      <c r="AC577">
        <v>18232</v>
      </c>
      <c r="AE577">
        <v>26201</v>
      </c>
      <c r="AG577" t="s">
        <v>5223</v>
      </c>
      <c r="AI577">
        <v>16871</v>
      </c>
      <c r="AP577" t="s">
        <v>5224</v>
      </c>
      <c r="AR577">
        <v>27196</v>
      </c>
      <c r="AT577">
        <v>103462</v>
      </c>
      <c r="AV577" t="s">
        <v>5225</v>
      </c>
      <c r="AX577">
        <v>23118</v>
      </c>
      <c r="BB577" t="s">
        <v>5226</v>
      </c>
      <c r="BD577">
        <v>18886</v>
      </c>
      <c r="BF577">
        <v>30453</v>
      </c>
      <c r="BH577" t="s">
        <v>5227</v>
      </c>
      <c r="BJ577">
        <v>54218</v>
      </c>
    </row>
    <row r="578" spans="1:62">
      <c r="A578">
        <f t="shared" si="97"/>
        <v>19.521</v>
      </c>
      <c r="B578">
        <f t="shared" si="98"/>
        <v>28.322</v>
      </c>
      <c r="C578">
        <f t="shared" si="99"/>
        <v>19.751</v>
      </c>
      <c r="D578">
        <f t="shared" si="100"/>
        <v>0</v>
      </c>
      <c r="E578">
        <f t="shared" si="101"/>
        <v>0</v>
      </c>
      <c r="F578">
        <f t="shared" si="102"/>
        <v>0</v>
      </c>
      <c r="G578">
        <f t="shared" si="103"/>
        <v>18.752</v>
      </c>
      <c r="H578">
        <f t="shared" si="104"/>
        <v>25.822</v>
      </c>
      <c r="I578">
        <f t="shared" si="105"/>
        <v>56.423</v>
      </c>
      <c r="J578">
        <f t="shared" si="106"/>
        <v>0</v>
      </c>
      <c r="K578">
        <f t="shared" si="107"/>
        <v>0</v>
      </c>
      <c r="L578">
        <f t="shared" si="108"/>
        <v>0</v>
      </c>
      <c r="N578">
        <v>19521</v>
      </c>
      <c r="O578">
        <v>28322</v>
      </c>
      <c r="P578">
        <v>19751</v>
      </c>
      <c r="T578">
        <v>18752</v>
      </c>
      <c r="U578">
        <v>25822</v>
      </c>
      <c r="V578">
        <v>56423</v>
      </c>
      <c r="AA578" t="s">
        <v>5228</v>
      </c>
      <c r="AC578">
        <v>18448</v>
      </c>
      <c r="AE578">
        <v>26300</v>
      </c>
      <c r="AG578" t="s">
        <v>5229</v>
      </c>
      <c r="AI578">
        <v>16935</v>
      </c>
      <c r="AP578" t="s">
        <v>5230</v>
      </c>
      <c r="AR578">
        <v>27353</v>
      </c>
      <c r="AV578" t="s">
        <v>5231</v>
      </c>
      <c r="AX578">
        <v>23205</v>
      </c>
      <c r="BB578" t="s">
        <v>5232</v>
      </c>
      <c r="BD578">
        <v>19058</v>
      </c>
      <c r="BF578">
        <v>31184</v>
      </c>
      <c r="BH578" t="s">
        <v>5233</v>
      </c>
      <c r="BJ578">
        <v>54344</v>
      </c>
    </row>
    <row r="579" spans="1:62">
      <c r="A579">
        <f t="shared" si="97"/>
        <v>19.669</v>
      </c>
      <c r="B579">
        <f t="shared" si="98"/>
        <v>28.364</v>
      </c>
      <c r="C579">
        <f t="shared" si="99"/>
        <v>19.83</v>
      </c>
      <c r="D579">
        <f t="shared" si="100"/>
        <v>0</v>
      </c>
      <c r="E579">
        <f t="shared" si="101"/>
        <v>0</v>
      </c>
      <c r="F579">
        <f t="shared" si="102"/>
        <v>0</v>
      </c>
      <c r="G579">
        <f t="shared" si="103"/>
        <v>19.307</v>
      </c>
      <c r="H579">
        <f t="shared" si="104"/>
        <v>26.544</v>
      </c>
      <c r="I579">
        <f t="shared" si="105"/>
        <v>56.863</v>
      </c>
      <c r="J579">
        <f t="shared" si="106"/>
        <v>0</v>
      </c>
      <c r="K579">
        <f t="shared" si="107"/>
        <v>0</v>
      </c>
      <c r="L579">
        <f t="shared" si="108"/>
        <v>0</v>
      </c>
      <c r="N579">
        <v>19669</v>
      </c>
      <c r="O579">
        <v>28364</v>
      </c>
      <c r="P579">
        <v>19830</v>
      </c>
      <c r="T579">
        <v>19307</v>
      </c>
      <c r="U579">
        <v>26544</v>
      </c>
      <c r="V579">
        <v>56863</v>
      </c>
      <c r="AA579" t="s">
        <v>5234</v>
      </c>
      <c r="AC579">
        <v>18458</v>
      </c>
      <c r="AE579">
        <v>29276</v>
      </c>
      <c r="AG579" t="s">
        <v>5235</v>
      </c>
      <c r="AI579">
        <v>17065</v>
      </c>
      <c r="AP579" t="s">
        <v>5236</v>
      </c>
      <c r="AR579">
        <v>27380</v>
      </c>
      <c r="AV579" t="s">
        <v>5237</v>
      </c>
      <c r="AX579">
        <v>23424</v>
      </c>
      <c r="BB579" t="s">
        <v>5238</v>
      </c>
      <c r="BD579">
        <v>19097</v>
      </c>
      <c r="BF579">
        <v>53457</v>
      </c>
      <c r="BH579" t="s">
        <v>5239</v>
      </c>
      <c r="BJ579">
        <v>55096</v>
      </c>
    </row>
    <row r="580" spans="1:62">
      <c r="A580">
        <f t="shared" ref="A580:A602" si="109">N580/1000</f>
        <v>19.805</v>
      </c>
      <c r="B580">
        <f t="shared" ref="B580:B602" si="110">O580/1000</f>
        <v>28.537</v>
      </c>
      <c r="C580">
        <f t="shared" ref="C580:C602" si="111">P580/1000</f>
        <v>19.958</v>
      </c>
      <c r="D580">
        <f t="shared" ref="D580:D602" si="112">Q580/1000</f>
        <v>0</v>
      </c>
      <c r="E580">
        <f t="shared" ref="E580:E602" si="113">R580/1000</f>
        <v>0</v>
      </c>
      <c r="F580">
        <f t="shared" ref="F580:F602" si="114">S580/1000</f>
        <v>0</v>
      </c>
      <c r="G580">
        <f t="shared" ref="G580:G602" si="115">T580/1000</f>
        <v>19.493</v>
      </c>
      <c r="H580">
        <f t="shared" ref="H580:H602" si="116">U580/1000</f>
        <v>26.719</v>
      </c>
      <c r="I580">
        <f t="shared" ref="I580:I602" si="117">V580/1000</f>
        <v>56.969</v>
      </c>
      <c r="J580">
        <f t="shared" ref="J580:J602" si="118">W580/1000</f>
        <v>0</v>
      </c>
      <c r="K580">
        <f t="shared" ref="K580:K602" si="119">X580/1000</f>
        <v>0</v>
      </c>
      <c r="L580">
        <f t="shared" ref="L580:L602" si="120">Y580/1000</f>
        <v>0</v>
      </c>
      <c r="N580">
        <v>19805</v>
      </c>
      <c r="O580">
        <v>28537</v>
      </c>
      <c r="P580">
        <v>19958</v>
      </c>
      <c r="T580">
        <v>19493</v>
      </c>
      <c r="U580">
        <v>26719</v>
      </c>
      <c r="V580">
        <v>56969</v>
      </c>
      <c r="AA580" t="s">
        <v>5240</v>
      </c>
      <c r="AC580">
        <v>18577</v>
      </c>
      <c r="AE580">
        <v>104046</v>
      </c>
      <c r="AG580" t="s">
        <v>5241</v>
      </c>
      <c r="AI580">
        <v>17857</v>
      </c>
      <c r="AP580" t="s">
        <v>5242</v>
      </c>
      <c r="AR580">
        <v>27480</v>
      </c>
      <c r="AV580" t="s">
        <v>5243</v>
      </c>
      <c r="AX580">
        <v>23621</v>
      </c>
      <c r="BB580" t="s">
        <v>5244</v>
      </c>
      <c r="BD580">
        <v>19283</v>
      </c>
      <c r="BF580">
        <v>103571</v>
      </c>
      <c r="BH580" t="s">
        <v>5245</v>
      </c>
      <c r="BJ580">
        <v>55114</v>
      </c>
    </row>
    <row r="581" spans="1:62">
      <c r="A581">
        <f t="shared" si="109"/>
        <v>19.925</v>
      </c>
      <c r="B581">
        <f t="shared" si="110"/>
        <v>28.696</v>
      </c>
      <c r="C581">
        <f t="shared" si="111"/>
        <v>19.985</v>
      </c>
      <c r="D581">
        <f t="shared" si="112"/>
        <v>0</v>
      </c>
      <c r="E581">
        <f t="shared" si="113"/>
        <v>0</v>
      </c>
      <c r="F581">
        <f t="shared" si="114"/>
        <v>0</v>
      </c>
      <c r="G581">
        <f t="shared" si="115"/>
        <v>20.753</v>
      </c>
      <c r="H581">
        <f t="shared" si="116"/>
        <v>26.817</v>
      </c>
      <c r="I581">
        <f t="shared" si="117"/>
        <v>56.988</v>
      </c>
      <c r="J581">
        <f t="shared" si="118"/>
        <v>0</v>
      </c>
      <c r="K581">
        <f t="shared" si="119"/>
        <v>0</v>
      </c>
      <c r="L581">
        <f t="shared" si="120"/>
        <v>0</v>
      </c>
      <c r="N581">
        <v>19925</v>
      </c>
      <c r="O581">
        <v>28696</v>
      </c>
      <c r="P581">
        <v>19985</v>
      </c>
      <c r="T581">
        <v>20753</v>
      </c>
      <c r="U581">
        <v>26817</v>
      </c>
      <c r="V581">
        <v>56988</v>
      </c>
      <c r="AA581" t="s">
        <v>5246</v>
      </c>
      <c r="AC581">
        <v>18695</v>
      </c>
      <c r="AG581" t="s">
        <v>5247</v>
      </c>
      <c r="AI581">
        <v>17956</v>
      </c>
      <c r="AP581" t="s">
        <v>5248</v>
      </c>
      <c r="AR581">
        <v>27480</v>
      </c>
      <c r="AV581" t="s">
        <v>5249</v>
      </c>
      <c r="AX581">
        <v>23670</v>
      </c>
      <c r="BB581" t="s">
        <v>5250</v>
      </c>
      <c r="BD581">
        <v>19340</v>
      </c>
      <c r="BH581" t="s">
        <v>5251</v>
      </c>
      <c r="BJ581">
        <v>55164</v>
      </c>
    </row>
    <row r="582" spans="1:62">
      <c r="A582">
        <f t="shared" si="109"/>
        <v>19.994</v>
      </c>
      <c r="B582">
        <f t="shared" si="110"/>
        <v>28.81</v>
      </c>
      <c r="C582">
        <f t="shared" si="111"/>
        <v>20.38</v>
      </c>
      <c r="D582">
        <f t="shared" si="112"/>
        <v>0</v>
      </c>
      <c r="E582">
        <f t="shared" si="113"/>
        <v>0</v>
      </c>
      <c r="F582">
        <f t="shared" si="114"/>
        <v>0</v>
      </c>
      <c r="G582">
        <f t="shared" si="115"/>
        <v>21.052</v>
      </c>
      <c r="H582">
        <f t="shared" si="116"/>
        <v>26.894</v>
      </c>
      <c r="I582">
        <f t="shared" si="117"/>
        <v>57.052</v>
      </c>
      <c r="J582">
        <f t="shared" si="118"/>
        <v>0</v>
      </c>
      <c r="K582">
        <f t="shared" si="119"/>
        <v>0</v>
      </c>
      <c r="L582">
        <f t="shared" si="120"/>
        <v>0</v>
      </c>
      <c r="N582">
        <v>19994</v>
      </c>
      <c r="O582">
        <v>28810</v>
      </c>
      <c r="P582">
        <v>20380</v>
      </c>
      <c r="T582">
        <v>21052</v>
      </c>
      <c r="U582">
        <v>26894</v>
      </c>
      <c r="V582">
        <v>57052</v>
      </c>
      <c r="AA582" t="s">
        <v>5252</v>
      </c>
      <c r="AC582">
        <v>18800</v>
      </c>
      <c r="AG582" t="s">
        <v>5253</v>
      </c>
      <c r="AI582">
        <v>18260</v>
      </c>
      <c r="AP582" t="s">
        <v>5254</v>
      </c>
      <c r="AR582">
        <v>27488</v>
      </c>
      <c r="AV582" t="s">
        <v>5255</v>
      </c>
      <c r="AX582">
        <v>24225</v>
      </c>
      <c r="BB582" t="s">
        <v>5256</v>
      </c>
      <c r="BD582">
        <v>19425</v>
      </c>
      <c r="BH582" t="s">
        <v>5257</v>
      </c>
      <c r="BJ582">
        <v>55249</v>
      </c>
    </row>
    <row r="583" spans="1:62">
      <c r="A583">
        <f t="shared" si="109"/>
        <v>20.386</v>
      </c>
      <c r="B583">
        <f t="shared" si="110"/>
        <v>29.271</v>
      </c>
      <c r="C583">
        <f t="shared" si="111"/>
        <v>20.583</v>
      </c>
      <c r="D583">
        <f t="shared" si="112"/>
        <v>0</v>
      </c>
      <c r="E583">
        <f t="shared" si="113"/>
        <v>0</v>
      </c>
      <c r="F583">
        <f t="shared" si="114"/>
        <v>0</v>
      </c>
      <c r="G583">
        <f t="shared" si="115"/>
        <v>21.115</v>
      </c>
      <c r="H583">
        <f t="shared" si="116"/>
        <v>27.195</v>
      </c>
      <c r="I583">
        <f t="shared" si="117"/>
        <v>57.157</v>
      </c>
      <c r="J583">
        <f t="shared" si="118"/>
        <v>0</v>
      </c>
      <c r="K583">
        <f t="shared" si="119"/>
        <v>0</v>
      </c>
      <c r="L583">
        <f t="shared" si="120"/>
        <v>0</v>
      </c>
      <c r="N583">
        <v>20386</v>
      </c>
      <c r="O583">
        <v>29271</v>
      </c>
      <c r="P583">
        <v>20583</v>
      </c>
      <c r="T583">
        <v>21115</v>
      </c>
      <c r="U583">
        <v>27195</v>
      </c>
      <c r="V583">
        <v>57157</v>
      </c>
      <c r="AA583" t="s">
        <v>5258</v>
      </c>
      <c r="AC583">
        <v>19002</v>
      </c>
      <c r="AG583" t="s">
        <v>5259</v>
      </c>
      <c r="AI583">
        <v>18410</v>
      </c>
      <c r="AP583" t="s">
        <v>5260</v>
      </c>
      <c r="AR583">
        <v>27677</v>
      </c>
      <c r="AV583" t="s">
        <v>5261</v>
      </c>
      <c r="AX583">
        <v>24248</v>
      </c>
      <c r="BB583" t="s">
        <v>5262</v>
      </c>
      <c r="BD583">
        <v>19616</v>
      </c>
      <c r="BH583" t="s">
        <v>5263</v>
      </c>
      <c r="BJ583">
        <v>55602</v>
      </c>
    </row>
    <row r="584" spans="1:62">
      <c r="A584">
        <f t="shared" si="109"/>
        <v>20.705</v>
      </c>
      <c r="B584">
        <f t="shared" si="110"/>
        <v>29.4</v>
      </c>
      <c r="C584">
        <f t="shared" si="111"/>
        <v>20.596</v>
      </c>
      <c r="D584">
        <f t="shared" si="112"/>
        <v>0</v>
      </c>
      <c r="E584">
        <f t="shared" si="113"/>
        <v>0</v>
      </c>
      <c r="F584">
        <f t="shared" si="114"/>
        <v>0</v>
      </c>
      <c r="G584">
        <f t="shared" si="115"/>
        <v>22.576</v>
      </c>
      <c r="H584">
        <f t="shared" si="116"/>
        <v>27.272</v>
      </c>
      <c r="I584">
        <f t="shared" si="117"/>
        <v>57.539</v>
      </c>
      <c r="J584">
        <f t="shared" si="118"/>
        <v>0</v>
      </c>
      <c r="K584">
        <f t="shared" si="119"/>
        <v>0</v>
      </c>
      <c r="L584">
        <f t="shared" si="120"/>
        <v>0</v>
      </c>
      <c r="N584">
        <v>20705</v>
      </c>
      <c r="O584">
        <v>29400</v>
      </c>
      <c r="P584">
        <v>20596</v>
      </c>
      <c r="T584">
        <v>22576</v>
      </c>
      <c r="U584">
        <v>27272</v>
      </c>
      <c r="V584">
        <v>57539</v>
      </c>
      <c r="AA584" t="s">
        <v>5264</v>
      </c>
      <c r="AC584">
        <v>19131</v>
      </c>
      <c r="AG584" t="s">
        <v>5265</v>
      </c>
      <c r="AI584">
        <v>18499</v>
      </c>
      <c r="AP584" t="s">
        <v>5266</v>
      </c>
      <c r="AR584">
        <v>27689</v>
      </c>
      <c r="AV584" t="s">
        <v>5267</v>
      </c>
      <c r="AX584">
        <v>25038</v>
      </c>
      <c r="BB584" t="s">
        <v>5268</v>
      </c>
      <c r="BD584">
        <v>19646</v>
      </c>
      <c r="BH584" t="s">
        <v>5269</v>
      </c>
      <c r="BJ584">
        <v>55843</v>
      </c>
    </row>
    <row r="585" spans="1:62">
      <c r="A585">
        <f t="shared" si="109"/>
        <v>20.924</v>
      </c>
      <c r="B585">
        <f t="shared" si="110"/>
        <v>29.417</v>
      </c>
      <c r="C585">
        <f t="shared" si="111"/>
        <v>21.189</v>
      </c>
      <c r="D585">
        <f t="shared" si="112"/>
        <v>0</v>
      </c>
      <c r="E585">
        <f t="shared" si="113"/>
        <v>0</v>
      </c>
      <c r="F585">
        <f t="shared" si="114"/>
        <v>0</v>
      </c>
      <c r="G585">
        <f t="shared" si="115"/>
        <v>23.561</v>
      </c>
      <c r="H585">
        <f t="shared" si="116"/>
        <v>27.371</v>
      </c>
      <c r="I585">
        <f t="shared" si="117"/>
        <v>58.44</v>
      </c>
      <c r="J585">
        <f t="shared" si="118"/>
        <v>0</v>
      </c>
      <c r="K585">
        <f t="shared" si="119"/>
        <v>0</v>
      </c>
      <c r="L585">
        <f t="shared" si="120"/>
        <v>0</v>
      </c>
      <c r="N585">
        <v>20924</v>
      </c>
      <c r="O585">
        <v>29417</v>
      </c>
      <c r="P585">
        <v>21189</v>
      </c>
      <c r="T585">
        <v>23561</v>
      </c>
      <c r="U585">
        <v>27371</v>
      </c>
      <c r="V585">
        <v>58440</v>
      </c>
      <c r="AA585" t="s">
        <v>5270</v>
      </c>
      <c r="AC585">
        <v>19172</v>
      </c>
      <c r="AG585" t="s">
        <v>5271</v>
      </c>
      <c r="AI585">
        <v>18729</v>
      </c>
      <c r="AP585" t="s">
        <v>5272</v>
      </c>
      <c r="AR585">
        <v>28322</v>
      </c>
      <c r="AV585" t="s">
        <v>5273</v>
      </c>
      <c r="AX585">
        <v>25822</v>
      </c>
      <c r="BB585" t="s">
        <v>5274</v>
      </c>
      <c r="BD585">
        <v>19704</v>
      </c>
      <c r="BH585" t="s">
        <v>5275</v>
      </c>
      <c r="BJ585">
        <v>56277</v>
      </c>
    </row>
    <row r="586" spans="1:62">
      <c r="A586">
        <f t="shared" si="109"/>
        <v>21.12</v>
      </c>
      <c r="B586">
        <f t="shared" si="110"/>
        <v>29.584</v>
      </c>
      <c r="C586">
        <f t="shared" si="111"/>
        <v>21.547</v>
      </c>
      <c r="D586">
        <f t="shared" si="112"/>
        <v>0</v>
      </c>
      <c r="E586">
        <f t="shared" si="113"/>
        <v>0</v>
      </c>
      <c r="F586">
        <f t="shared" si="114"/>
        <v>0</v>
      </c>
      <c r="G586">
        <f t="shared" si="115"/>
        <v>23.789</v>
      </c>
      <c r="H586">
        <f t="shared" si="116"/>
        <v>27.593</v>
      </c>
      <c r="I586">
        <f t="shared" si="117"/>
        <v>58.52</v>
      </c>
      <c r="J586">
        <f t="shared" si="118"/>
        <v>0</v>
      </c>
      <c r="K586">
        <f t="shared" si="119"/>
        <v>0</v>
      </c>
      <c r="L586">
        <f t="shared" si="120"/>
        <v>0</v>
      </c>
      <c r="N586">
        <v>21120</v>
      </c>
      <c r="O586">
        <v>29584</v>
      </c>
      <c r="P586">
        <v>21547</v>
      </c>
      <c r="T586">
        <v>23789</v>
      </c>
      <c r="U586">
        <v>27593</v>
      </c>
      <c r="V586">
        <v>58520</v>
      </c>
      <c r="AA586" t="s">
        <v>5276</v>
      </c>
      <c r="AC586">
        <v>19521</v>
      </c>
      <c r="AG586" t="s">
        <v>5277</v>
      </c>
      <c r="AI586">
        <v>18752</v>
      </c>
      <c r="AP586" t="s">
        <v>5278</v>
      </c>
      <c r="AR586">
        <v>28364</v>
      </c>
      <c r="AV586" t="s">
        <v>5279</v>
      </c>
      <c r="AX586">
        <v>26544</v>
      </c>
      <c r="BB586" t="s">
        <v>5280</v>
      </c>
      <c r="BD586">
        <v>19751</v>
      </c>
      <c r="BH586" t="s">
        <v>5281</v>
      </c>
      <c r="BJ586">
        <v>56423</v>
      </c>
    </row>
    <row r="587" spans="1:62">
      <c r="A587">
        <f t="shared" si="109"/>
        <v>21.166</v>
      </c>
      <c r="B587">
        <f t="shared" si="110"/>
        <v>29.585</v>
      </c>
      <c r="C587">
        <f t="shared" si="111"/>
        <v>21.67</v>
      </c>
      <c r="D587">
        <f t="shared" si="112"/>
        <v>0</v>
      </c>
      <c r="E587">
        <f t="shared" si="113"/>
        <v>0</v>
      </c>
      <c r="F587">
        <f t="shared" si="114"/>
        <v>0</v>
      </c>
      <c r="G587">
        <f t="shared" si="115"/>
        <v>23.941</v>
      </c>
      <c r="H587">
        <f t="shared" si="116"/>
        <v>27.624</v>
      </c>
      <c r="I587">
        <f t="shared" si="117"/>
        <v>59.239</v>
      </c>
      <c r="J587">
        <f t="shared" si="118"/>
        <v>0</v>
      </c>
      <c r="K587">
        <f t="shared" si="119"/>
        <v>0</v>
      </c>
      <c r="L587">
        <f t="shared" si="120"/>
        <v>0</v>
      </c>
      <c r="N587">
        <v>21166</v>
      </c>
      <c r="O587">
        <v>29585</v>
      </c>
      <c r="P587">
        <v>21670</v>
      </c>
      <c r="T587">
        <v>23941</v>
      </c>
      <c r="U587">
        <v>27624</v>
      </c>
      <c r="V587">
        <v>59239</v>
      </c>
      <c r="AA587" t="s">
        <v>5282</v>
      </c>
      <c r="AC587">
        <v>19669</v>
      </c>
      <c r="AG587" t="s">
        <v>5283</v>
      </c>
      <c r="AI587">
        <v>19307</v>
      </c>
      <c r="AP587" t="s">
        <v>5284</v>
      </c>
      <c r="AR587">
        <v>28537</v>
      </c>
      <c r="AV587" t="s">
        <v>5285</v>
      </c>
      <c r="AX587">
        <v>26719</v>
      </c>
      <c r="BB587" t="s">
        <v>5286</v>
      </c>
      <c r="BD587">
        <v>19830</v>
      </c>
      <c r="BH587" t="s">
        <v>5287</v>
      </c>
      <c r="BJ587">
        <v>56863</v>
      </c>
    </row>
    <row r="588" spans="1:62">
      <c r="A588">
        <f t="shared" si="109"/>
        <v>21.18</v>
      </c>
      <c r="B588">
        <f t="shared" si="110"/>
        <v>29.949</v>
      </c>
      <c r="C588">
        <f t="shared" si="111"/>
        <v>22.371</v>
      </c>
      <c r="D588">
        <f t="shared" si="112"/>
        <v>0</v>
      </c>
      <c r="E588">
        <f t="shared" si="113"/>
        <v>0</v>
      </c>
      <c r="F588">
        <f t="shared" si="114"/>
        <v>0</v>
      </c>
      <c r="G588">
        <f t="shared" si="115"/>
        <v>25.82</v>
      </c>
      <c r="H588">
        <f t="shared" si="116"/>
        <v>28.649</v>
      </c>
      <c r="I588">
        <f t="shared" si="117"/>
        <v>59.343</v>
      </c>
      <c r="J588">
        <f t="shared" si="118"/>
        <v>0</v>
      </c>
      <c r="K588">
        <f t="shared" si="119"/>
        <v>0</v>
      </c>
      <c r="L588">
        <f t="shared" si="120"/>
        <v>0</v>
      </c>
      <c r="N588">
        <v>21180</v>
      </c>
      <c r="O588">
        <v>29949</v>
      </c>
      <c r="P588">
        <v>22371</v>
      </c>
      <c r="T588">
        <v>25820</v>
      </c>
      <c r="U588">
        <v>28649</v>
      </c>
      <c r="V588">
        <v>59343</v>
      </c>
      <c r="AA588" t="s">
        <v>5288</v>
      </c>
      <c r="AC588">
        <v>19805</v>
      </c>
      <c r="AG588" t="s">
        <v>5289</v>
      </c>
      <c r="AI588">
        <v>19493</v>
      </c>
      <c r="AP588" t="s">
        <v>5290</v>
      </c>
      <c r="AR588">
        <v>28696</v>
      </c>
      <c r="AV588" t="s">
        <v>5291</v>
      </c>
      <c r="AX588">
        <v>26817</v>
      </c>
      <c r="BB588" t="s">
        <v>5292</v>
      </c>
      <c r="BD588">
        <v>19958</v>
      </c>
      <c r="BH588" t="s">
        <v>5293</v>
      </c>
      <c r="BJ588">
        <v>56969</v>
      </c>
    </row>
    <row r="589" spans="1:62">
      <c r="A589">
        <f t="shared" si="109"/>
        <v>21.225</v>
      </c>
      <c r="B589">
        <f t="shared" si="110"/>
        <v>30.847</v>
      </c>
      <c r="C589">
        <f t="shared" si="111"/>
        <v>22.989</v>
      </c>
      <c r="D589">
        <f t="shared" si="112"/>
        <v>0</v>
      </c>
      <c r="E589">
        <f t="shared" si="113"/>
        <v>0</v>
      </c>
      <c r="F589">
        <f t="shared" si="114"/>
        <v>0</v>
      </c>
      <c r="G589">
        <f t="shared" si="115"/>
        <v>25.88</v>
      </c>
      <c r="H589">
        <f t="shared" si="116"/>
        <v>28.679</v>
      </c>
      <c r="I589">
        <f t="shared" si="117"/>
        <v>59.54</v>
      </c>
      <c r="J589">
        <f t="shared" si="118"/>
        <v>0</v>
      </c>
      <c r="K589">
        <f t="shared" si="119"/>
        <v>0</v>
      </c>
      <c r="L589">
        <f t="shared" si="120"/>
        <v>0</v>
      </c>
      <c r="N589">
        <v>21225</v>
      </c>
      <c r="O589">
        <v>30847</v>
      </c>
      <c r="P589">
        <v>22989</v>
      </c>
      <c r="T589">
        <v>25880</v>
      </c>
      <c r="U589">
        <v>28679</v>
      </c>
      <c r="V589">
        <v>59540</v>
      </c>
      <c r="AA589" t="s">
        <v>5294</v>
      </c>
      <c r="AC589">
        <v>19925</v>
      </c>
      <c r="AG589" t="s">
        <v>5295</v>
      </c>
      <c r="AI589">
        <v>20753</v>
      </c>
      <c r="AP589" t="s">
        <v>5296</v>
      </c>
      <c r="AR589">
        <v>28810</v>
      </c>
      <c r="AV589" t="s">
        <v>5297</v>
      </c>
      <c r="AX589">
        <v>26894</v>
      </c>
      <c r="BB589" t="s">
        <v>5298</v>
      </c>
      <c r="BD589">
        <v>19985</v>
      </c>
      <c r="BH589" t="s">
        <v>5299</v>
      </c>
      <c r="BJ589">
        <v>56988</v>
      </c>
    </row>
    <row r="590" spans="1:62">
      <c r="A590">
        <f t="shared" si="109"/>
        <v>21.292</v>
      </c>
      <c r="B590">
        <f t="shared" si="110"/>
        <v>30.976</v>
      </c>
      <c r="C590">
        <f t="shared" si="111"/>
        <v>23.107</v>
      </c>
      <c r="D590">
        <f t="shared" si="112"/>
        <v>0</v>
      </c>
      <c r="E590">
        <f t="shared" si="113"/>
        <v>0</v>
      </c>
      <c r="F590">
        <f t="shared" si="114"/>
        <v>0</v>
      </c>
      <c r="G590">
        <f t="shared" si="115"/>
        <v>26.128</v>
      </c>
      <c r="H590">
        <f t="shared" si="116"/>
        <v>28.796</v>
      </c>
      <c r="I590">
        <f t="shared" si="117"/>
        <v>59.933</v>
      </c>
      <c r="J590">
        <f t="shared" si="118"/>
        <v>0</v>
      </c>
      <c r="K590">
        <f t="shared" si="119"/>
        <v>0</v>
      </c>
      <c r="L590">
        <f t="shared" si="120"/>
        <v>0</v>
      </c>
      <c r="N590">
        <v>21292</v>
      </c>
      <c r="O590">
        <v>30976</v>
      </c>
      <c r="P590">
        <v>23107</v>
      </c>
      <c r="T590">
        <v>26128</v>
      </c>
      <c r="U590">
        <v>28796</v>
      </c>
      <c r="V590">
        <v>59933</v>
      </c>
      <c r="AA590" t="s">
        <v>5300</v>
      </c>
      <c r="AC590">
        <v>19994</v>
      </c>
      <c r="AG590" t="s">
        <v>5301</v>
      </c>
      <c r="AI590">
        <v>21052</v>
      </c>
      <c r="AP590" t="s">
        <v>5302</v>
      </c>
      <c r="AR590">
        <v>29271</v>
      </c>
      <c r="AV590" t="s">
        <v>5303</v>
      </c>
      <c r="AX590">
        <v>27195</v>
      </c>
      <c r="BB590" t="s">
        <v>5304</v>
      </c>
      <c r="BD590">
        <v>20380</v>
      </c>
      <c r="BH590" t="s">
        <v>5305</v>
      </c>
      <c r="BJ590">
        <v>57052</v>
      </c>
    </row>
    <row r="591" spans="1:62">
      <c r="A591">
        <f t="shared" si="109"/>
        <v>21.674</v>
      </c>
      <c r="B591">
        <f t="shared" si="110"/>
        <v>31.743</v>
      </c>
      <c r="C591">
        <f t="shared" si="111"/>
        <v>23.332</v>
      </c>
      <c r="D591">
        <f t="shared" si="112"/>
        <v>0</v>
      </c>
      <c r="E591">
        <f t="shared" si="113"/>
        <v>0</v>
      </c>
      <c r="F591">
        <f t="shared" si="114"/>
        <v>0</v>
      </c>
      <c r="G591">
        <f t="shared" si="115"/>
        <v>26.948</v>
      </c>
      <c r="H591">
        <f t="shared" si="116"/>
        <v>28.801</v>
      </c>
      <c r="I591">
        <f t="shared" si="117"/>
        <v>60.114</v>
      </c>
      <c r="J591">
        <f t="shared" si="118"/>
        <v>0</v>
      </c>
      <c r="K591">
        <f t="shared" si="119"/>
        <v>0</v>
      </c>
      <c r="L591">
        <f t="shared" si="120"/>
        <v>0</v>
      </c>
      <c r="N591">
        <v>21674</v>
      </c>
      <c r="O591">
        <v>31743</v>
      </c>
      <c r="P591">
        <v>23332</v>
      </c>
      <c r="T591">
        <v>26948</v>
      </c>
      <c r="U591">
        <v>28801</v>
      </c>
      <c r="V591">
        <v>60114</v>
      </c>
      <c r="AA591" t="s">
        <v>5306</v>
      </c>
      <c r="AC591">
        <v>20386</v>
      </c>
      <c r="AG591" t="s">
        <v>5307</v>
      </c>
      <c r="AI591">
        <v>21115</v>
      </c>
      <c r="AP591" t="s">
        <v>5308</v>
      </c>
      <c r="AR591">
        <v>29400</v>
      </c>
      <c r="AV591" t="s">
        <v>5309</v>
      </c>
      <c r="AX591">
        <v>27272</v>
      </c>
      <c r="BB591" t="s">
        <v>5310</v>
      </c>
      <c r="BD591">
        <v>20583</v>
      </c>
      <c r="BH591" t="s">
        <v>5311</v>
      </c>
      <c r="BJ591">
        <v>57157</v>
      </c>
    </row>
    <row r="592" spans="1:62">
      <c r="A592">
        <f t="shared" si="109"/>
        <v>21.897</v>
      </c>
      <c r="B592">
        <f t="shared" si="110"/>
        <v>33.101</v>
      </c>
      <c r="C592">
        <f t="shared" si="111"/>
        <v>23.425</v>
      </c>
      <c r="D592">
        <f t="shared" si="112"/>
        <v>0</v>
      </c>
      <c r="E592">
        <f t="shared" si="113"/>
        <v>0</v>
      </c>
      <c r="F592">
        <f t="shared" si="114"/>
        <v>0</v>
      </c>
      <c r="G592">
        <f t="shared" si="115"/>
        <v>27.538</v>
      </c>
      <c r="H592">
        <f t="shared" si="116"/>
        <v>29.327</v>
      </c>
      <c r="I592">
        <f t="shared" si="117"/>
        <v>60.27</v>
      </c>
      <c r="J592">
        <f t="shared" si="118"/>
        <v>0</v>
      </c>
      <c r="K592">
        <f t="shared" si="119"/>
        <v>0</v>
      </c>
      <c r="L592">
        <f t="shared" si="120"/>
        <v>0</v>
      </c>
      <c r="N592">
        <v>21897</v>
      </c>
      <c r="O592">
        <v>33101</v>
      </c>
      <c r="P592">
        <v>23425</v>
      </c>
      <c r="T592">
        <v>27538</v>
      </c>
      <c r="U592">
        <v>29327</v>
      </c>
      <c r="V592">
        <v>60270</v>
      </c>
      <c r="AA592" t="s">
        <v>5312</v>
      </c>
      <c r="AC592">
        <v>20705</v>
      </c>
      <c r="AG592" t="s">
        <v>5313</v>
      </c>
      <c r="AI592">
        <v>22576</v>
      </c>
      <c r="AP592" t="s">
        <v>5314</v>
      </c>
      <c r="AR592">
        <v>29417</v>
      </c>
      <c r="AV592" t="s">
        <v>5315</v>
      </c>
      <c r="AX592">
        <v>27371</v>
      </c>
      <c r="BB592" t="s">
        <v>5316</v>
      </c>
      <c r="BD592">
        <v>20596</v>
      </c>
      <c r="BH592" t="s">
        <v>5317</v>
      </c>
      <c r="BJ592">
        <v>57539</v>
      </c>
    </row>
    <row r="593" spans="1:62">
      <c r="A593">
        <f t="shared" si="109"/>
        <v>22.045</v>
      </c>
      <c r="B593">
        <f t="shared" si="110"/>
        <v>34.189</v>
      </c>
      <c r="C593">
        <f t="shared" si="111"/>
        <v>23.48</v>
      </c>
      <c r="D593">
        <f t="shared" si="112"/>
        <v>0</v>
      </c>
      <c r="E593">
        <f t="shared" si="113"/>
        <v>0</v>
      </c>
      <c r="F593">
        <f t="shared" si="114"/>
        <v>0</v>
      </c>
      <c r="G593">
        <f t="shared" si="115"/>
        <v>27.781</v>
      </c>
      <c r="H593">
        <f t="shared" si="116"/>
        <v>31.699</v>
      </c>
      <c r="I593">
        <f t="shared" si="117"/>
        <v>60.451</v>
      </c>
      <c r="J593">
        <f t="shared" si="118"/>
        <v>0</v>
      </c>
      <c r="K593">
        <f t="shared" si="119"/>
        <v>0</v>
      </c>
      <c r="L593">
        <f t="shared" si="120"/>
        <v>0</v>
      </c>
      <c r="N593">
        <v>22045</v>
      </c>
      <c r="O593">
        <v>34189</v>
      </c>
      <c r="P593">
        <v>23480</v>
      </c>
      <c r="T593">
        <v>27781</v>
      </c>
      <c r="U593">
        <v>31699</v>
      </c>
      <c r="V593">
        <v>60451</v>
      </c>
      <c r="AA593" t="s">
        <v>5318</v>
      </c>
      <c r="AC593">
        <v>20924</v>
      </c>
      <c r="AG593" t="s">
        <v>5319</v>
      </c>
      <c r="AI593">
        <v>23561</v>
      </c>
      <c r="AP593" t="s">
        <v>5320</v>
      </c>
      <c r="AR593">
        <v>29584</v>
      </c>
      <c r="AV593" t="s">
        <v>5321</v>
      </c>
      <c r="AX593">
        <v>27593</v>
      </c>
      <c r="BB593" t="s">
        <v>5322</v>
      </c>
      <c r="BD593">
        <v>21189</v>
      </c>
      <c r="BH593" t="s">
        <v>5323</v>
      </c>
      <c r="BJ593">
        <v>58440</v>
      </c>
    </row>
    <row r="594" spans="1:62">
      <c r="A594">
        <f t="shared" si="109"/>
        <v>22.816</v>
      </c>
      <c r="B594">
        <f t="shared" si="110"/>
        <v>34.717</v>
      </c>
      <c r="C594">
        <f t="shared" si="111"/>
        <v>23.552</v>
      </c>
      <c r="D594">
        <f t="shared" si="112"/>
        <v>0</v>
      </c>
      <c r="E594">
        <f t="shared" si="113"/>
        <v>0</v>
      </c>
      <c r="F594">
        <f t="shared" si="114"/>
        <v>0</v>
      </c>
      <c r="G594">
        <f t="shared" si="115"/>
        <v>28.968</v>
      </c>
      <c r="H594">
        <f t="shared" si="116"/>
        <v>31.945</v>
      </c>
      <c r="I594">
        <f t="shared" si="117"/>
        <v>60.564</v>
      </c>
      <c r="J594">
        <f t="shared" si="118"/>
        <v>0</v>
      </c>
      <c r="K594">
        <f t="shared" si="119"/>
        <v>0</v>
      </c>
      <c r="L594">
        <f t="shared" si="120"/>
        <v>0</v>
      </c>
      <c r="N594">
        <v>22816</v>
      </c>
      <c r="O594">
        <v>34717</v>
      </c>
      <c r="P594">
        <v>23552</v>
      </c>
      <c r="T594">
        <v>28968</v>
      </c>
      <c r="U594">
        <v>31945</v>
      </c>
      <c r="V594">
        <v>60564</v>
      </c>
      <c r="AA594" t="s">
        <v>5324</v>
      </c>
      <c r="AC594">
        <v>21120</v>
      </c>
      <c r="AG594" t="s">
        <v>5325</v>
      </c>
      <c r="AI594">
        <v>23789</v>
      </c>
      <c r="AP594" t="s">
        <v>5326</v>
      </c>
      <c r="AR594">
        <v>29585</v>
      </c>
      <c r="AV594" t="s">
        <v>5327</v>
      </c>
      <c r="AX594">
        <v>27624</v>
      </c>
      <c r="BB594" t="s">
        <v>5328</v>
      </c>
      <c r="BD594">
        <v>21547</v>
      </c>
      <c r="BH594" t="s">
        <v>5329</v>
      </c>
      <c r="BJ594">
        <v>58520</v>
      </c>
    </row>
    <row r="595" spans="1:62">
      <c r="A595">
        <f t="shared" si="109"/>
        <v>24.192</v>
      </c>
      <c r="B595">
        <f t="shared" si="110"/>
        <v>36.257</v>
      </c>
      <c r="C595">
        <f t="shared" si="111"/>
        <v>24.222</v>
      </c>
      <c r="D595">
        <f t="shared" si="112"/>
        <v>0</v>
      </c>
      <c r="E595">
        <f t="shared" si="113"/>
        <v>0</v>
      </c>
      <c r="F595">
        <f t="shared" si="114"/>
        <v>0</v>
      </c>
      <c r="G595">
        <f t="shared" si="115"/>
        <v>31.307</v>
      </c>
      <c r="H595">
        <f t="shared" si="116"/>
        <v>32.22</v>
      </c>
      <c r="I595">
        <f t="shared" si="117"/>
        <v>61.64</v>
      </c>
      <c r="J595">
        <f t="shared" si="118"/>
        <v>0</v>
      </c>
      <c r="K595">
        <f t="shared" si="119"/>
        <v>0</v>
      </c>
      <c r="L595">
        <f t="shared" si="120"/>
        <v>0</v>
      </c>
      <c r="N595">
        <v>24192</v>
      </c>
      <c r="O595">
        <v>36257</v>
      </c>
      <c r="P595">
        <v>24222</v>
      </c>
      <c r="T595">
        <v>31307</v>
      </c>
      <c r="U595">
        <v>32220</v>
      </c>
      <c r="V595">
        <v>61640</v>
      </c>
      <c r="AA595" t="s">
        <v>5330</v>
      </c>
      <c r="AC595">
        <v>21166</v>
      </c>
      <c r="AG595" t="s">
        <v>5331</v>
      </c>
      <c r="AI595">
        <v>23941</v>
      </c>
      <c r="AP595" t="s">
        <v>5332</v>
      </c>
      <c r="AR595">
        <v>29949</v>
      </c>
      <c r="AV595" t="s">
        <v>5333</v>
      </c>
      <c r="AX595">
        <v>28649</v>
      </c>
      <c r="BB595" t="s">
        <v>5334</v>
      </c>
      <c r="BD595">
        <v>21670</v>
      </c>
      <c r="BH595" t="s">
        <v>5335</v>
      </c>
      <c r="BJ595">
        <v>59239</v>
      </c>
    </row>
    <row r="596" spans="1:62">
      <c r="A596">
        <f t="shared" si="109"/>
        <v>24.291</v>
      </c>
      <c r="B596">
        <f t="shared" si="110"/>
        <v>36.364</v>
      </c>
      <c r="C596">
        <f t="shared" si="111"/>
        <v>25.096</v>
      </c>
      <c r="D596">
        <f t="shared" si="112"/>
        <v>0</v>
      </c>
      <c r="E596">
        <f t="shared" si="113"/>
        <v>0</v>
      </c>
      <c r="F596">
        <f t="shared" si="114"/>
        <v>0</v>
      </c>
      <c r="G596">
        <f t="shared" si="115"/>
        <v>31.43</v>
      </c>
      <c r="H596">
        <f t="shared" si="116"/>
        <v>35.031</v>
      </c>
      <c r="I596">
        <f t="shared" si="117"/>
        <v>63.216</v>
      </c>
      <c r="J596">
        <f t="shared" si="118"/>
        <v>0</v>
      </c>
      <c r="K596">
        <f t="shared" si="119"/>
        <v>0</v>
      </c>
      <c r="L596">
        <f t="shared" si="120"/>
        <v>0</v>
      </c>
      <c r="N596">
        <v>24291</v>
      </c>
      <c r="O596">
        <v>36364</v>
      </c>
      <c r="P596">
        <v>25096</v>
      </c>
      <c r="T596">
        <v>31430</v>
      </c>
      <c r="U596">
        <v>35031</v>
      </c>
      <c r="V596">
        <v>63216</v>
      </c>
      <c r="AA596" t="s">
        <v>5336</v>
      </c>
      <c r="AC596">
        <v>21180</v>
      </c>
      <c r="AG596" t="s">
        <v>5337</v>
      </c>
      <c r="AI596">
        <v>25820</v>
      </c>
      <c r="AP596" t="s">
        <v>5338</v>
      </c>
      <c r="AR596">
        <v>30847</v>
      </c>
      <c r="AV596" t="s">
        <v>5339</v>
      </c>
      <c r="AX596">
        <v>28679</v>
      </c>
      <c r="BB596" t="s">
        <v>5340</v>
      </c>
      <c r="BD596">
        <v>22371</v>
      </c>
      <c r="BH596" t="s">
        <v>5341</v>
      </c>
      <c r="BJ596">
        <v>59343</v>
      </c>
    </row>
    <row r="597" spans="1:62">
      <c r="A597">
        <f t="shared" si="109"/>
        <v>25.121</v>
      </c>
      <c r="B597">
        <f t="shared" si="110"/>
        <v>37.542</v>
      </c>
      <c r="C597">
        <f t="shared" si="111"/>
        <v>27.272</v>
      </c>
      <c r="D597">
        <f t="shared" si="112"/>
        <v>0</v>
      </c>
      <c r="E597">
        <f t="shared" si="113"/>
        <v>0</v>
      </c>
      <c r="F597">
        <f t="shared" si="114"/>
        <v>0</v>
      </c>
      <c r="G597">
        <f t="shared" si="115"/>
        <v>31.842</v>
      </c>
      <c r="H597">
        <f t="shared" si="116"/>
        <v>35.494</v>
      </c>
      <c r="I597">
        <f t="shared" si="117"/>
        <v>63.917</v>
      </c>
      <c r="J597">
        <f t="shared" si="118"/>
        <v>0</v>
      </c>
      <c r="K597">
        <f t="shared" si="119"/>
        <v>0</v>
      </c>
      <c r="L597">
        <f t="shared" si="120"/>
        <v>0</v>
      </c>
      <c r="N597">
        <v>25121</v>
      </c>
      <c r="O597">
        <v>37542</v>
      </c>
      <c r="P597">
        <v>27272</v>
      </c>
      <c r="T597">
        <v>31842</v>
      </c>
      <c r="U597">
        <v>35494</v>
      </c>
      <c r="V597">
        <v>63917</v>
      </c>
      <c r="AA597" t="s">
        <v>5342</v>
      </c>
      <c r="AC597">
        <v>21225</v>
      </c>
      <c r="AG597" t="s">
        <v>5343</v>
      </c>
      <c r="AI597">
        <v>25880</v>
      </c>
      <c r="AP597" t="s">
        <v>5344</v>
      </c>
      <c r="AR597">
        <v>30976</v>
      </c>
      <c r="AV597" t="s">
        <v>5345</v>
      </c>
      <c r="AX597">
        <v>28796</v>
      </c>
      <c r="BB597" t="s">
        <v>5346</v>
      </c>
      <c r="BD597">
        <v>22989</v>
      </c>
      <c r="BH597" t="s">
        <v>5347</v>
      </c>
      <c r="BJ597">
        <v>59540</v>
      </c>
    </row>
    <row r="598" spans="1:62">
      <c r="A598">
        <f t="shared" si="109"/>
        <v>25.729</v>
      </c>
      <c r="B598">
        <f t="shared" si="110"/>
        <v>38.639</v>
      </c>
      <c r="C598">
        <f t="shared" si="111"/>
        <v>28.044</v>
      </c>
      <c r="D598">
        <f t="shared" si="112"/>
        <v>0</v>
      </c>
      <c r="E598">
        <f t="shared" si="113"/>
        <v>0</v>
      </c>
      <c r="F598">
        <f t="shared" si="114"/>
        <v>0</v>
      </c>
      <c r="G598">
        <f t="shared" si="115"/>
        <v>35.387</v>
      </c>
      <c r="H598">
        <f t="shared" si="116"/>
        <v>35.605</v>
      </c>
      <c r="I598">
        <f t="shared" si="117"/>
        <v>65.178</v>
      </c>
      <c r="J598">
        <f t="shared" si="118"/>
        <v>0</v>
      </c>
      <c r="K598">
        <f t="shared" si="119"/>
        <v>0</v>
      </c>
      <c r="L598">
        <f t="shared" si="120"/>
        <v>0</v>
      </c>
      <c r="N598">
        <v>25729</v>
      </c>
      <c r="O598">
        <v>38639</v>
      </c>
      <c r="P598">
        <v>28044</v>
      </c>
      <c r="T598">
        <v>35387</v>
      </c>
      <c r="U598">
        <v>35605</v>
      </c>
      <c r="V598">
        <v>65178</v>
      </c>
      <c r="AA598" t="s">
        <v>5348</v>
      </c>
      <c r="AC598">
        <v>21292</v>
      </c>
      <c r="AG598" t="s">
        <v>5349</v>
      </c>
      <c r="AI598">
        <v>26128</v>
      </c>
      <c r="AP598" t="s">
        <v>5350</v>
      </c>
      <c r="AR598">
        <v>31743</v>
      </c>
      <c r="AV598" t="s">
        <v>5351</v>
      </c>
      <c r="AX598">
        <v>28801</v>
      </c>
      <c r="BB598" t="s">
        <v>5348</v>
      </c>
      <c r="BD598">
        <v>23107</v>
      </c>
      <c r="BH598" t="s">
        <v>5352</v>
      </c>
      <c r="BJ598">
        <v>59933</v>
      </c>
    </row>
    <row r="599" spans="1:62">
      <c r="A599">
        <f t="shared" si="109"/>
        <v>26.201</v>
      </c>
      <c r="B599">
        <f t="shared" si="110"/>
        <v>46.652</v>
      </c>
      <c r="C599">
        <f t="shared" si="111"/>
        <v>30.453</v>
      </c>
      <c r="D599">
        <f t="shared" si="112"/>
        <v>0</v>
      </c>
      <c r="E599">
        <f t="shared" si="113"/>
        <v>0</v>
      </c>
      <c r="F599">
        <f t="shared" si="114"/>
        <v>0</v>
      </c>
      <c r="G599">
        <f t="shared" si="115"/>
        <v>38.7</v>
      </c>
      <c r="H599">
        <f t="shared" si="116"/>
        <v>38.623</v>
      </c>
      <c r="I599">
        <f t="shared" si="117"/>
        <v>67.29</v>
      </c>
      <c r="J599">
        <f t="shared" si="118"/>
        <v>0</v>
      </c>
      <c r="K599">
        <f t="shared" si="119"/>
        <v>0</v>
      </c>
      <c r="L599">
        <f t="shared" si="120"/>
        <v>0</v>
      </c>
      <c r="N599">
        <v>26201</v>
      </c>
      <c r="O599">
        <v>46652</v>
      </c>
      <c r="P599">
        <v>30453</v>
      </c>
      <c r="T599">
        <v>38700</v>
      </c>
      <c r="U599">
        <v>38623</v>
      </c>
      <c r="V599">
        <v>67290</v>
      </c>
      <c r="AA599" t="s">
        <v>5353</v>
      </c>
      <c r="AC599">
        <v>21674</v>
      </c>
      <c r="AG599" t="s">
        <v>5354</v>
      </c>
      <c r="AI599">
        <v>26948</v>
      </c>
      <c r="AP599" t="s">
        <v>5355</v>
      </c>
      <c r="AR599">
        <v>33101</v>
      </c>
      <c r="AV599" t="s">
        <v>5356</v>
      </c>
      <c r="AX599">
        <v>29327</v>
      </c>
      <c r="BB599" t="s">
        <v>5357</v>
      </c>
      <c r="BD599">
        <v>23332</v>
      </c>
      <c r="BH599" t="s">
        <v>5358</v>
      </c>
      <c r="BJ599">
        <v>60114</v>
      </c>
    </row>
    <row r="600" spans="1:62">
      <c r="A600">
        <f t="shared" si="109"/>
        <v>26.3</v>
      </c>
      <c r="B600">
        <f t="shared" si="110"/>
        <v>47.704</v>
      </c>
      <c r="C600">
        <f t="shared" si="111"/>
        <v>31.184</v>
      </c>
      <c r="D600">
        <f t="shared" si="112"/>
        <v>0</v>
      </c>
      <c r="E600">
        <f t="shared" si="113"/>
        <v>0</v>
      </c>
      <c r="F600">
        <f t="shared" si="114"/>
        <v>0</v>
      </c>
      <c r="G600">
        <f t="shared" si="115"/>
        <v>40.059</v>
      </c>
      <c r="H600">
        <f t="shared" si="116"/>
        <v>43.436</v>
      </c>
      <c r="I600">
        <f t="shared" si="117"/>
        <v>68.597</v>
      </c>
      <c r="J600">
        <f t="shared" si="118"/>
        <v>0</v>
      </c>
      <c r="K600">
        <f t="shared" si="119"/>
        <v>0</v>
      </c>
      <c r="L600">
        <f t="shared" si="120"/>
        <v>0</v>
      </c>
      <c r="N600">
        <v>26300</v>
      </c>
      <c r="O600">
        <v>47704</v>
      </c>
      <c r="P600">
        <v>31184</v>
      </c>
      <c r="T600">
        <v>40059</v>
      </c>
      <c r="U600">
        <v>43436</v>
      </c>
      <c r="V600">
        <v>68597</v>
      </c>
      <c r="AA600" t="s">
        <v>5359</v>
      </c>
      <c r="AC600">
        <v>21897</v>
      </c>
      <c r="AG600" t="s">
        <v>5360</v>
      </c>
      <c r="AI600">
        <v>27538</v>
      </c>
      <c r="AP600" t="s">
        <v>5361</v>
      </c>
      <c r="AR600">
        <v>34189</v>
      </c>
      <c r="AV600" t="s">
        <v>5362</v>
      </c>
      <c r="AX600">
        <v>31699</v>
      </c>
      <c r="BB600" t="s">
        <v>5363</v>
      </c>
      <c r="BD600">
        <v>23425</v>
      </c>
      <c r="BH600" t="s">
        <v>5364</v>
      </c>
      <c r="BJ600">
        <v>60270</v>
      </c>
    </row>
    <row r="601" spans="1:62">
      <c r="A601">
        <f t="shared" si="109"/>
        <v>29.276</v>
      </c>
      <c r="B601">
        <f t="shared" si="110"/>
        <v>49.083</v>
      </c>
      <c r="C601">
        <f t="shared" si="111"/>
        <v>53.457</v>
      </c>
      <c r="D601">
        <f t="shared" si="112"/>
        <v>0</v>
      </c>
      <c r="E601">
        <f t="shared" si="113"/>
        <v>0</v>
      </c>
      <c r="F601">
        <f t="shared" si="114"/>
        <v>0</v>
      </c>
      <c r="G601">
        <f t="shared" si="115"/>
        <v>48.286</v>
      </c>
      <c r="H601">
        <f t="shared" si="116"/>
        <v>49.103</v>
      </c>
      <c r="I601">
        <f t="shared" si="117"/>
        <v>68.906</v>
      </c>
      <c r="J601">
        <f t="shared" si="118"/>
        <v>0</v>
      </c>
      <c r="K601">
        <f t="shared" si="119"/>
        <v>0</v>
      </c>
      <c r="L601">
        <f t="shared" si="120"/>
        <v>0</v>
      </c>
      <c r="N601">
        <v>29276</v>
      </c>
      <c r="O601">
        <v>49083</v>
      </c>
      <c r="P601">
        <v>53457</v>
      </c>
      <c r="T601">
        <v>48286</v>
      </c>
      <c r="U601">
        <v>49103</v>
      </c>
      <c r="V601">
        <v>68906</v>
      </c>
      <c r="AA601" t="s">
        <v>5365</v>
      </c>
      <c r="AC601">
        <v>22045</v>
      </c>
      <c r="AG601" t="s">
        <v>5366</v>
      </c>
      <c r="AI601">
        <v>27781</v>
      </c>
      <c r="AP601" t="s">
        <v>5367</v>
      </c>
      <c r="AR601">
        <v>34717</v>
      </c>
      <c r="AV601" t="s">
        <v>5368</v>
      </c>
      <c r="AX601">
        <v>31945</v>
      </c>
      <c r="BB601" t="s">
        <v>5369</v>
      </c>
      <c r="BD601">
        <v>23480</v>
      </c>
      <c r="BH601" t="s">
        <v>5370</v>
      </c>
      <c r="BJ601">
        <v>60451</v>
      </c>
    </row>
    <row r="602" spans="1:62">
      <c r="A602">
        <f t="shared" si="109"/>
        <v>104.046</v>
      </c>
      <c r="B602">
        <f t="shared" si="110"/>
        <v>103.462</v>
      </c>
      <c r="C602">
        <f t="shared" si="111"/>
        <v>103.571</v>
      </c>
      <c r="D602">
        <f t="shared" si="112"/>
        <v>0</v>
      </c>
      <c r="E602">
        <f t="shared" si="113"/>
        <v>0</v>
      </c>
      <c r="F602">
        <f t="shared" si="114"/>
        <v>0</v>
      </c>
      <c r="G602">
        <f t="shared" si="115"/>
        <v>51.182</v>
      </c>
      <c r="H602">
        <f t="shared" si="116"/>
        <v>51.602</v>
      </c>
      <c r="I602">
        <f t="shared" si="117"/>
        <v>85.758</v>
      </c>
      <c r="J602">
        <f t="shared" si="118"/>
        <v>0</v>
      </c>
      <c r="K602">
        <f t="shared" si="119"/>
        <v>0</v>
      </c>
      <c r="L602">
        <f t="shared" si="120"/>
        <v>0</v>
      </c>
      <c r="N602">
        <v>104046</v>
      </c>
      <c r="O602">
        <v>103462</v>
      </c>
      <c r="P602">
        <v>103571</v>
      </c>
      <c r="T602">
        <v>51182</v>
      </c>
      <c r="U602">
        <v>51602</v>
      </c>
      <c r="V602">
        <v>85758</v>
      </c>
      <c r="AA602" t="s">
        <v>5371</v>
      </c>
      <c r="AC602">
        <v>22816</v>
      </c>
      <c r="AG602" t="s">
        <v>5372</v>
      </c>
      <c r="AI602">
        <v>28968</v>
      </c>
      <c r="AP602" t="s">
        <v>5373</v>
      </c>
      <c r="AR602">
        <v>36257</v>
      </c>
      <c r="AV602" t="s">
        <v>5374</v>
      </c>
      <c r="AX602">
        <v>32220</v>
      </c>
      <c r="BB602" t="s">
        <v>5375</v>
      </c>
      <c r="BD602">
        <v>23552</v>
      </c>
      <c r="BH602" t="s">
        <v>5376</v>
      </c>
      <c r="BJ602">
        <v>60564</v>
      </c>
    </row>
    <row r="603" spans="27:62">
      <c r="AA603" t="s">
        <v>5377</v>
      </c>
      <c r="AC603">
        <v>24192</v>
      </c>
      <c r="AG603" t="s">
        <v>5378</v>
      </c>
      <c r="AI603">
        <v>31307</v>
      </c>
      <c r="AP603" t="s">
        <v>5379</v>
      </c>
      <c r="AR603">
        <v>36364</v>
      </c>
      <c r="AV603" t="s">
        <v>5380</v>
      </c>
      <c r="AX603">
        <v>35031</v>
      </c>
      <c r="BB603" t="s">
        <v>5381</v>
      </c>
      <c r="BD603">
        <v>24222</v>
      </c>
      <c r="BH603" t="s">
        <v>5382</v>
      </c>
      <c r="BJ603">
        <v>61640</v>
      </c>
    </row>
    <row r="604" spans="27:62">
      <c r="AA604" t="s">
        <v>5383</v>
      </c>
      <c r="AC604">
        <v>24291</v>
      </c>
      <c r="AG604" t="s">
        <v>5384</v>
      </c>
      <c r="AI604">
        <v>31430</v>
      </c>
      <c r="AP604" t="s">
        <v>5385</v>
      </c>
      <c r="AR604">
        <v>37542</v>
      </c>
      <c r="AV604" t="s">
        <v>5386</v>
      </c>
      <c r="AX604">
        <v>35494</v>
      </c>
      <c r="BB604" t="s">
        <v>5387</v>
      </c>
      <c r="BD604">
        <v>25096</v>
      </c>
      <c r="BH604" t="s">
        <v>5388</v>
      </c>
      <c r="BJ604">
        <v>63216</v>
      </c>
    </row>
    <row r="605" spans="27:62">
      <c r="AA605" t="s">
        <v>5389</v>
      </c>
      <c r="AC605">
        <v>25121</v>
      </c>
      <c r="AG605" t="s">
        <v>5390</v>
      </c>
      <c r="AI605">
        <v>31842</v>
      </c>
      <c r="AP605" t="s">
        <v>5391</v>
      </c>
      <c r="AR605">
        <v>38639</v>
      </c>
      <c r="AV605" t="s">
        <v>5392</v>
      </c>
      <c r="AX605">
        <v>35605</v>
      </c>
      <c r="BB605" t="s">
        <v>5393</v>
      </c>
      <c r="BD605">
        <v>27272</v>
      </c>
      <c r="BH605" t="s">
        <v>5394</v>
      </c>
      <c r="BJ605">
        <v>63917</v>
      </c>
    </row>
    <row r="606" spans="27:62">
      <c r="AA606" t="s">
        <v>5395</v>
      </c>
      <c r="AC606">
        <v>25729</v>
      </c>
      <c r="AG606" t="s">
        <v>5396</v>
      </c>
      <c r="AI606">
        <v>35387</v>
      </c>
      <c r="AP606" t="s">
        <v>5397</v>
      </c>
      <c r="AR606">
        <v>46652</v>
      </c>
      <c r="AV606" t="s">
        <v>5398</v>
      </c>
      <c r="AX606">
        <v>38623</v>
      </c>
      <c r="BB606" t="s">
        <v>5399</v>
      </c>
      <c r="BD606">
        <v>28044</v>
      </c>
      <c r="BH606" t="s">
        <v>5400</v>
      </c>
      <c r="BJ606">
        <v>65178</v>
      </c>
    </row>
    <row r="607" spans="27:62">
      <c r="AA607" t="s">
        <v>5401</v>
      </c>
      <c r="AC607">
        <v>26201</v>
      </c>
      <c r="AG607" t="s">
        <v>5402</v>
      </c>
      <c r="AI607">
        <v>38700</v>
      </c>
      <c r="AP607" t="s">
        <v>5403</v>
      </c>
      <c r="AR607">
        <v>47704</v>
      </c>
      <c r="AV607" t="s">
        <v>5404</v>
      </c>
      <c r="AX607">
        <v>43436</v>
      </c>
      <c r="BB607" t="s">
        <v>5405</v>
      </c>
      <c r="BD607">
        <v>30453</v>
      </c>
      <c r="BH607" t="s">
        <v>5406</v>
      </c>
      <c r="BJ607">
        <v>67290</v>
      </c>
    </row>
    <row r="608" spans="27:62">
      <c r="AA608" t="s">
        <v>5407</v>
      </c>
      <c r="AC608">
        <v>26300</v>
      </c>
      <c r="AG608" t="s">
        <v>5408</v>
      </c>
      <c r="AI608">
        <v>40059</v>
      </c>
      <c r="AP608" t="s">
        <v>5409</v>
      </c>
      <c r="AR608">
        <v>49083</v>
      </c>
      <c r="AV608" t="s">
        <v>5410</v>
      </c>
      <c r="AX608">
        <v>49103</v>
      </c>
      <c r="BB608" t="s">
        <v>5411</v>
      </c>
      <c r="BD608">
        <v>31184</v>
      </c>
      <c r="BH608" t="s">
        <v>5412</v>
      </c>
      <c r="BJ608">
        <v>68597</v>
      </c>
    </row>
    <row r="609" spans="27:62">
      <c r="AA609" t="s">
        <v>5413</v>
      </c>
      <c r="AC609">
        <v>29276</v>
      </c>
      <c r="AG609" t="s">
        <v>5414</v>
      </c>
      <c r="AI609">
        <v>48286</v>
      </c>
      <c r="AP609" t="s">
        <v>5415</v>
      </c>
      <c r="AR609">
        <v>103462</v>
      </c>
      <c r="AV609" t="s">
        <v>5416</v>
      </c>
      <c r="AX609">
        <v>51602</v>
      </c>
      <c r="BB609" t="s">
        <v>5417</v>
      </c>
      <c r="BD609">
        <v>53457</v>
      </c>
      <c r="BH609" t="s">
        <v>5418</v>
      </c>
      <c r="BJ609">
        <v>68906</v>
      </c>
    </row>
    <row r="610" spans="27:72">
      <c r="AA610" t="s">
        <v>5419</v>
      </c>
      <c r="AC610">
        <v>104046</v>
      </c>
      <c r="AG610" t="s">
        <v>5420</v>
      </c>
      <c r="AI610">
        <v>51182</v>
      </c>
      <c r="AP610" s="25">
        <v>2.22e+16</v>
      </c>
      <c r="AV610" s="25">
        <v>2.22e+16</v>
      </c>
      <c r="BB610" t="s">
        <v>5421</v>
      </c>
      <c r="BD610">
        <v>103571</v>
      </c>
      <c r="BH610" t="s">
        <v>5422</v>
      </c>
      <c r="BJ610">
        <v>85758</v>
      </c>
      <c r="BN610" s="25"/>
      <c r="BT610" s="25"/>
    </row>
    <row r="611" spans="27:60">
      <c r="AA611" t="s">
        <v>5423</v>
      </c>
      <c r="AG611" t="s">
        <v>5424</v>
      </c>
      <c r="AP611" t="s">
        <v>5425</v>
      </c>
      <c r="AV611" t="s">
        <v>5426</v>
      </c>
      <c r="BB611" t="s">
        <v>5427</v>
      </c>
      <c r="BH611" t="s">
        <v>5428</v>
      </c>
    </row>
    <row r="612" spans="27:60">
      <c r="AA612" t="s">
        <v>5429</v>
      </c>
      <c r="AG612" t="s">
        <v>5430</v>
      </c>
      <c r="AP612" t="s">
        <v>5431</v>
      </c>
      <c r="AV612" t="s">
        <v>5432</v>
      </c>
      <c r="BB612" t="s">
        <v>5433</v>
      </c>
      <c r="BH612" t="s">
        <v>5434</v>
      </c>
    </row>
    <row r="613" spans="27:60">
      <c r="AA613" t="s">
        <v>5435</v>
      </c>
      <c r="AG613" t="s">
        <v>5436</v>
      </c>
      <c r="AP613" t="s">
        <v>5437</v>
      </c>
      <c r="AV613" t="s">
        <v>5438</v>
      </c>
      <c r="BB613" t="s">
        <v>5439</v>
      </c>
      <c r="BH613" t="s">
        <v>5440</v>
      </c>
    </row>
    <row r="614" spans="27:60">
      <c r="AA614" t="s">
        <v>5441</v>
      </c>
      <c r="AG614" t="s">
        <v>5442</v>
      </c>
      <c r="AP614" t="s">
        <v>5443</v>
      </c>
      <c r="AV614" t="s">
        <v>5444</v>
      </c>
      <c r="BB614" t="s">
        <v>5445</v>
      </c>
      <c r="BH614" t="s">
        <v>5446</v>
      </c>
    </row>
    <row r="615" spans="27:60">
      <c r="AA615" t="s">
        <v>5447</v>
      </c>
      <c r="AG615" t="s">
        <v>5448</v>
      </c>
      <c r="AP615" t="s">
        <v>5449</v>
      </c>
      <c r="AV615" t="s">
        <v>5450</v>
      </c>
      <c r="BB615" t="s">
        <v>5451</v>
      </c>
      <c r="BH615" t="s">
        <v>5452</v>
      </c>
    </row>
    <row r="616" spans="27:60">
      <c r="AA616" t="s">
        <v>5453</v>
      </c>
      <c r="AG616" t="s">
        <v>5454</v>
      </c>
      <c r="AP616" t="s">
        <v>5455</v>
      </c>
      <c r="AV616" t="s">
        <v>5456</v>
      </c>
      <c r="BB616" t="s">
        <v>5457</v>
      </c>
      <c r="BH616" t="s">
        <v>5458</v>
      </c>
    </row>
    <row r="617" spans="27:60">
      <c r="AA617" t="s">
        <v>5459</v>
      </c>
      <c r="AG617" t="s">
        <v>5460</v>
      </c>
      <c r="AP617" t="s">
        <v>5461</v>
      </c>
      <c r="AV617" t="s">
        <v>5462</v>
      </c>
      <c r="BB617" t="s">
        <v>5463</v>
      </c>
      <c r="BH617" t="s">
        <v>5464</v>
      </c>
    </row>
    <row r="618" spans="27:60">
      <c r="AA618" t="s">
        <v>5465</v>
      </c>
      <c r="AG618" t="s">
        <v>5466</v>
      </c>
      <c r="AP618" t="s">
        <v>5467</v>
      </c>
      <c r="AV618" t="s">
        <v>5468</v>
      </c>
      <c r="BB618" t="s">
        <v>5469</v>
      </c>
      <c r="BH618" t="s">
        <v>5470</v>
      </c>
    </row>
    <row r="619" spans="27:60">
      <c r="AA619" t="s">
        <v>5471</v>
      </c>
      <c r="AG619" t="s">
        <v>5472</v>
      </c>
      <c r="AP619" t="s">
        <v>5473</v>
      </c>
      <c r="AV619" t="s">
        <v>5474</v>
      </c>
      <c r="BB619" t="s">
        <v>5475</v>
      </c>
      <c r="BH619" t="s">
        <v>5476</v>
      </c>
    </row>
    <row r="620" spans="27:60">
      <c r="AA620" t="s">
        <v>5477</v>
      </c>
      <c r="AG620" t="s">
        <v>5478</v>
      </c>
      <c r="AP620" t="s">
        <v>5479</v>
      </c>
      <c r="AV620" t="s">
        <v>5480</v>
      </c>
      <c r="BB620" t="s">
        <v>5481</v>
      </c>
      <c r="BH620" t="s">
        <v>5482</v>
      </c>
    </row>
    <row r="621" spans="27:60">
      <c r="AA621" t="s">
        <v>5483</v>
      </c>
      <c r="AG621" t="s">
        <v>5484</v>
      </c>
      <c r="AP621" t="s">
        <v>5485</v>
      </c>
      <c r="AV621" t="s">
        <v>5486</v>
      </c>
      <c r="BB621" t="s">
        <v>5487</v>
      </c>
      <c r="BH621" t="s">
        <v>5488</v>
      </c>
    </row>
    <row r="622" spans="27:60">
      <c r="AA622" t="s">
        <v>5489</v>
      </c>
      <c r="AG622" t="s">
        <v>5490</v>
      </c>
      <c r="AP622" t="s">
        <v>5491</v>
      </c>
      <c r="AV622" t="s">
        <v>5492</v>
      </c>
      <c r="BB622" t="s">
        <v>5493</v>
      </c>
      <c r="BH622" t="s">
        <v>5494</v>
      </c>
    </row>
    <row r="623" spans="27:60">
      <c r="AA623" t="s">
        <v>244</v>
      </c>
      <c r="AG623" t="s">
        <v>97</v>
      </c>
      <c r="AP623" t="s">
        <v>1412</v>
      </c>
      <c r="AV623" t="s">
        <v>97</v>
      </c>
      <c r="BB623" t="s">
        <v>97</v>
      </c>
      <c r="BH623" t="s">
        <v>242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600"/>
  <sheetViews>
    <sheetView workbookViewId="0">
      <selection activeCell="Z8" sqref="Z8"/>
    </sheetView>
  </sheetViews>
  <sheetFormatPr defaultColWidth="11" defaultRowHeight="16.8"/>
  <cols>
    <col min="1" max="1" width="64.4230769230769" customWidth="1"/>
    <col min="2" max="2" width="62.1730769230769" customWidth="1"/>
    <col min="3" max="3" width="27.1634615384615" customWidth="1"/>
    <col min="4" max="4" width="39.4230769230769" customWidth="1"/>
    <col min="5" max="8" width="12.9230769230769"/>
    <col min="9" max="9" width="51.7692307692308" customWidth="1"/>
    <col min="10" max="10" width="68.1057692307692" customWidth="1"/>
    <col min="11" max="12" width="12.9230769230769"/>
    <col min="20" max="20" width="11" customWidth="1"/>
    <col min="49" max="49" width="35.5673076923077" customWidth="1"/>
    <col min="50" max="50" width="12.9230769230769"/>
    <col min="61" max="61" width="61.0576923076923" customWidth="1"/>
    <col min="79" max="79" width="12.9230769230769"/>
    <col min="83" max="84" width="21.1538461538462" customWidth="1"/>
    <col min="85" max="86" width="23.5480769230769" customWidth="1"/>
    <col min="87" max="88" width="21.3076923076923" customWidth="1"/>
    <col min="89" max="89" width="22.1153846153846" customWidth="1"/>
    <col min="90" max="90" width="16.4903846153846" customWidth="1"/>
    <col min="91" max="91" width="27.4038461538462" customWidth="1"/>
    <col min="92" max="92" width="39.0961538461538" customWidth="1"/>
  </cols>
  <sheetData>
    <row r="1" spans="1:89">
      <c r="A1" s="15" t="s">
        <v>87</v>
      </c>
      <c r="E1" s="16" t="s">
        <v>1802</v>
      </c>
      <c r="K1" s="11" t="s">
        <v>22</v>
      </c>
      <c r="Q1" t="s">
        <v>1414</v>
      </c>
      <c r="AJ1" s="7"/>
      <c r="AK1" s="17"/>
      <c r="AL1" s="18"/>
      <c r="AM1" s="18"/>
      <c r="AN1" s="18"/>
      <c r="AO1" s="18"/>
      <c r="AP1" s="18"/>
      <c r="AQ1" s="17"/>
      <c r="AR1" s="18"/>
      <c r="AS1" s="18"/>
      <c r="AT1" s="18"/>
      <c r="BH1" s="19"/>
      <c r="BI1" s="17"/>
      <c r="BJ1" s="18"/>
      <c r="BK1" s="18"/>
      <c r="BL1" s="18"/>
      <c r="BM1" s="18"/>
      <c r="BN1" s="18"/>
      <c r="BO1" s="17"/>
      <c r="BP1" s="18"/>
      <c r="BQ1" s="18"/>
      <c r="BR1" s="18"/>
      <c r="BT1" s="19"/>
      <c r="BU1" s="17"/>
      <c r="BV1" s="18"/>
      <c r="BW1" s="18"/>
      <c r="BX1" s="18"/>
      <c r="BY1" s="18"/>
      <c r="BZ1" s="18"/>
      <c r="CA1" s="17"/>
      <c r="CB1" s="18"/>
      <c r="CC1" s="18"/>
      <c r="CD1" s="18"/>
      <c r="CE1" s="8"/>
      <c r="CF1" s="8"/>
      <c r="CK1" s="22"/>
    </row>
    <row r="2" spans="1:89">
      <c r="A2" t="s">
        <v>5495</v>
      </c>
      <c r="D2" s="14" t="s">
        <v>5496</v>
      </c>
      <c r="E2" s="14"/>
      <c r="F2" s="14" t="s">
        <v>5496</v>
      </c>
      <c r="K2" s="10"/>
      <c r="Q2" t="s">
        <v>5496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20"/>
      <c r="CF2" s="20"/>
      <c r="CG2" s="21"/>
      <c r="CH2" s="21"/>
      <c r="CI2" s="21"/>
      <c r="CJ2" s="21"/>
      <c r="CK2" s="10"/>
    </row>
    <row r="3" spans="1:88">
      <c r="A3" t="s">
        <v>104</v>
      </c>
      <c r="B3" t="s">
        <v>104</v>
      </c>
      <c r="C3" s="14" t="s">
        <v>104</v>
      </c>
      <c r="D3" s="14" t="s">
        <v>104</v>
      </c>
      <c r="E3" s="14" t="s">
        <v>104</v>
      </c>
      <c r="F3" s="14" t="s">
        <v>104</v>
      </c>
      <c r="I3" t="s">
        <v>104</v>
      </c>
      <c r="J3" t="s">
        <v>104</v>
      </c>
      <c r="K3" t="s">
        <v>104</v>
      </c>
      <c r="L3" t="s">
        <v>104</v>
      </c>
      <c r="Q3" t="s">
        <v>104</v>
      </c>
      <c r="CG3" s="21"/>
      <c r="CH3" s="21"/>
      <c r="CI3" s="21"/>
      <c r="CJ3" s="21"/>
    </row>
    <row r="4" spans="1:17">
      <c r="A4" t="s">
        <v>42</v>
      </c>
      <c r="B4" t="s">
        <v>42</v>
      </c>
      <c r="C4" s="14" t="s">
        <v>42</v>
      </c>
      <c r="D4" s="14" t="s">
        <v>42</v>
      </c>
      <c r="E4" s="14" t="s">
        <v>42</v>
      </c>
      <c r="F4" s="14" t="s">
        <v>42</v>
      </c>
      <c r="I4" t="s">
        <v>5497</v>
      </c>
      <c r="J4" t="s">
        <v>5497</v>
      </c>
      <c r="K4" t="s">
        <v>42</v>
      </c>
      <c r="L4" t="s">
        <v>42</v>
      </c>
      <c r="Q4" t="s">
        <v>42</v>
      </c>
    </row>
    <row r="5" ht="17" spans="1:17">
      <c r="A5" t="s">
        <v>43</v>
      </c>
      <c r="B5" t="s">
        <v>43</v>
      </c>
      <c r="C5" s="14" t="s">
        <v>43</v>
      </c>
      <c r="D5" s="14" t="s">
        <v>43</v>
      </c>
      <c r="E5" s="14" t="s">
        <v>105</v>
      </c>
      <c r="F5" s="14" t="s">
        <v>105</v>
      </c>
      <c r="I5" t="s">
        <v>42</v>
      </c>
      <c r="J5" t="s">
        <v>42</v>
      </c>
      <c r="K5" t="s">
        <v>43</v>
      </c>
      <c r="L5" t="s">
        <v>43</v>
      </c>
      <c r="Q5" t="s">
        <v>43</v>
      </c>
    </row>
    <row r="6" spans="1:17">
      <c r="A6" t="s">
        <v>44</v>
      </c>
      <c r="B6" t="s">
        <v>44</v>
      </c>
      <c r="C6" s="14" t="s">
        <v>44</v>
      </c>
      <c r="D6" s="14" t="s">
        <v>44</v>
      </c>
      <c r="E6" s="14" t="s">
        <v>44</v>
      </c>
      <c r="F6" s="14" t="s">
        <v>44</v>
      </c>
      <c r="I6" t="s">
        <v>43</v>
      </c>
      <c r="J6" t="s">
        <v>43</v>
      </c>
      <c r="K6" t="s">
        <v>44</v>
      </c>
      <c r="L6" t="s">
        <v>44</v>
      </c>
      <c r="Q6" t="s">
        <v>44</v>
      </c>
    </row>
    <row r="7" ht="17" spans="1:17">
      <c r="A7" t="s">
        <v>45</v>
      </c>
      <c r="B7" t="s">
        <v>45</v>
      </c>
      <c r="C7" s="14" t="s">
        <v>45</v>
      </c>
      <c r="D7" s="14" t="s">
        <v>45</v>
      </c>
      <c r="E7" s="14" t="s">
        <v>5498</v>
      </c>
      <c r="F7" s="14" t="s">
        <v>5499</v>
      </c>
      <c r="I7" t="s">
        <v>44</v>
      </c>
      <c r="J7" t="s">
        <v>44</v>
      </c>
      <c r="K7" t="s">
        <v>45</v>
      </c>
      <c r="L7" t="s">
        <v>45</v>
      </c>
      <c r="Q7" t="s">
        <v>45</v>
      </c>
    </row>
    <row r="8" spans="1:17">
      <c r="A8">
        <v>2766.79</v>
      </c>
      <c r="B8">
        <v>2790.74</v>
      </c>
      <c r="C8" s="14">
        <v>2703.02</v>
      </c>
      <c r="D8" s="14">
        <v>2753.62</v>
      </c>
      <c r="E8" s="14">
        <v>1764.69</v>
      </c>
      <c r="F8" s="14">
        <v>1824.3</v>
      </c>
      <c r="I8">
        <v>2650.01</v>
      </c>
      <c r="J8">
        <v>2626.23</v>
      </c>
      <c r="K8">
        <v>2399.15</v>
      </c>
      <c r="L8">
        <v>2571.71</v>
      </c>
      <c r="Q8">
        <v>3114.61</v>
      </c>
    </row>
    <row r="9" spans="1:17">
      <c r="A9">
        <v>1.84946</v>
      </c>
      <c r="B9">
        <v>1.86547</v>
      </c>
      <c r="C9" s="14">
        <v>1.80683</v>
      </c>
      <c r="D9" s="14">
        <v>1.84066</v>
      </c>
      <c r="E9" s="14">
        <v>1.1796</v>
      </c>
      <c r="F9" s="14">
        <v>1.21945</v>
      </c>
      <c r="I9">
        <v>1.77139</v>
      </c>
      <c r="J9">
        <v>1.7555</v>
      </c>
      <c r="K9">
        <v>1.60371</v>
      </c>
      <c r="L9">
        <v>1.71905</v>
      </c>
      <c r="Q9">
        <v>2.08196</v>
      </c>
    </row>
    <row r="10" spans="1:17">
      <c r="A10" t="s">
        <v>5500</v>
      </c>
      <c r="B10" t="s">
        <v>5501</v>
      </c>
      <c r="C10" s="14" t="s">
        <v>5502</v>
      </c>
      <c r="D10" s="14" t="s">
        <v>5503</v>
      </c>
      <c r="E10" s="14" t="s">
        <v>5504</v>
      </c>
      <c r="F10" s="14" t="s">
        <v>5505</v>
      </c>
      <c r="I10" t="s">
        <v>5506</v>
      </c>
      <c r="J10" t="s">
        <v>5507</v>
      </c>
      <c r="K10" t="s">
        <v>5508</v>
      </c>
      <c r="L10" t="s">
        <v>5509</v>
      </c>
      <c r="Q10" t="s">
        <v>5510</v>
      </c>
    </row>
    <row r="11" spans="1:17">
      <c r="A11" t="s">
        <v>5511</v>
      </c>
      <c r="B11" t="s">
        <v>5512</v>
      </c>
      <c r="C11" s="14" t="s">
        <v>5513</v>
      </c>
      <c r="D11" s="14" t="s">
        <v>5514</v>
      </c>
      <c r="E11" s="14" t="s">
        <v>5515</v>
      </c>
      <c r="F11" s="14" t="s">
        <v>5516</v>
      </c>
      <c r="I11" t="s">
        <v>5517</v>
      </c>
      <c r="J11" t="s">
        <v>5518</v>
      </c>
      <c r="K11" t="s">
        <v>5519</v>
      </c>
      <c r="L11" t="s">
        <v>5520</v>
      </c>
      <c r="Q11" t="s">
        <v>5521</v>
      </c>
    </row>
    <row r="12" spans="1:17">
      <c r="A12" t="s">
        <v>5522</v>
      </c>
      <c r="B12" t="s">
        <v>5523</v>
      </c>
      <c r="C12" s="14" t="s">
        <v>5513</v>
      </c>
      <c r="D12" s="14" t="s">
        <v>5514</v>
      </c>
      <c r="E12" s="14" t="s">
        <v>5515</v>
      </c>
      <c r="F12" s="14" t="s">
        <v>5516</v>
      </c>
      <c r="I12" t="s">
        <v>5524</v>
      </c>
      <c r="J12" t="s">
        <v>5525</v>
      </c>
      <c r="K12" t="s">
        <v>5519</v>
      </c>
      <c r="L12" t="s">
        <v>5520</v>
      </c>
      <c r="Q12" t="s">
        <v>5526</v>
      </c>
    </row>
    <row r="13" spans="1:17">
      <c r="A13" t="s">
        <v>5527</v>
      </c>
      <c r="B13" t="s">
        <v>5528</v>
      </c>
      <c r="C13" s="14" t="s">
        <v>5529</v>
      </c>
      <c r="D13" s="14" t="s">
        <v>5530</v>
      </c>
      <c r="E13" s="14" t="s">
        <v>5531</v>
      </c>
      <c r="F13" s="14" t="s">
        <v>5532</v>
      </c>
      <c r="I13" t="s">
        <v>5533</v>
      </c>
      <c r="J13" t="s">
        <v>5534</v>
      </c>
      <c r="K13" t="s">
        <v>5535</v>
      </c>
      <c r="L13" t="s">
        <v>5536</v>
      </c>
      <c r="Q13" t="s">
        <v>5537</v>
      </c>
    </row>
    <row r="14" spans="1:17">
      <c r="A14" t="s">
        <v>5538</v>
      </c>
      <c r="B14" t="s">
        <v>5539</v>
      </c>
      <c r="C14" s="14" t="s">
        <v>5540</v>
      </c>
      <c r="D14" s="14" t="s">
        <v>5541</v>
      </c>
      <c r="E14" s="14" t="s">
        <v>5542</v>
      </c>
      <c r="F14" s="14" t="s">
        <v>5543</v>
      </c>
      <c r="I14" t="s">
        <v>5544</v>
      </c>
      <c r="J14" t="s">
        <v>5545</v>
      </c>
      <c r="K14" t="s">
        <v>5546</v>
      </c>
      <c r="L14" t="s">
        <v>5547</v>
      </c>
      <c r="Q14" t="s">
        <v>5548</v>
      </c>
    </row>
    <row r="15" spans="1:17">
      <c r="A15" t="s">
        <v>5549</v>
      </c>
      <c r="B15" t="s">
        <v>5550</v>
      </c>
      <c r="C15" s="14" t="s">
        <v>5551</v>
      </c>
      <c r="D15" s="14" t="s">
        <v>5552</v>
      </c>
      <c r="E15" s="14" t="s">
        <v>5553</v>
      </c>
      <c r="F15" s="14" t="s">
        <v>5554</v>
      </c>
      <c r="I15" t="s">
        <v>5555</v>
      </c>
      <c r="J15" t="s">
        <v>5556</v>
      </c>
      <c r="K15" t="s">
        <v>5557</v>
      </c>
      <c r="L15" t="s">
        <v>5558</v>
      </c>
      <c r="Q15" t="s">
        <v>5559</v>
      </c>
    </row>
    <row r="16" spans="1:17">
      <c r="A16" t="s">
        <v>5560</v>
      </c>
      <c r="B16" t="s">
        <v>5561</v>
      </c>
      <c r="C16" s="14">
        <v>16.7</v>
      </c>
      <c r="D16" s="14">
        <v>15.059</v>
      </c>
      <c r="E16" s="14">
        <v>23.208</v>
      </c>
      <c r="F16" s="14">
        <v>21.22</v>
      </c>
      <c r="I16">
        <v>18.203</v>
      </c>
      <c r="J16">
        <v>16.185</v>
      </c>
      <c r="K16">
        <v>18.765</v>
      </c>
      <c r="L16">
        <v>16.46</v>
      </c>
      <c r="Q16">
        <v>14.328</v>
      </c>
    </row>
    <row r="17" spans="1:17">
      <c r="A17" t="s">
        <v>5562</v>
      </c>
      <c r="B17" t="s">
        <v>5563</v>
      </c>
      <c r="C17" s="14">
        <v>19.049</v>
      </c>
      <c r="D17" s="14">
        <v>18.508</v>
      </c>
      <c r="E17" s="14">
        <v>26.631</v>
      </c>
      <c r="F17" s="14">
        <v>25.325</v>
      </c>
      <c r="I17">
        <v>21.364</v>
      </c>
      <c r="J17">
        <v>18.959</v>
      </c>
      <c r="K17">
        <v>21.956</v>
      </c>
      <c r="L17">
        <v>19.807</v>
      </c>
      <c r="Q17">
        <v>17.608</v>
      </c>
    </row>
    <row r="18" spans="1:17">
      <c r="A18" t="s">
        <v>5564</v>
      </c>
      <c r="B18" t="s">
        <v>5565</v>
      </c>
      <c r="C18" s="14">
        <v>26.567</v>
      </c>
      <c r="D18" s="14">
        <v>25.563</v>
      </c>
      <c r="E18" s="14">
        <v>37.508</v>
      </c>
      <c r="F18" s="14">
        <v>30.934</v>
      </c>
      <c r="I18">
        <v>28.744</v>
      </c>
      <c r="J18">
        <v>49.803</v>
      </c>
      <c r="K18">
        <v>32.501</v>
      </c>
      <c r="L18">
        <v>37.767</v>
      </c>
      <c r="Q18">
        <v>34.323</v>
      </c>
    </row>
    <row r="19" spans="1:17">
      <c r="A19" t="s">
        <v>5566</v>
      </c>
      <c r="B19" t="s">
        <v>5567</v>
      </c>
      <c r="C19" s="14" t="s">
        <v>5568</v>
      </c>
      <c r="D19" s="14" t="s">
        <v>5569</v>
      </c>
      <c r="E19" s="14" t="s">
        <v>5570</v>
      </c>
      <c r="F19" s="14" t="s">
        <v>5571</v>
      </c>
      <c r="I19" t="s">
        <v>5572</v>
      </c>
      <c r="J19" t="s">
        <v>5573</v>
      </c>
      <c r="K19" t="s">
        <v>5574</v>
      </c>
      <c r="L19" t="s">
        <v>5575</v>
      </c>
      <c r="Q19" t="s">
        <v>5576</v>
      </c>
    </row>
    <row r="20" spans="1:17">
      <c r="A20" t="s">
        <v>5577</v>
      </c>
      <c r="B20" t="s">
        <v>5578</v>
      </c>
      <c r="C20" s="14" t="s">
        <v>5579</v>
      </c>
      <c r="D20" s="14" t="s">
        <v>5580</v>
      </c>
      <c r="E20" s="14" t="s">
        <v>5581</v>
      </c>
      <c r="F20" s="14" t="s">
        <v>5582</v>
      </c>
      <c r="I20" t="s">
        <v>5583</v>
      </c>
      <c r="J20" t="s">
        <v>5584</v>
      </c>
      <c r="K20" t="s">
        <v>5585</v>
      </c>
      <c r="L20" t="s">
        <v>5586</v>
      </c>
      <c r="Q20" t="s">
        <v>5587</v>
      </c>
    </row>
    <row r="21" spans="1:17">
      <c r="A21">
        <v>9.7475</v>
      </c>
      <c r="B21">
        <v>9.9675</v>
      </c>
      <c r="C21" s="14">
        <v>10.2067</v>
      </c>
      <c r="D21" s="14">
        <v>9</v>
      </c>
      <c r="E21" s="14">
        <v>14.3567</v>
      </c>
      <c r="F21" s="14">
        <v>13.9733</v>
      </c>
      <c r="I21">
        <v>10.06</v>
      </c>
      <c r="J21">
        <v>9.99</v>
      </c>
      <c r="K21">
        <v>11.1833</v>
      </c>
      <c r="L21">
        <v>10.2433</v>
      </c>
      <c r="Q21">
        <v>7.18667</v>
      </c>
    </row>
    <row r="22" spans="1:17">
      <c r="A22" t="s">
        <v>97</v>
      </c>
      <c r="B22" t="s">
        <v>97</v>
      </c>
      <c r="C22" s="14" t="s">
        <v>374</v>
      </c>
      <c r="D22" s="14" t="s">
        <v>244</v>
      </c>
      <c r="E22" s="14"/>
      <c r="F22" s="14" t="s">
        <v>97</v>
      </c>
      <c r="I22" t="s">
        <v>97</v>
      </c>
      <c r="J22" t="s">
        <v>97</v>
      </c>
      <c r="K22" t="s">
        <v>97</v>
      </c>
      <c r="L22" t="s">
        <v>97</v>
      </c>
      <c r="Q22" t="s">
        <v>97</v>
      </c>
    </row>
    <row r="23" spans="1:17">
      <c r="A23" t="s">
        <v>104</v>
      </c>
      <c r="B23" t="s">
        <v>104</v>
      </c>
      <c r="C23" t="s">
        <v>104</v>
      </c>
      <c r="D23" t="s">
        <v>104</v>
      </c>
      <c r="E23" s="14" t="s">
        <v>104</v>
      </c>
      <c r="F23" s="14" t="s">
        <v>104</v>
      </c>
      <c r="I23" t="s">
        <v>104</v>
      </c>
      <c r="J23" t="s">
        <v>104</v>
      </c>
      <c r="K23" t="s">
        <v>104</v>
      </c>
      <c r="L23" t="s">
        <v>104</v>
      </c>
      <c r="Q23" t="s">
        <v>104</v>
      </c>
    </row>
    <row r="24" spans="1:17">
      <c r="A24" t="s">
        <v>42</v>
      </c>
      <c r="B24" t="s">
        <v>42</v>
      </c>
      <c r="C24" s="14" t="s">
        <v>42</v>
      </c>
      <c r="D24" s="14" t="s">
        <v>42</v>
      </c>
      <c r="E24" s="14" t="s">
        <v>42</v>
      </c>
      <c r="F24" s="14" t="s">
        <v>42</v>
      </c>
      <c r="I24" t="s">
        <v>5497</v>
      </c>
      <c r="J24" t="s">
        <v>5497</v>
      </c>
      <c r="K24" t="s">
        <v>42</v>
      </c>
      <c r="L24" t="s">
        <v>42</v>
      </c>
      <c r="Q24" t="s">
        <v>42</v>
      </c>
    </row>
    <row r="25" ht="17" spans="1:17">
      <c r="A25" t="s">
        <v>43</v>
      </c>
      <c r="B25" t="s">
        <v>43</v>
      </c>
      <c r="C25" s="14" t="s">
        <v>43</v>
      </c>
      <c r="D25" s="14" t="s">
        <v>43</v>
      </c>
      <c r="E25" s="14" t="s">
        <v>105</v>
      </c>
      <c r="F25" s="14" t="s">
        <v>105</v>
      </c>
      <c r="I25" t="s">
        <v>42</v>
      </c>
      <c r="J25" t="s">
        <v>42</v>
      </c>
      <c r="K25" t="s">
        <v>43</v>
      </c>
      <c r="L25" t="s">
        <v>43</v>
      </c>
      <c r="Q25" t="s">
        <v>43</v>
      </c>
    </row>
    <row r="26" spans="1:17">
      <c r="A26" t="s">
        <v>44</v>
      </c>
      <c r="B26" t="s">
        <v>44</v>
      </c>
      <c r="C26" s="14" t="s">
        <v>44</v>
      </c>
      <c r="D26" s="14" t="s">
        <v>44</v>
      </c>
      <c r="E26" s="14" t="s">
        <v>44</v>
      </c>
      <c r="F26" s="14" t="s">
        <v>44</v>
      </c>
      <c r="I26" t="s">
        <v>43</v>
      </c>
      <c r="J26" t="s">
        <v>43</v>
      </c>
      <c r="K26" t="s">
        <v>44</v>
      </c>
      <c r="L26" t="s">
        <v>44</v>
      </c>
      <c r="Q26" t="s">
        <v>44</v>
      </c>
    </row>
    <row r="27" ht="17" spans="1:17">
      <c r="A27" t="s">
        <v>45</v>
      </c>
      <c r="B27" t="s">
        <v>45</v>
      </c>
      <c r="C27" s="14" t="s">
        <v>45</v>
      </c>
      <c r="D27" s="14" t="s">
        <v>45</v>
      </c>
      <c r="E27" s="14" t="s">
        <v>5588</v>
      </c>
      <c r="F27" s="14" t="s">
        <v>5589</v>
      </c>
      <c r="I27" t="s">
        <v>44</v>
      </c>
      <c r="J27" t="s">
        <v>44</v>
      </c>
      <c r="K27" t="s">
        <v>45</v>
      </c>
      <c r="L27" t="s">
        <v>45</v>
      </c>
      <c r="Q27" t="s">
        <v>45</v>
      </c>
    </row>
    <row r="28" spans="1:17">
      <c r="A28">
        <v>2738.38</v>
      </c>
      <c r="B28">
        <v>2794.29</v>
      </c>
      <c r="C28" s="14">
        <v>2730.17</v>
      </c>
      <c r="D28" s="14">
        <v>2720.19</v>
      </c>
      <c r="E28" s="14">
        <v>1806.01</v>
      </c>
      <c r="F28" s="14">
        <v>1843.63</v>
      </c>
      <c r="I28">
        <v>2625.86</v>
      </c>
      <c r="J28">
        <v>2645.83</v>
      </c>
      <c r="K28">
        <v>2440.47</v>
      </c>
      <c r="L28">
        <v>2626.47</v>
      </c>
      <c r="Q28">
        <v>3146.78</v>
      </c>
    </row>
    <row r="29" spans="1:17">
      <c r="A29">
        <v>1.83047</v>
      </c>
      <c r="B29">
        <v>1.86784</v>
      </c>
      <c r="C29" s="14">
        <v>1.82498</v>
      </c>
      <c r="D29" s="14">
        <v>1.81831</v>
      </c>
      <c r="E29" s="14">
        <v>1.20723</v>
      </c>
      <c r="F29" s="14">
        <v>1.23237</v>
      </c>
      <c r="I29">
        <v>1.75526</v>
      </c>
      <c r="J29">
        <v>1.7686</v>
      </c>
      <c r="K29">
        <v>1.63133</v>
      </c>
      <c r="L29">
        <v>1.75566</v>
      </c>
      <c r="Q29">
        <v>2.10346</v>
      </c>
    </row>
    <row r="30" spans="1:17">
      <c r="A30" t="s">
        <v>5590</v>
      </c>
      <c r="B30" t="s">
        <v>5591</v>
      </c>
      <c r="C30" s="14" t="s">
        <v>5592</v>
      </c>
      <c r="D30" s="14" t="s">
        <v>5593</v>
      </c>
      <c r="E30" s="14" t="s">
        <v>5594</v>
      </c>
      <c r="F30" s="14" t="s">
        <v>5595</v>
      </c>
      <c r="I30" t="s">
        <v>5596</v>
      </c>
      <c r="J30" t="s">
        <v>5597</v>
      </c>
      <c r="K30" t="s">
        <v>5598</v>
      </c>
      <c r="L30" t="s">
        <v>5599</v>
      </c>
      <c r="Q30" t="s">
        <v>5600</v>
      </c>
    </row>
    <row r="31" spans="1:17">
      <c r="A31" t="s">
        <v>5601</v>
      </c>
      <c r="B31" t="s">
        <v>5602</v>
      </c>
      <c r="C31" s="14" t="s">
        <v>5603</v>
      </c>
      <c r="D31" s="14" t="s">
        <v>5604</v>
      </c>
      <c r="E31" s="14" t="s">
        <v>5605</v>
      </c>
      <c r="F31" s="14" t="s">
        <v>5606</v>
      </c>
      <c r="I31" t="s">
        <v>5607</v>
      </c>
      <c r="J31" t="s">
        <v>5608</v>
      </c>
      <c r="K31" t="s">
        <v>5609</v>
      </c>
      <c r="L31" t="s">
        <v>5610</v>
      </c>
      <c r="Q31" t="s">
        <v>5611</v>
      </c>
    </row>
    <row r="32" spans="1:17">
      <c r="A32" t="s">
        <v>5612</v>
      </c>
      <c r="B32" t="s">
        <v>5613</v>
      </c>
      <c r="C32" s="14" t="s">
        <v>5603</v>
      </c>
      <c r="D32" s="14" t="s">
        <v>5604</v>
      </c>
      <c r="E32" s="14" t="s">
        <v>5605</v>
      </c>
      <c r="F32" s="14" t="s">
        <v>5606</v>
      </c>
      <c r="I32" t="s">
        <v>5614</v>
      </c>
      <c r="J32" t="s">
        <v>5615</v>
      </c>
      <c r="K32" t="s">
        <v>5609</v>
      </c>
      <c r="L32" t="s">
        <v>5610</v>
      </c>
      <c r="Q32" t="s">
        <v>5616</v>
      </c>
    </row>
    <row r="33" spans="1:17">
      <c r="A33" t="s">
        <v>5617</v>
      </c>
      <c r="B33" t="s">
        <v>5618</v>
      </c>
      <c r="C33" s="14" t="s">
        <v>5619</v>
      </c>
      <c r="D33" s="14" t="s">
        <v>5620</v>
      </c>
      <c r="E33" s="14" t="s">
        <v>5621</v>
      </c>
      <c r="F33" s="14" t="s">
        <v>5622</v>
      </c>
      <c r="I33" t="s">
        <v>5623</v>
      </c>
      <c r="J33" t="s">
        <v>5624</v>
      </c>
      <c r="K33" t="s">
        <v>5625</v>
      </c>
      <c r="L33" t="s">
        <v>5626</v>
      </c>
      <c r="Q33" t="s">
        <v>5627</v>
      </c>
    </row>
    <row r="34" spans="1:17">
      <c r="A34" t="s">
        <v>5628</v>
      </c>
      <c r="B34" t="s">
        <v>5629</v>
      </c>
      <c r="C34" s="14" t="s">
        <v>5630</v>
      </c>
      <c r="D34" s="14" t="s">
        <v>5631</v>
      </c>
      <c r="E34" s="14" t="s">
        <v>5632</v>
      </c>
      <c r="F34" s="14" t="s">
        <v>5633</v>
      </c>
      <c r="I34" t="s">
        <v>5634</v>
      </c>
      <c r="J34" t="s">
        <v>5538</v>
      </c>
      <c r="K34" t="s">
        <v>5635</v>
      </c>
      <c r="L34" t="s">
        <v>5636</v>
      </c>
      <c r="Q34" t="s">
        <v>5637</v>
      </c>
    </row>
    <row r="35" spans="1:17">
      <c r="A35" t="s">
        <v>5638</v>
      </c>
      <c r="B35" t="s">
        <v>5639</v>
      </c>
      <c r="C35" s="14" t="s">
        <v>5640</v>
      </c>
      <c r="D35" s="14" t="s">
        <v>5641</v>
      </c>
      <c r="E35" s="14" t="s">
        <v>5642</v>
      </c>
      <c r="F35" s="14" t="s">
        <v>5643</v>
      </c>
      <c r="I35" t="s">
        <v>5644</v>
      </c>
      <c r="J35" t="s">
        <v>5645</v>
      </c>
      <c r="K35" t="s">
        <v>5646</v>
      </c>
      <c r="L35" t="s">
        <v>5647</v>
      </c>
      <c r="Q35" t="s">
        <v>5648</v>
      </c>
    </row>
    <row r="36" spans="1:17">
      <c r="A36" t="s">
        <v>5649</v>
      </c>
      <c r="B36" t="s">
        <v>5650</v>
      </c>
      <c r="C36" s="14">
        <v>17.908</v>
      </c>
      <c r="D36" s="14">
        <v>17.153</v>
      </c>
      <c r="E36" s="14">
        <v>22.957</v>
      </c>
      <c r="F36" s="14">
        <v>19.602</v>
      </c>
      <c r="I36">
        <v>16.522</v>
      </c>
      <c r="J36">
        <v>18.075</v>
      </c>
      <c r="K36">
        <v>15.154</v>
      </c>
      <c r="L36">
        <v>15.98</v>
      </c>
      <c r="Q36">
        <v>14.288</v>
      </c>
    </row>
    <row r="37" spans="1:17">
      <c r="A37" t="s">
        <v>5651</v>
      </c>
      <c r="B37" t="s">
        <v>5652</v>
      </c>
      <c r="C37" s="14">
        <v>20.717</v>
      </c>
      <c r="D37" s="14">
        <v>21.833</v>
      </c>
      <c r="E37" s="14">
        <v>26.416</v>
      </c>
      <c r="F37" s="14">
        <v>24.408</v>
      </c>
      <c r="I37">
        <v>18.815</v>
      </c>
      <c r="J37">
        <v>20.7</v>
      </c>
      <c r="K37">
        <v>18.683</v>
      </c>
      <c r="L37">
        <v>19.37</v>
      </c>
      <c r="Q37">
        <v>17.751</v>
      </c>
    </row>
    <row r="38" spans="1:17">
      <c r="A38" t="s">
        <v>5653</v>
      </c>
      <c r="B38" t="s">
        <v>5654</v>
      </c>
      <c r="C38" s="14">
        <v>33.307</v>
      </c>
      <c r="D38" s="14">
        <v>25.62</v>
      </c>
      <c r="E38" s="14">
        <v>34.775</v>
      </c>
      <c r="F38" s="14">
        <v>37.376</v>
      </c>
      <c r="I38">
        <v>28.788</v>
      </c>
      <c r="J38">
        <v>26.007</v>
      </c>
      <c r="K38">
        <v>34.488</v>
      </c>
      <c r="L38">
        <v>28.265</v>
      </c>
      <c r="Q38">
        <v>26.773</v>
      </c>
    </row>
    <row r="39" spans="1:17">
      <c r="A39" t="s">
        <v>5655</v>
      </c>
      <c r="B39" t="s">
        <v>5656</v>
      </c>
      <c r="C39" s="14" t="s">
        <v>5568</v>
      </c>
      <c r="D39" s="14" t="s">
        <v>5657</v>
      </c>
      <c r="E39" s="14" t="s">
        <v>5658</v>
      </c>
      <c r="F39" s="14" t="s">
        <v>5659</v>
      </c>
      <c r="I39" t="s">
        <v>5660</v>
      </c>
      <c r="J39" t="s">
        <v>5661</v>
      </c>
      <c r="K39" t="s">
        <v>5662</v>
      </c>
      <c r="L39" t="s">
        <v>5663</v>
      </c>
      <c r="Q39" t="s">
        <v>5664</v>
      </c>
    </row>
    <row r="40" spans="1:17">
      <c r="A40" t="s">
        <v>5665</v>
      </c>
      <c r="B40" t="s">
        <v>5666</v>
      </c>
      <c r="C40" s="14" t="s">
        <v>5667</v>
      </c>
      <c r="D40" s="14" t="s">
        <v>5668</v>
      </c>
      <c r="E40" s="14" t="s">
        <v>5669</v>
      </c>
      <c r="F40" s="14" t="s">
        <v>5670</v>
      </c>
      <c r="I40" t="s">
        <v>5671</v>
      </c>
      <c r="J40" t="s">
        <v>5672</v>
      </c>
      <c r="K40" t="s">
        <v>5673</v>
      </c>
      <c r="L40" t="s">
        <v>5674</v>
      </c>
      <c r="Q40" t="s">
        <v>5675</v>
      </c>
    </row>
    <row r="41" spans="1:17">
      <c r="A41">
        <v>9.71</v>
      </c>
      <c r="B41">
        <v>9.52</v>
      </c>
      <c r="C41" s="14">
        <v>10.2367</v>
      </c>
      <c r="D41" s="14">
        <v>10.2733</v>
      </c>
      <c r="E41" s="14">
        <v>13.8867</v>
      </c>
      <c r="F41" s="14">
        <v>13.4367</v>
      </c>
      <c r="I41">
        <v>9.17</v>
      </c>
      <c r="J41">
        <v>9.56</v>
      </c>
      <c r="K41">
        <v>9.56</v>
      </c>
      <c r="L41">
        <v>10.1</v>
      </c>
      <c r="Q41">
        <v>6.89</v>
      </c>
    </row>
    <row r="42" spans="1:17">
      <c r="A42" t="s">
        <v>97</v>
      </c>
      <c r="B42" t="s">
        <v>97</v>
      </c>
      <c r="C42" s="14" t="s">
        <v>375</v>
      </c>
      <c r="D42" s="14" t="s">
        <v>97</v>
      </c>
      <c r="E42" s="14" t="s">
        <v>97</v>
      </c>
      <c r="F42" s="14" t="s">
        <v>97</v>
      </c>
      <c r="I42" t="s">
        <v>97</v>
      </c>
      <c r="J42" t="s">
        <v>97</v>
      </c>
      <c r="K42" t="s">
        <v>97</v>
      </c>
      <c r="L42" t="s">
        <v>97</v>
      </c>
      <c r="Q42" t="s">
        <v>97</v>
      </c>
    </row>
    <row r="43" spans="1:17">
      <c r="A43" t="s">
        <v>104</v>
      </c>
      <c r="B43" t="s">
        <v>104</v>
      </c>
      <c r="C43" t="s">
        <v>104</v>
      </c>
      <c r="D43" t="s">
        <v>104</v>
      </c>
      <c r="E43" s="14" t="s">
        <v>104</v>
      </c>
      <c r="F43" s="14" t="s">
        <v>104</v>
      </c>
      <c r="I43" t="s">
        <v>104</v>
      </c>
      <c r="J43" t="s">
        <v>104</v>
      </c>
      <c r="K43" t="s">
        <v>104</v>
      </c>
      <c r="L43" t="s">
        <v>104</v>
      </c>
      <c r="Q43" t="s">
        <v>104</v>
      </c>
    </row>
    <row r="44" spans="1:17">
      <c r="A44" t="s">
        <v>42</v>
      </c>
      <c r="B44" t="s">
        <v>42</v>
      </c>
      <c r="C44" s="14" t="s">
        <v>42</v>
      </c>
      <c r="D44" s="14" t="s">
        <v>42</v>
      </c>
      <c r="E44" s="14" t="s">
        <v>42</v>
      </c>
      <c r="F44" s="14" t="s">
        <v>42</v>
      </c>
      <c r="I44" t="s">
        <v>5497</v>
      </c>
      <c r="J44" t="s">
        <v>5497</v>
      </c>
      <c r="K44" t="s">
        <v>42</v>
      </c>
      <c r="L44" t="s">
        <v>42</v>
      </c>
      <c r="Q44" t="s">
        <v>42</v>
      </c>
    </row>
    <row r="45" ht="17" spans="1:17">
      <c r="A45" t="s">
        <v>43</v>
      </c>
      <c r="B45" t="s">
        <v>43</v>
      </c>
      <c r="C45" s="14" t="s">
        <v>43</v>
      </c>
      <c r="D45" s="14" t="s">
        <v>43</v>
      </c>
      <c r="E45" s="14" t="s">
        <v>105</v>
      </c>
      <c r="F45" s="14" t="s">
        <v>105</v>
      </c>
      <c r="I45" t="s">
        <v>42</v>
      </c>
      <c r="J45" t="s">
        <v>42</v>
      </c>
      <c r="K45" t="s">
        <v>43</v>
      </c>
      <c r="L45" t="s">
        <v>43</v>
      </c>
      <c r="Q45" t="s">
        <v>43</v>
      </c>
    </row>
    <row r="46" spans="1:17">
      <c r="A46" t="s">
        <v>44</v>
      </c>
      <c r="B46" t="s">
        <v>44</v>
      </c>
      <c r="C46" s="14" t="s">
        <v>44</v>
      </c>
      <c r="D46" s="14" t="s">
        <v>44</v>
      </c>
      <c r="E46" s="14" t="s">
        <v>44</v>
      </c>
      <c r="F46" s="14" t="s">
        <v>44</v>
      </c>
      <c r="I46" t="s">
        <v>43</v>
      </c>
      <c r="J46" t="s">
        <v>43</v>
      </c>
      <c r="K46" t="s">
        <v>44</v>
      </c>
      <c r="L46" t="s">
        <v>44</v>
      </c>
      <c r="Q46" t="s">
        <v>44</v>
      </c>
    </row>
    <row r="47" ht="17" spans="1:17">
      <c r="A47" t="s">
        <v>45</v>
      </c>
      <c r="B47" t="s">
        <v>45</v>
      </c>
      <c r="C47" s="14" t="s">
        <v>45</v>
      </c>
      <c r="D47" s="14" t="s">
        <v>45</v>
      </c>
      <c r="E47" s="14" t="s">
        <v>5676</v>
      </c>
      <c r="F47" s="14" t="s">
        <v>5677</v>
      </c>
      <c r="I47" t="s">
        <v>44</v>
      </c>
      <c r="J47" t="s">
        <v>44</v>
      </c>
      <c r="K47" t="s">
        <v>45</v>
      </c>
      <c r="L47" t="s">
        <v>45</v>
      </c>
      <c r="Q47" t="s">
        <v>45</v>
      </c>
    </row>
    <row r="48" spans="1:17">
      <c r="A48">
        <v>2747.48</v>
      </c>
      <c r="B48">
        <v>2808.18</v>
      </c>
      <c r="C48" s="14">
        <v>2734.36</v>
      </c>
      <c r="D48" s="14">
        <v>2707.98</v>
      </c>
      <c r="E48" s="14">
        <v>1726.32</v>
      </c>
      <c r="F48" s="14">
        <v>1845.97</v>
      </c>
      <c r="I48">
        <v>2637.88</v>
      </c>
      <c r="J48">
        <v>2659.64</v>
      </c>
      <c r="K48">
        <v>2479.7</v>
      </c>
      <c r="L48">
        <v>2630.18</v>
      </c>
      <c r="Q48">
        <v>3183.29</v>
      </c>
    </row>
    <row r="49" spans="1:17">
      <c r="A49">
        <v>1.83655</v>
      </c>
      <c r="B49">
        <v>1.87713</v>
      </c>
      <c r="C49" s="14">
        <v>1.82778</v>
      </c>
      <c r="D49" s="14">
        <v>1.81014</v>
      </c>
      <c r="E49" s="14">
        <v>1.15396</v>
      </c>
      <c r="F49" s="14">
        <v>1.23394</v>
      </c>
      <c r="I49">
        <v>1.76329</v>
      </c>
      <c r="J49">
        <v>1.77783</v>
      </c>
      <c r="K49">
        <v>1.65756</v>
      </c>
      <c r="L49">
        <v>1.75814</v>
      </c>
      <c r="Q49">
        <v>2.12787</v>
      </c>
    </row>
    <row r="50" spans="1:17">
      <c r="A50" t="s">
        <v>5678</v>
      </c>
      <c r="B50" t="s">
        <v>5679</v>
      </c>
      <c r="C50" s="14" t="s">
        <v>5680</v>
      </c>
      <c r="D50" s="14" t="s">
        <v>5681</v>
      </c>
      <c r="E50" s="14" t="s">
        <v>5682</v>
      </c>
      <c r="F50" s="14" t="s">
        <v>5683</v>
      </c>
      <c r="I50" t="s">
        <v>5684</v>
      </c>
      <c r="J50" t="s">
        <v>5685</v>
      </c>
      <c r="K50" t="s">
        <v>5686</v>
      </c>
      <c r="L50" t="s">
        <v>5687</v>
      </c>
      <c r="Q50" t="s">
        <v>5688</v>
      </c>
    </row>
    <row r="51" spans="1:17">
      <c r="A51" t="s">
        <v>5689</v>
      </c>
      <c r="B51" t="s">
        <v>5690</v>
      </c>
      <c r="C51" s="14" t="s">
        <v>5691</v>
      </c>
      <c r="D51" s="14" t="s">
        <v>5692</v>
      </c>
      <c r="E51" s="14" t="s">
        <v>5693</v>
      </c>
      <c r="F51" s="14" t="s">
        <v>5694</v>
      </c>
      <c r="I51" t="s">
        <v>5695</v>
      </c>
      <c r="J51" t="s">
        <v>5696</v>
      </c>
      <c r="K51" t="s">
        <v>5697</v>
      </c>
      <c r="L51" t="s">
        <v>5698</v>
      </c>
      <c r="Q51" t="s">
        <v>5699</v>
      </c>
    </row>
    <row r="52" spans="1:17">
      <c r="A52" t="s">
        <v>5700</v>
      </c>
      <c r="B52" t="s">
        <v>5701</v>
      </c>
      <c r="C52" s="14" t="s">
        <v>5691</v>
      </c>
      <c r="D52" s="14" t="s">
        <v>5692</v>
      </c>
      <c r="E52" s="14" t="s">
        <v>5693</v>
      </c>
      <c r="F52" s="14" t="s">
        <v>5694</v>
      </c>
      <c r="I52" t="s">
        <v>5702</v>
      </c>
      <c r="J52" t="s">
        <v>5703</v>
      </c>
      <c r="K52" t="s">
        <v>5697</v>
      </c>
      <c r="L52" t="s">
        <v>5698</v>
      </c>
      <c r="Q52" t="s">
        <v>5704</v>
      </c>
    </row>
    <row r="53" spans="1:17">
      <c r="A53" t="s">
        <v>5705</v>
      </c>
      <c r="B53" t="s">
        <v>5706</v>
      </c>
      <c r="C53" s="14" t="s">
        <v>5707</v>
      </c>
      <c r="D53" s="14" t="s">
        <v>5708</v>
      </c>
      <c r="E53" s="14" t="s">
        <v>5709</v>
      </c>
      <c r="F53" s="14" t="s">
        <v>5710</v>
      </c>
      <c r="I53" t="s">
        <v>5711</v>
      </c>
      <c r="J53" t="s">
        <v>5712</v>
      </c>
      <c r="K53" t="s">
        <v>5713</v>
      </c>
      <c r="L53" t="s">
        <v>5714</v>
      </c>
      <c r="Q53" t="s">
        <v>5715</v>
      </c>
    </row>
    <row r="54" spans="1:17">
      <c r="A54" t="s">
        <v>5716</v>
      </c>
      <c r="B54" t="s">
        <v>5717</v>
      </c>
      <c r="C54" s="14" t="s">
        <v>5718</v>
      </c>
      <c r="D54" s="14" t="s">
        <v>5719</v>
      </c>
      <c r="E54" s="14" t="s">
        <v>5720</v>
      </c>
      <c r="F54" s="14" t="s">
        <v>5721</v>
      </c>
      <c r="I54" t="s">
        <v>5722</v>
      </c>
      <c r="J54" t="s">
        <v>5723</v>
      </c>
      <c r="K54" t="s">
        <v>5724</v>
      </c>
      <c r="L54" t="s">
        <v>5725</v>
      </c>
      <c r="Q54" t="s">
        <v>5726</v>
      </c>
    </row>
    <row r="55" spans="1:17">
      <c r="A55" t="s">
        <v>5727</v>
      </c>
      <c r="B55" t="s">
        <v>5728</v>
      </c>
      <c r="C55" s="14" t="s">
        <v>5729</v>
      </c>
      <c r="D55" s="14" t="s">
        <v>5730</v>
      </c>
      <c r="E55" s="14" t="s">
        <v>5731</v>
      </c>
      <c r="F55" s="14" t="s">
        <v>5732</v>
      </c>
      <c r="I55" t="s">
        <v>5733</v>
      </c>
      <c r="J55" t="s">
        <v>5734</v>
      </c>
      <c r="K55" t="s">
        <v>5735</v>
      </c>
      <c r="L55" t="s">
        <v>5736</v>
      </c>
      <c r="Q55" t="s">
        <v>5737</v>
      </c>
    </row>
    <row r="56" spans="1:17">
      <c r="A56" t="s">
        <v>5738</v>
      </c>
      <c r="B56" t="s">
        <v>5739</v>
      </c>
      <c r="C56" s="14">
        <v>17.507</v>
      </c>
      <c r="D56" s="14">
        <v>16.919</v>
      </c>
      <c r="E56" s="14">
        <v>25.417</v>
      </c>
      <c r="F56" s="14">
        <v>22.272</v>
      </c>
      <c r="I56">
        <v>15.019</v>
      </c>
      <c r="J56">
        <v>16.774</v>
      </c>
      <c r="K56">
        <v>18.738</v>
      </c>
      <c r="L56">
        <v>16.876</v>
      </c>
      <c r="Q56">
        <v>14.89</v>
      </c>
    </row>
    <row r="57" spans="1:17">
      <c r="A57" t="s">
        <v>5740</v>
      </c>
      <c r="B57" t="s">
        <v>5741</v>
      </c>
      <c r="C57" s="14">
        <v>20.725</v>
      </c>
      <c r="D57" s="14">
        <v>20.201</v>
      </c>
      <c r="E57" s="14">
        <v>29.542</v>
      </c>
      <c r="F57" s="14">
        <v>25.183</v>
      </c>
      <c r="I57">
        <v>19.378</v>
      </c>
      <c r="J57">
        <v>20.174</v>
      </c>
      <c r="K57">
        <v>21.982</v>
      </c>
      <c r="L57">
        <v>21.834</v>
      </c>
      <c r="Q57">
        <v>20.868</v>
      </c>
    </row>
    <row r="58" spans="1:17">
      <c r="A58" t="s">
        <v>5742</v>
      </c>
      <c r="B58" t="s">
        <v>5743</v>
      </c>
      <c r="C58" s="14">
        <v>33.176</v>
      </c>
      <c r="D58" s="14">
        <v>23.933</v>
      </c>
      <c r="E58" s="14">
        <v>37.995</v>
      </c>
      <c r="F58" s="14">
        <v>34.323</v>
      </c>
      <c r="I58">
        <v>27.147</v>
      </c>
      <c r="J58">
        <v>34.575</v>
      </c>
      <c r="K58">
        <v>39.476</v>
      </c>
      <c r="L58">
        <v>33.643</v>
      </c>
      <c r="Q58">
        <v>30.027</v>
      </c>
    </row>
    <row r="59" spans="1:17">
      <c r="A59" t="s">
        <v>5744</v>
      </c>
      <c r="B59" t="s">
        <v>5745</v>
      </c>
      <c r="C59" s="14" t="s">
        <v>5568</v>
      </c>
      <c r="D59" s="14" t="s">
        <v>5746</v>
      </c>
      <c r="E59" s="14" t="s">
        <v>5747</v>
      </c>
      <c r="F59" s="14" t="s">
        <v>5748</v>
      </c>
      <c r="I59" t="s">
        <v>5749</v>
      </c>
      <c r="J59" t="s">
        <v>5750</v>
      </c>
      <c r="K59" t="s">
        <v>5662</v>
      </c>
      <c r="L59" t="s">
        <v>5751</v>
      </c>
      <c r="Q59" t="s">
        <v>5752</v>
      </c>
    </row>
    <row r="60" spans="1:17">
      <c r="A60" t="s">
        <v>5753</v>
      </c>
      <c r="B60" t="s">
        <v>5754</v>
      </c>
      <c r="C60" s="14" t="s">
        <v>5755</v>
      </c>
      <c r="D60" s="14" t="s">
        <v>5756</v>
      </c>
      <c r="E60" s="14" t="s">
        <v>5757</v>
      </c>
      <c r="F60" s="14" t="s">
        <v>5758</v>
      </c>
      <c r="I60" t="s">
        <v>5759</v>
      </c>
      <c r="J60" t="s">
        <v>5760</v>
      </c>
      <c r="K60" t="s">
        <v>5761</v>
      </c>
      <c r="L60" t="s">
        <v>5762</v>
      </c>
      <c r="Q60" t="s">
        <v>5763</v>
      </c>
    </row>
    <row r="61" spans="1:17">
      <c r="A61">
        <v>9.2575</v>
      </c>
      <c r="B61">
        <v>9.9525</v>
      </c>
      <c r="C61" s="14">
        <v>10.54</v>
      </c>
      <c r="D61" s="14">
        <v>9.62333</v>
      </c>
      <c r="E61" s="14">
        <v>14.6333</v>
      </c>
      <c r="F61" s="14">
        <v>13.9433</v>
      </c>
      <c r="I61">
        <v>8.765</v>
      </c>
      <c r="J61">
        <v>9.605</v>
      </c>
      <c r="K61">
        <v>10.7933</v>
      </c>
      <c r="L61">
        <v>10.5333</v>
      </c>
      <c r="Q61">
        <v>7.02</v>
      </c>
    </row>
    <row r="62" spans="1:17">
      <c r="A62" t="s">
        <v>97</v>
      </c>
      <c r="B62" t="s">
        <v>97</v>
      </c>
      <c r="C62" s="14" t="s">
        <v>97</v>
      </c>
      <c r="D62" s="14" t="s">
        <v>244</v>
      </c>
      <c r="E62" s="14" t="s">
        <v>97</v>
      </c>
      <c r="F62" s="14" t="s">
        <v>97</v>
      </c>
      <c r="I62" t="s">
        <v>97</v>
      </c>
      <c r="J62" t="s">
        <v>97</v>
      </c>
      <c r="Q62" t="s">
        <v>373</v>
      </c>
    </row>
    <row r="63" spans="1:12">
      <c r="A63">
        <f>AVERAGE(A9,A29,A49)</f>
        <v>1.83882666666667</v>
      </c>
      <c r="B63">
        <f>AVERAGE(B9,B29,B49)</f>
        <v>1.87014666666667</v>
      </c>
      <c r="C63">
        <f>AVERAGE(C9,C29,C49)</f>
        <v>1.81986333333333</v>
      </c>
      <c r="D63">
        <f>AVERAGE(D9,D29,D49)</f>
        <v>1.82303666666667</v>
      </c>
      <c r="E63" s="14">
        <v>1.180263333</v>
      </c>
      <c r="F63" s="14">
        <v>1.228586667</v>
      </c>
      <c r="G63" s="14"/>
      <c r="H63" s="14"/>
      <c r="I63" s="14">
        <f>AVERAGE(I9,I29,I49)</f>
        <v>1.76331333333333</v>
      </c>
      <c r="J63" s="14">
        <f>AVERAGE(J9,J29,J49)</f>
        <v>1.76731</v>
      </c>
      <c r="K63">
        <f>AVERAGE(K9,K29,K49)</f>
        <v>1.63086666666667</v>
      </c>
      <c r="L63">
        <f>AVERAGE(L9,L29,L49)</f>
        <v>1.74428333333333</v>
      </c>
    </row>
    <row r="64" spans="1:12">
      <c r="A64" t="e">
        <f>AVERAGE(A16,A36,A56)</f>
        <v>#DIV/0!</v>
      </c>
      <c r="B64" t="e">
        <f>AVERAGE(B16,B36,B56)</f>
        <v>#DIV/0!</v>
      </c>
      <c r="C64">
        <f t="shared" ref="C64:C66" si="0">AVERAGE(C16,C36,C56)</f>
        <v>17.3716666666667</v>
      </c>
      <c r="D64">
        <f t="shared" ref="D64:D66" si="1">AVERAGE(D16,D36,D56)</f>
        <v>16.377</v>
      </c>
      <c r="E64" s="14">
        <v>23.86066667</v>
      </c>
      <c r="F64" s="14">
        <v>21.03133333</v>
      </c>
      <c r="G64" s="14"/>
      <c r="H64" s="14"/>
      <c r="I64" s="14" t="e">
        <v>#DIV/0!</v>
      </c>
      <c r="K64">
        <f t="shared" ref="K64:K66" si="2">AVERAGE(K16,K36,K56)</f>
        <v>17.5523333333333</v>
      </c>
      <c r="L64">
        <f>AVERAGE(L16,L36,L56)</f>
        <v>16.4386666666667</v>
      </c>
    </row>
    <row r="65" spans="1:12">
      <c r="A65" t="e">
        <f>AVERAGE(A17,A37,A57)</f>
        <v>#DIV/0!</v>
      </c>
      <c r="B65" t="e">
        <f>AVERAGE(B17,B37,B57)</f>
        <v>#DIV/0!</v>
      </c>
      <c r="C65">
        <f t="shared" si="0"/>
        <v>20.1636666666667</v>
      </c>
      <c r="D65">
        <f t="shared" si="1"/>
        <v>20.1806666666667</v>
      </c>
      <c r="E65" s="14">
        <v>27.52966667</v>
      </c>
      <c r="F65" s="14">
        <v>24.972</v>
      </c>
      <c r="G65" s="14"/>
      <c r="H65" s="14"/>
      <c r="I65" s="14" t="e">
        <v>#DIV/0!</v>
      </c>
      <c r="K65">
        <f t="shared" si="2"/>
        <v>20.8736666666667</v>
      </c>
      <c r="L65">
        <f>AVERAGE(L17,L37,L57)</f>
        <v>20.337</v>
      </c>
    </row>
    <row r="66" spans="1:12">
      <c r="A66" t="e">
        <f>AVERAGE(A18,A38,A58)</f>
        <v>#DIV/0!</v>
      </c>
      <c r="B66" t="e">
        <f>AVERAGE(B18,B38,B58)</f>
        <v>#DIV/0!</v>
      </c>
      <c r="C66">
        <f t="shared" si="0"/>
        <v>31.0166666666667</v>
      </c>
      <c r="D66">
        <f t="shared" si="1"/>
        <v>25.0386666666667</v>
      </c>
      <c r="E66" s="14">
        <v>36.75933333</v>
      </c>
      <c r="F66" s="14">
        <v>34.211</v>
      </c>
      <c r="G66" s="14"/>
      <c r="H66" s="14"/>
      <c r="I66" s="14" t="e">
        <v>#DIV/0!</v>
      </c>
      <c r="K66">
        <f t="shared" si="2"/>
        <v>35.4883333333333</v>
      </c>
      <c r="L66">
        <f>AVERAGE(L18,L38,L58)</f>
        <v>33.225</v>
      </c>
    </row>
    <row r="67" spans="1:12">
      <c r="A67">
        <f>AVERAGE(A61,A41,A21)</f>
        <v>9.57166666666667</v>
      </c>
      <c r="B67">
        <f>AVERAGE(B61,B41,B21)</f>
        <v>9.81333333333333</v>
      </c>
      <c r="C67">
        <f>AVERAGE(C61,C41,C21)</f>
        <v>10.3278</v>
      </c>
      <c r="D67">
        <f>AVERAGE(D61,D41,D21)</f>
        <v>9.63221</v>
      </c>
      <c r="E67" s="14">
        <v>14.29223333</v>
      </c>
      <c r="F67" s="14">
        <v>13.78443333</v>
      </c>
      <c r="G67" s="14"/>
      <c r="H67" s="14"/>
      <c r="I67" s="14">
        <v>9.571666667</v>
      </c>
      <c r="K67">
        <f>AVERAGE(K61,K41,K21)</f>
        <v>10.5122</v>
      </c>
      <c r="L67">
        <f>AVERAGE(L61,L41,L21)</f>
        <v>10.2922</v>
      </c>
    </row>
    <row r="68" spans="1:12">
      <c r="A68" s="6">
        <f>(((A49-A63)^2+(A29-A63)^2+(A9-A63)^2)/3)^(1/2)</f>
        <v>0.00791801462208527</v>
      </c>
      <c r="B68" s="6">
        <f>(((B49-B63)^2+(B29-B63)^2+(B9-B63)^2)/3)^(1/2)</f>
        <v>0.00503186071172705</v>
      </c>
      <c r="C68" s="6">
        <f>(((C49-C63)^2+(C29-C63)^2+(C9-C63)^2)/3)^(1/2)</f>
        <v>0.00928657932478671</v>
      </c>
      <c r="D68" s="6">
        <f>(((D49-D63)^2+(D29-D63)^2+(D9-D63)^2)/3)^(1/2)</f>
        <v>0.0129002230816197</v>
      </c>
      <c r="E68" s="23">
        <v>0.021752444</v>
      </c>
      <c r="F68" s="23">
        <v>0.006492315</v>
      </c>
      <c r="G68" s="23"/>
      <c r="H68" s="23"/>
      <c r="I68" s="23">
        <f>(((I49-I63)^2+(I29-I63)^2+(I9-I63)^2)/3)^(1/2)</f>
        <v>0.00658506559488125</v>
      </c>
      <c r="J68" s="23">
        <f>(((J49-J63)^2+(J29-J63)^2+(J9-J63)^2)/3)^(1/2)</f>
        <v>0.00916170653681214</v>
      </c>
      <c r="K68" s="6">
        <f>(((K49-K63)^2+(K29-K63)^2+(K9-K63)^2)/3)^(1/2)</f>
        <v>0.0219866115827084</v>
      </c>
      <c r="L68" s="6">
        <f>(((L49-L63)^2+(L29-L63)^2+(L9-L63)^2)/3)^(1/2)</f>
        <v>0.0178713631886945</v>
      </c>
    </row>
    <row r="69" spans="1:12">
      <c r="A69" t="e">
        <f>(((A56-A64)^2+(A36-A64)^2+(A16-A64)^2)/3)^(1/2)</f>
        <v>#VALUE!</v>
      </c>
      <c r="B69" t="e">
        <f>(((B56-B64)^2+(B36-B64)^2+(B16-B64)^2)/3)^(1/2)</f>
        <v>#VALUE!</v>
      </c>
      <c r="C69">
        <f t="shared" ref="C69:C71" si="3">(((C56-C64)^2+(C36-C64)^2+(C16-C64)^2)/3)^(1/2)</f>
        <v>0.502362640153727</v>
      </c>
      <c r="D69">
        <f t="shared" ref="D69:D71" si="4">(((D56-D64)^2+(D36-D64)^2+(D16-D64)^2)/3)^(1/2)</f>
        <v>0.93685004136201</v>
      </c>
      <c r="E69" s="14">
        <v>1.105254219</v>
      </c>
      <c r="F69" s="14">
        <v>1.098156435</v>
      </c>
      <c r="G69" s="14"/>
      <c r="H69" s="14"/>
      <c r="I69" s="14" t="e">
        <v>#VALUE!</v>
      </c>
      <c r="K69">
        <f t="shared" ref="K69:K71" si="5">(((K56-K64)^2+(K36-K64)^2+(K16-K64)^2)/3)^(1/2)</f>
        <v>1.6959135853247</v>
      </c>
      <c r="L69">
        <f>(((L56-L64)^2+(L36-L64)^2+(L16-L64)^2)/3)^(1/2)</f>
        <v>0.366101382436918</v>
      </c>
    </row>
    <row r="70" spans="1:12">
      <c r="A70" t="e">
        <f>(((A57-A65)^2+(A37-A65)^2+(A17-A65)^2)/3)^(1/2)</f>
        <v>#VALUE!</v>
      </c>
      <c r="B70" t="e">
        <f>(((B57-B65)^2+(B37-B65)^2+(B17-B65)^2)/3)^(1/2)</f>
        <v>#VALUE!</v>
      </c>
      <c r="C70">
        <f t="shared" si="3"/>
        <v>0.788195125305629</v>
      </c>
      <c r="D70">
        <f t="shared" si="4"/>
        <v>1.35750170861362</v>
      </c>
      <c r="E70" s="14">
        <v>1.425639116</v>
      </c>
      <c r="F70" s="14">
        <v>0.402999586</v>
      </c>
      <c r="G70" s="14"/>
      <c r="H70" s="14"/>
      <c r="I70" s="14" t="e">
        <v>#VALUE!</v>
      </c>
      <c r="K70">
        <f t="shared" si="5"/>
        <v>1.5490716216137</v>
      </c>
      <c r="L70">
        <f>(((L57-L65)^2+(L37-L65)^2+(L17-L65)^2)/3)^(1/2)</f>
        <v>1.07346758994702</v>
      </c>
    </row>
    <row r="71" spans="1:12">
      <c r="A71" t="e">
        <f>(((A58-A66)^2+(A38-A66)^2+(A18-A66)^2)/3)^(1/2)</f>
        <v>#VALUE!</v>
      </c>
      <c r="B71" t="e">
        <f>(((B58-B66)^2+(B38-B66)^2+(B18-B66)^2)/3)^(1/2)</f>
        <v>#VALUE!</v>
      </c>
      <c r="C71">
        <f t="shared" si="3"/>
        <v>3.14684395686995</v>
      </c>
      <c r="D71">
        <f t="shared" si="4"/>
        <v>0.782170626454924</v>
      </c>
      <c r="E71" s="14">
        <v>1.417151211</v>
      </c>
      <c r="F71" s="14">
        <v>2.631127642</v>
      </c>
      <c r="G71" s="14"/>
      <c r="H71" s="14"/>
      <c r="I71" s="14" t="e">
        <v>#VALUE!</v>
      </c>
      <c r="K71">
        <f t="shared" si="5"/>
        <v>2.93407070277608</v>
      </c>
      <c r="L71">
        <f>(((L58-L66)^2+(L38-L66)^2+(L18-L66)^2)/3)^(1/2)</f>
        <v>3.89041934329279</v>
      </c>
    </row>
    <row r="72" spans="1:12">
      <c r="A72" s="6">
        <f>(((A61-A67)^2+(A41-A67)^2+(A21-A67)^2)/3)^(1/2)</f>
        <v>0.222676272247903</v>
      </c>
      <c r="B72" s="6">
        <f>(((B61-B67)^2+(B41-B67)^2+(B21-B67)^2)/3)^(1/2)</f>
        <v>0.20750836663186</v>
      </c>
      <c r="C72" s="6">
        <f>(((C61-C67)^2+(C41-C67)^2+(C21-C67)^2)/3)^(1/2)</f>
        <v>0.150547069051509</v>
      </c>
      <c r="D72" s="6">
        <f>(((D61-D67)^2+(D41-D67)^2+(D21-D67)^2)/3)^(1/2)</f>
        <v>0.519860470575199</v>
      </c>
      <c r="E72" s="23">
        <v>0.308188096</v>
      </c>
      <c r="F72" s="23">
        <v>0.24618943</v>
      </c>
      <c r="G72" s="23"/>
      <c r="H72" s="23"/>
      <c r="I72" s="23">
        <f>(((I61-I67)^2+(I41-I67)^2+(I21-I67)^2)/3)^(1/2)</f>
        <v>0.591753514887932</v>
      </c>
      <c r="J72" s="23">
        <f>(((J61-J67)^2+(J41-J67)^2+(J21-J67)^2)/3)^(1/2)</f>
        <v>9.72024905373657</v>
      </c>
      <c r="K72" s="6">
        <f>(((K61-K67)^2+(K41-K67)^2+(K21-K67)^2)/3)^(1/2)</f>
        <v>0.691876014904404</v>
      </c>
      <c r="L72" s="6">
        <f>(((L61-L67)^2+(L41-L67)^2+(L21-L67)^2)/3)^(1/2)</f>
        <v>0.180241745072186</v>
      </c>
    </row>
    <row r="580" spans="4:4">
      <c r="D580" s="21"/>
    </row>
    <row r="600" spans="3:3">
      <c r="C600" s="21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7"/>
  <sheetViews>
    <sheetView tabSelected="1" topLeftCell="W26" workbookViewId="0">
      <selection activeCell="AK162" sqref="AK162"/>
    </sheetView>
  </sheetViews>
  <sheetFormatPr defaultColWidth="11" defaultRowHeight="16.8"/>
  <cols>
    <col min="1" max="1" width="51.4326923076923" customWidth="1"/>
    <col min="2" max="2" width="39.2596153846154" customWidth="1"/>
    <col min="3" max="3" width="41.9807692307692" customWidth="1"/>
    <col min="4" max="4" width="56.4134615384615" customWidth="1"/>
    <col min="5" max="5" width="48.8653846153846" customWidth="1"/>
    <col min="6" max="7" width="33.9711538461538" customWidth="1"/>
    <col min="8" max="11" width="30.2884615384615" customWidth="1"/>
    <col min="17" max="17" width="10.4134615384615" customWidth="1"/>
    <col min="19" max="19" width="11.5288461538462" customWidth="1"/>
    <col min="20" max="20" width="50.9615384615385" customWidth="1"/>
    <col min="21" max="21" width="58.6442307692308" customWidth="1"/>
    <col min="22" max="22" width="3.67307692307692" customWidth="1"/>
    <col min="23" max="23" width="11.2211538461538" customWidth="1"/>
    <col min="24" max="24" width="8.80769230769231" customWidth="1"/>
    <col min="30" max="30" width="12.9230769230769"/>
    <col min="33" max="33" width="12.9230769230769"/>
  </cols>
  <sheetData>
    <row r="1" spans="1:21">
      <c r="A1" s="8" t="s">
        <v>5764</v>
      </c>
      <c r="J1" s="9" t="s">
        <v>22</v>
      </c>
      <c r="S1" s="11" t="s">
        <v>1802</v>
      </c>
      <c r="T1" t="s">
        <v>104</v>
      </c>
      <c r="U1" t="s">
        <v>104</v>
      </c>
    </row>
    <row r="2" spans="2:21">
      <c r="B2">
        <v>1.33028</v>
      </c>
      <c r="C2">
        <v>1.13301</v>
      </c>
      <c r="D2">
        <v>1.60093</v>
      </c>
      <c r="E2">
        <v>1.72945</v>
      </c>
      <c r="F2">
        <v>1.95659</v>
      </c>
      <c r="G2">
        <v>1.9596</v>
      </c>
      <c r="H2">
        <v>2.00598</v>
      </c>
      <c r="I2">
        <v>2.21819</v>
      </c>
      <c r="J2" t="s">
        <v>5765</v>
      </c>
      <c r="K2" t="s">
        <v>41</v>
      </c>
      <c r="L2" s="10"/>
      <c r="T2" t="s">
        <v>42</v>
      </c>
      <c r="U2" t="s">
        <v>42</v>
      </c>
    </row>
    <row r="3" spans="1:21">
      <c r="A3">
        <v>5.80333</v>
      </c>
      <c r="B3">
        <v>5.54</v>
      </c>
      <c r="C3">
        <v>5.9</v>
      </c>
      <c r="D3">
        <v>5.61667</v>
      </c>
      <c r="E3">
        <v>6.69333</v>
      </c>
      <c r="F3">
        <v>6.92</v>
      </c>
      <c r="G3">
        <v>6.80667</v>
      </c>
      <c r="H3">
        <v>7.43</v>
      </c>
      <c r="I3">
        <v>20.9533</v>
      </c>
      <c r="J3">
        <v>9.72333</v>
      </c>
      <c r="K3" t="s">
        <v>1805</v>
      </c>
      <c r="T3" t="s">
        <v>43</v>
      </c>
      <c r="U3" t="s">
        <v>43</v>
      </c>
    </row>
    <row r="4" spans="1:21">
      <c r="A4">
        <v>0.58648</v>
      </c>
      <c r="B4">
        <v>0.630209</v>
      </c>
      <c r="C4">
        <v>0.737472</v>
      </c>
      <c r="D4">
        <v>0.766558</v>
      </c>
      <c r="E4">
        <v>0.783681</v>
      </c>
      <c r="F4">
        <v>0.825061</v>
      </c>
      <c r="G4">
        <v>0.826467</v>
      </c>
      <c r="H4">
        <v>0.891548</v>
      </c>
      <c r="I4">
        <v>0.91585</v>
      </c>
      <c r="J4" t="s">
        <v>5766</v>
      </c>
      <c r="K4" t="s">
        <v>42</v>
      </c>
      <c r="T4" t="s">
        <v>44</v>
      </c>
      <c r="U4" t="s">
        <v>44</v>
      </c>
    </row>
    <row r="5" spans="1:21">
      <c r="A5">
        <v>10.1267</v>
      </c>
      <c r="B5">
        <v>11.8233</v>
      </c>
      <c r="C5">
        <v>12.83</v>
      </c>
      <c r="D5">
        <v>21.66</v>
      </c>
      <c r="E5">
        <v>20.4133</v>
      </c>
      <c r="F5">
        <v>31.77</v>
      </c>
      <c r="G5">
        <v>29.9567</v>
      </c>
      <c r="H5">
        <v>53.48</v>
      </c>
      <c r="I5">
        <v>63.8733</v>
      </c>
      <c r="J5">
        <v>5.53</v>
      </c>
      <c r="K5" t="s">
        <v>43</v>
      </c>
      <c r="T5" t="s">
        <v>5767</v>
      </c>
      <c r="U5" t="s">
        <v>5768</v>
      </c>
    </row>
    <row r="6" spans="1:21">
      <c r="A6">
        <v>0.338679</v>
      </c>
      <c r="B6">
        <v>0.549394</v>
      </c>
      <c r="C6">
        <v>0.660135</v>
      </c>
      <c r="D6">
        <v>0.886726</v>
      </c>
      <c r="E6">
        <v>0.981651</v>
      </c>
      <c r="F6">
        <v>1.01995</v>
      </c>
      <c r="G6">
        <v>1.03456</v>
      </c>
      <c r="H6">
        <v>1.05307</v>
      </c>
      <c r="I6">
        <v>1.09666</v>
      </c>
      <c r="J6" t="s">
        <v>44</v>
      </c>
      <c r="K6" t="s">
        <v>44</v>
      </c>
      <c r="T6" t="s">
        <v>5769</v>
      </c>
      <c r="U6" t="s">
        <v>5770</v>
      </c>
    </row>
    <row r="7" spans="1:21">
      <c r="A7">
        <v>6.52667</v>
      </c>
      <c r="B7">
        <v>6.91</v>
      </c>
      <c r="C7">
        <v>7.22667</v>
      </c>
      <c r="D7">
        <v>9.95333</v>
      </c>
      <c r="E7">
        <v>8.72</v>
      </c>
      <c r="F7">
        <v>19.5067</v>
      </c>
      <c r="G7">
        <v>23.24</v>
      </c>
      <c r="H7">
        <v>19.2967</v>
      </c>
      <c r="I7">
        <v>24.22</v>
      </c>
      <c r="J7" t="s">
        <v>5771</v>
      </c>
      <c r="K7" t="s">
        <v>5772</v>
      </c>
      <c r="T7" t="s">
        <v>5773</v>
      </c>
      <c r="U7" t="s">
        <v>5774</v>
      </c>
    </row>
    <row r="8" spans="10:21">
      <c r="J8" t="s">
        <v>5775</v>
      </c>
      <c r="K8" t="s">
        <v>5776</v>
      </c>
      <c r="T8">
        <v>2.22222222222222e+16</v>
      </c>
      <c r="U8">
        <v>2.22222222222222e+16</v>
      </c>
    </row>
    <row r="9" spans="10:21">
      <c r="J9" t="s">
        <v>5777</v>
      </c>
      <c r="K9" t="s">
        <v>5778</v>
      </c>
      <c r="T9" t="s">
        <v>5779</v>
      </c>
      <c r="U9" t="s">
        <v>5780</v>
      </c>
    </row>
    <row r="10" spans="10:21">
      <c r="J10" t="s">
        <v>5781</v>
      </c>
      <c r="K10" t="s">
        <v>5782</v>
      </c>
      <c r="T10" t="s">
        <v>5783</v>
      </c>
      <c r="U10" t="s">
        <v>5784</v>
      </c>
    </row>
    <row r="11" spans="10:21">
      <c r="J11" t="s">
        <v>5785</v>
      </c>
      <c r="K11" t="s">
        <v>5786</v>
      </c>
      <c r="T11" t="s">
        <v>5787</v>
      </c>
      <c r="U11" t="s">
        <v>5788</v>
      </c>
    </row>
    <row r="12" spans="1:21">
      <c r="A12" t="s">
        <v>41</v>
      </c>
      <c r="B12" t="s">
        <v>41</v>
      </c>
      <c r="D12" t="s">
        <v>104</v>
      </c>
      <c r="E12" t="s">
        <v>104</v>
      </c>
      <c r="F12" t="s">
        <v>104</v>
      </c>
      <c r="G12" t="s">
        <v>104</v>
      </c>
      <c r="H12" t="s">
        <v>104</v>
      </c>
      <c r="I12" t="s">
        <v>104</v>
      </c>
      <c r="J12" t="s">
        <v>5789</v>
      </c>
      <c r="K12" t="s">
        <v>5790</v>
      </c>
      <c r="T12" t="s">
        <v>5791</v>
      </c>
      <c r="U12" t="s">
        <v>5792</v>
      </c>
    </row>
    <row r="13" spans="1:21">
      <c r="A13" t="s">
        <v>42</v>
      </c>
      <c r="B13" t="s">
        <v>42</v>
      </c>
      <c r="C13" t="s">
        <v>104</v>
      </c>
      <c r="D13" t="s">
        <v>42</v>
      </c>
      <c r="E13" t="s">
        <v>42</v>
      </c>
      <c r="F13" t="s">
        <v>42</v>
      </c>
      <c r="G13" t="s">
        <v>42</v>
      </c>
      <c r="H13" t="s">
        <v>42</v>
      </c>
      <c r="I13" t="s">
        <v>42</v>
      </c>
      <c r="J13" t="s">
        <v>5793</v>
      </c>
      <c r="K13" t="s">
        <v>5794</v>
      </c>
      <c r="T13" t="s">
        <v>5795</v>
      </c>
      <c r="U13" t="s">
        <v>5796</v>
      </c>
    </row>
    <row r="14" spans="1:21">
      <c r="A14" t="s">
        <v>43</v>
      </c>
      <c r="B14" t="s">
        <v>43</v>
      </c>
      <c r="C14" t="s">
        <v>42</v>
      </c>
      <c r="D14" t="s">
        <v>43</v>
      </c>
      <c r="E14" t="s">
        <v>43</v>
      </c>
      <c r="F14" t="s">
        <v>43</v>
      </c>
      <c r="G14" t="s">
        <v>43</v>
      </c>
      <c r="H14" t="s">
        <v>43</v>
      </c>
      <c r="I14" t="s">
        <v>43</v>
      </c>
      <c r="J14" t="s">
        <v>5797</v>
      </c>
      <c r="K14" t="s">
        <v>5798</v>
      </c>
      <c r="T14" t="s">
        <v>5799</v>
      </c>
      <c r="U14" t="s">
        <v>5800</v>
      </c>
    </row>
    <row r="15" spans="1:21">
      <c r="A15" t="s">
        <v>44</v>
      </c>
      <c r="B15" t="s">
        <v>44</v>
      </c>
      <c r="C15" t="s">
        <v>43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5801</v>
      </c>
      <c r="K15" t="s">
        <v>5802</v>
      </c>
      <c r="T15" t="s">
        <v>5803</v>
      </c>
      <c r="U15" t="s">
        <v>5804</v>
      </c>
    </row>
    <row r="16" spans="1:21">
      <c r="A16" t="s">
        <v>45</v>
      </c>
      <c r="B16" t="s">
        <v>45</v>
      </c>
      <c r="C16" t="s">
        <v>44</v>
      </c>
      <c r="D16" t="s">
        <v>45</v>
      </c>
      <c r="E16" t="s">
        <v>45</v>
      </c>
      <c r="F16" t="s">
        <v>45</v>
      </c>
      <c r="G16" t="s">
        <v>45</v>
      </c>
      <c r="H16" t="s">
        <v>45</v>
      </c>
      <c r="I16" t="s">
        <v>45</v>
      </c>
      <c r="J16" t="s">
        <v>5805</v>
      </c>
      <c r="K16" t="s">
        <v>5806</v>
      </c>
      <c r="T16" t="s">
        <v>5807</v>
      </c>
      <c r="U16" t="s">
        <v>5808</v>
      </c>
    </row>
    <row r="17" spans="1:21">
      <c r="A17" t="s">
        <v>5809</v>
      </c>
      <c r="B17" t="s">
        <v>5810</v>
      </c>
      <c r="C17" t="s">
        <v>45</v>
      </c>
      <c r="D17" t="s">
        <v>5811</v>
      </c>
      <c r="E17" t="s">
        <v>5812</v>
      </c>
      <c r="F17" t="s">
        <v>5813</v>
      </c>
      <c r="G17" t="s">
        <v>5814</v>
      </c>
      <c r="H17" t="s">
        <v>5815</v>
      </c>
      <c r="I17" t="s">
        <v>5816</v>
      </c>
      <c r="J17" t="s">
        <v>5817</v>
      </c>
      <c r="K17" t="s">
        <v>5818</v>
      </c>
      <c r="T17" t="s">
        <v>5819</v>
      </c>
      <c r="U17" t="s">
        <v>5820</v>
      </c>
    </row>
    <row r="18" spans="1:21">
      <c r="A18" t="s">
        <v>5821</v>
      </c>
      <c r="B18" t="s">
        <v>5822</v>
      </c>
      <c r="C18" t="s">
        <v>5823</v>
      </c>
      <c r="D18" t="s">
        <v>5824</v>
      </c>
      <c r="E18" t="s">
        <v>5825</v>
      </c>
      <c r="F18" t="s">
        <v>5826</v>
      </c>
      <c r="G18" t="s">
        <v>5827</v>
      </c>
      <c r="H18" t="s">
        <v>5828</v>
      </c>
      <c r="I18" t="s">
        <v>5829</v>
      </c>
      <c r="J18" t="s">
        <v>5830</v>
      </c>
      <c r="K18" t="s">
        <v>5831</v>
      </c>
      <c r="T18" t="s">
        <v>5832</v>
      </c>
      <c r="U18" t="s">
        <v>5833</v>
      </c>
    </row>
    <row r="19" spans="1:21">
      <c r="A19" t="s">
        <v>5834</v>
      </c>
      <c r="B19" t="s">
        <v>5835</v>
      </c>
      <c r="C19" t="s">
        <v>5836</v>
      </c>
      <c r="D19" t="s">
        <v>5837</v>
      </c>
      <c r="E19" t="s">
        <v>5838</v>
      </c>
      <c r="F19" t="s">
        <v>5839</v>
      </c>
      <c r="G19" t="s">
        <v>5840</v>
      </c>
      <c r="H19" t="s">
        <v>5841</v>
      </c>
      <c r="I19" t="s">
        <v>5842</v>
      </c>
      <c r="J19" t="s">
        <v>5843</v>
      </c>
      <c r="K19" t="s">
        <v>5844</v>
      </c>
      <c r="T19" t="s">
        <v>5845</v>
      </c>
      <c r="U19" t="s">
        <v>5846</v>
      </c>
    </row>
    <row r="20" spans="1:21">
      <c r="A20" t="s">
        <v>5847</v>
      </c>
      <c r="B20" t="s">
        <v>5848</v>
      </c>
      <c r="C20" t="s">
        <v>5849</v>
      </c>
      <c r="D20" t="s">
        <v>5850</v>
      </c>
      <c r="E20" t="s">
        <v>5851</v>
      </c>
      <c r="F20" t="s">
        <v>5852</v>
      </c>
      <c r="G20" t="s">
        <v>5853</v>
      </c>
      <c r="H20" t="s">
        <v>5854</v>
      </c>
      <c r="I20" t="s">
        <v>5855</v>
      </c>
      <c r="J20" t="s">
        <v>5856</v>
      </c>
      <c r="K20" t="s">
        <v>5857</v>
      </c>
      <c r="T20">
        <v>6.52667</v>
      </c>
      <c r="U20">
        <v>19.2967</v>
      </c>
    </row>
    <row r="21" spans="1:21">
      <c r="A21" t="s">
        <v>5858</v>
      </c>
      <c r="B21" t="s">
        <v>5859</v>
      </c>
      <c r="C21" t="s">
        <v>5860</v>
      </c>
      <c r="D21" t="s">
        <v>5861</v>
      </c>
      <c r="E21" t="s">
        <v>5862</v>
      </c>
      <c r="F21" t="s">
        <v>5863</v>
      </c>
      <c r="G21" t="s">
        <v>5864</v>
      </c>
      <c r="H21" t="s">
        <v>5865</v>
      </c>
      <c r="I21" t="s">
        <v>5866</v>
      </c>
      <c r="J21">
        <v>53.48</v>
      </c>
      <c r="K21" t="s">
        <v>5867</v>
      </c>
      <c r="T21" t="s">
        <v>374</v>
      </c>
      <c r="U21" t="s">
        <v>245</v>
      </c>
    </row>
    <row r="22" spans="1:11">
      <c r="A22" t="s">
        <v>5868</v>
      </c>
      <c r="B22" t="s">
        <v>5869</v>
      </c>
      <c r="C22" t="s">
        <v>5870</v>
      </c>
      <c r="D22" t="s">
        <v>5871</v>
      </c>
      <c r="E22" t="s">
        <v>5872</v>
      </c>
      <c r="F22" t="s">
        <v>5873</v>
      </c>
      <c r="G22" t="s">
        <v>5874</v>
      </c>
      <c r="H22" t="s">
        <v>5875</v>
      </c>
      <c r="I22" t="s">
        <v>5876</v>
      </c>
      <c r="J22" t="s">
        <v>245</v>
      </c>
      <c r="K22" t="s">
        <v>97</v>
      </c>
    </row>
    <row r="23" spans="1:21">
      <c r="A23" t="s">
        <v>5877</v>
      </c>
      <c r="B23" t="s">
        <v>5878</v>
      </c>
      <c r="C23" t="s">
        <v>5879</v>
      </c>
      <c r="D23" t="s">
        <v>5880</v>
      </c>
      <c r="E23" t="s">
        <v>5881</v>
      </c>
      <c r="F23" t="s">
        <v>5882</v>
      </c>
      <c r="G23" t="s">
        <v>5883</v>
      </c>
      <c r="H23" t="s">
        <v>5884</v>
      </c>
      <c r="I23" t="s">
        <v>5885</v>
      </c>
      <c r="K23" t="s">
        <v>41</v>
      </c>
      <c r="T23" t="s">
        <v>104</v>
      </c>
      <c r="U23" t="s">
        <v>104</v>
      </c>
    </row>
    <row r="24" spans="1:21">
      <c r="A24" t="s">
        <v>5886</v>
      </c>
      <c r="B24" t="s">
        <v>5887</v>
      </c>
      <c r="C24" t="s">
        <v>5888</v>
      </c>
      <c r="D24" t="s">
        <v>5889</v>
      </c>
      <c r="E24" t="s">
        <v>5890</v>
      </c>
      <c r="F24" t="s">
        <v>5891</v>
      </c>
      <c r="G24" t="s">
        <v>5892</v>
      </c>
      <c r="H24" t="s">
        <v>5893</v>
      </c>
      <c r="I24" t="s">
        <v>5894</v>
      </c>
      <c r="J24" t="s">
        <v>104</v>
      </c>
      <c r="K24" t="s">
        <v>1805</v>
      </c>
      <c r="T24" t="s">
        <v>42</v>
      </c>
      <c r="U24" t="s">
        <v>42</v>
      </c>
    </row>
    <row r="25" spans="1:21">
      <c r="A25" t="s">
        <v>5895</v>
      </c>
      <c r="B25" t="s">
        <v>5896</v>
      </c>
      <c r="C25" t="s">
        <v>5897</v>
      </c>
      <c r="D25" t="s">
        <v>5898</v>
      </c>
      <c r="E25" t="s">
        <v>5899</v>
      </c>
      <c r="F25" t="s">
        <v>5900</v>
      </c>
      <c r="G25" t="s">
        <v>5901</v>
      </c>
      <c r="H25" t="s">
        <v>5902</v>
      </c>
      <c r="I25" t="s">
        <v>5903</v>
      </c>
      <c r="J25" t="s">
        <v>1805</v>
      </c>
      <c r="K25" t="s">
        <v>42</v>
      </c>
      <c r="T25" t="s">
        <v>43</v>
      </c>
      <c r="U25" t="s">
        <v>43</v>
      </c>
    </row>
    <row r="26" spans="1:21">
      <c r="A26" t="s">
        <v>5904</v>
      </c>
      <c r="B26" t="s">
        <v>5905</v>
      </c>
      <c r="C26" t="s">
        <v>5906</v>
      </c>
      <c r="D26" t="s">
        <v>5907</v>
      </c>
      <c r="E26" t="s">
        <v>5908</v>
      </c>
      <c r="F26" t="s">
        <v>5909</v>
      </c>
      <c r="G26" t="s">
        <v>5910</v>
      </c>
      <c r="H26" t="s">
        <v>5911</v>
      </c>
      <c r="I26" t="s">
        <v>5912</v>
      </c>
      <c r="J26" t="s">
        <v>42</v>
      </c>
      <c r="K26" t="s">
        <v>43</v>
      </c>
      <c r="T26" t="s">
        <v>44</v>
      </c>
      <c r="U26" t="s">
        <v>44</v>
      </c>
    </row>
    <row r="27" spans="1:21">
      <c r="A27" t="s">
        <v>5913</v>
      </c>
      <c r="B27" t="s">
        <v>5914</v>
      </c>
      <c r="C27" t="s">
        <v>5915</v>
      </c>
      <c r="D27" t="s">
        <v>5916</v>
      </c>
      <c r="E27" t="s">
        <v>5917</v>
      </c>
      <c r="F27" t="s">
        <v>5918</v>
      </c>
      <c r="G27" t="s">
        <v>5919</v>
      </c>
      <c r="H27" t="s">
        <v>5920</v>
      </c>
      <c r="I27" t="s">
        <v>5921</v>
      </c>
      <c r="J27" t="s">
        <v>43</v>
      </c>
      <c r="K27" t="s">
        <v>44</v>
      </c>
      <c r="T27" t="s">
        <v>5922</v>
      </c>
      <c r="U27" t="s">
        <v>5923</v>
      </c>
    </row>
    <row r="28" spans="1:21">
      <c r="A28" t="s">
        <v>5924</v>
      </c>
      <c r="B28" t="s">
        <v>5925</v>
      </c>
      <c r="C28" t="s">
        <v>5926</v>
      </c>
      <c r="D28" t="s">
        <v>5927</v>
      </c>
      <c r="E28" t="s">
        <v>5928</v>
      </c>
      <c r="F28" t="s">
        <v>5929</v>
      </c>
      <c r="G28" t="s">
        <v>5930</v>
      </c>
      <c r="H28" t="s">
        <v>5931</v>
      </c>
      <c r="I28" t="s">
        <v>5932</v>
      </c>
      <c r="J28" t="s">
        <v>44</v>
      </c>
      <c r="K28" t="s">
        <v>5933</v>
      </c>
      <c r="T28" t="s">
        <v>5934</v>
      </c>
      <c r="U28" t="s">
        <v>5935</v>
      </c>
    </row>
    <row r="29" spans="1:21">
      <c r="A29" t="s">
        <v>5936</v>
      </c>
      <c r="B29" t="s">
        <v>5937</v>
      </c>
      <c r="C29" t="s">
        <v>5938</v>
      </c>
      <c r="D29" t="s">
        <v>5939</v>
      </c>
      <c r="E29" t="s">
        <v>5940</v>
      </c>
      <c r="F29" t="s">
        <v>5941</v>
      </c>
      <c r="G29" t="s">
        <v>5942</v>
      </c>
      <c r="H29" t="s">
        <v>5943</v>
      </c>
      <c r="I29" t="s">
        <v>5944</v>
      </c>
      <c r="J29" t="s">
        <v>5945</v>
      </c>
      <c r="K29" t="s">
        <v>5946</v>
      </c>
      <c r="T29" t="s">
        <v>5947</v>
      </c>
      <c r="U29" t="s">
        <v>5948</v>
      </c>
    </row>
    <row r="30" spans="1:21">
      <c r="A30" t="s">
        <v>5949</v>
      </c>
      <c r="B30" t="s">
        <v>5950</v>
      </c>
      <c r="C30" t="s">
        <v>5951</v>
      </c>
      <c r="D30" t="s">
        <v>5952</v>
      </c>
      <c r="E30" t="s">
        <v>5953</v>
      </c>
      <c r="F30" t="s">
        <v>5954</v>
      </c>
      <c r="G30" t="s">
        <v>5955</v>
      </c>
      <c r="H30" t="s">
        <v>5956</v>
      </c>
      <c r="I30" t="s">
        <v>5957</v>
      </c>
      <c r="J30" t="s">
        <v>5958</v>
      </c>
      <c r="K30" t="s">
        <v>5959</v>
      </c>
      <c r="T30">
        <v>2.22222222222222e+16</v>
      </c>
      <c r="U30">
        <v>2.22222222222222e+16</v>
      </c>
    </row>
    <row r="31" spans="1:21">
      <c r="A31" t="s">
        <v>5960</v>
      </c>
      <c r="B31" t="s">
        <v>5961</v>
      </c>
      <c r="C31">
        <v>5.9</v>
      </c>
      <c r="D31">
        <v>5.61667</v>
      </c>
      <c r="E31">
        <v>6.69333</v>
      </c>
      <c r="F31">
        <v>6.92</v>
      </c>
      <c r="G31">
        <v>6.80667</v>
      </c>
      <c r="H31">
        <v>7.43</v>
      </c>
      <c r="I31">
        <v>20.9533</v>
      </c>
      <c r="J31" t="s">
        <v>5962</v>
      </c>
      <c r="K31" t="s">
        <v>5963</v>
      </c>
      <c r="T31" t="s">
        <v>5964</v>
      </c>
      <c r="U31" t="s">
        <v>5965</v>
      </c>
    </row>
    <row r="32" spans="1:21">
      <c r="A32" t="s">
        <v>97</v>
      </c>
      <c r="B32" t="s">
        <v>97</v>
      </c>
      <c r="C32" t="s">
        <v>97</v>
      </c>
      <c r="D32" t="s">
        <v>244</v>
      </c>
      <c r="E32" t="s">
        <v>97</v>
      </c>
      <c r="F32" t="s">
        <v>97</v>
      </c>
      <c r="G32" t="s">
        <v>96</v>
      </c>
      <c r="H32" t="s">
        <v>375</v>
      </c>
      <c r="I32" t="s">
        <v>375</v>
      </c>
      <c r="J32" t="s">
        <v>5966</v>
      </c>
      <c r="K32" t="s">
        <v>5967</v>
      </c>
      <c r="T32" t="s">
        <v>5968</v>
      </c>
      <c r="U32" t="s">
        <v>5969</v>
      </c>
    </row>
    <row r="33" spans="10:21">
      <c r="J33" t="s">
        <v>5970</v>
      </c>
      <c r="K33" t="s">
        <v>5971</v>
      </c>
      <c r="T33" t="s">
        <v>5972</v>
      </c>
      <c r="U33" t="s">
        <v>5973</v>
      </c>
    </row>
    <row r="34" spans="10:21">
      <c r="J34" t="s">
        <v>5974</v>
      </c>
      <c r="K34" t="s">
        <v>5975</v>
      </c>
      <c r="T34" t="s">
        <v>5976</v>
      </c>
      <c r="U34" t="s">
        <v>5977</v>
      </c>
    </row>
    <row r="35" spans="10:21">
      <c r="J35" t="s">
        <v>5978</v>
      </c>
      <c r="K35" t="s">
        <v>5979</v>
      </c>
      <c r="T35" t="s">
        <v>5980</v>
      </c>
      <c r="U35" t="s">
        <v>5981</v>
      </c>
    </row>
    <row r="36" spans="10:21">
      <c r="J36" t="s">
        <v>5982</v>
      </c>
      <c r="K36" t="s">
        <v>5983</v>
      </c>
      <c r="T36" t="s">
        <v>5984</v>
      </c>
      <c r="U36" t="s">
        <v>5985</v>
      </c>
    </row>
    <row r="37" spans="10:21">
      <c r="J37" t="s">
        <v>5986</v>
      </c>
      <c r="K37" t="s">
        <v>5987</v>
      </c>
      <c r="T37" t="s">
        <v>5988</v>
      </c>
      <c r="U37" t="s">
        <v>5989</v>
      </c>
    </row>
    <row r="38" spans="10:21">
      <c r="J38" t="s">
        <v>5990</v>
      </c>
      <c r="K38" t="s">
        <v>5991</v>
      </c>
      <c r="T38" t="s">
        <v>5992</v>
      </c>
      <c r="U38" t="s">
        <v>5993</v>
      </c>
    </row>
    <row r="39" spans="10:21">
      <c r="J39" t="s">
        <v>5994</v>
      </c>
      <c r="K39" t="s">
        <v>5995</v>
      </c>
      <c r="T39" t="s">
        <v>5996</v>
      </c>
      <c r="U39" t="s">
        <v>5997</v>
      </c>
    </row>
    <row r="40" spans="10:21">
      <c r="J40" t="s">
        <v>5998</v>
      </c>
      <c r="K40" t="s">
        <v>5999</v>
      </c>
      <c r="T40" t="s">
        <v>6000</v>
      </c>
      <c r="U40" t="s">
        <v>6001</v>
      </c>
    </row>
    <row r="41" spans="10:21">
      <c r="J41" t="s">
        <v>6002</v>
      </c>
      <c r="K41" t="s">
        <v>6003</v>
      </c>
      <c r="T41" t="s">
        <v>6004</v>
      </c>
      <c r="U41" t="s">
        <v>6005</v>
      </c>
    </row>
    <row r="42" spans="10:21">
      <c r="J42" t="s">
        <v>6006</v>
      </c>
      <c r="K42" t="s">
        <v>6007</v>
      </c>
      <c r="T42">
        <v>23.24</v>
      </c>
      <c r="U42">
        <v>24.22</v>
      </c>
    </row>
    <row r="43" spans="10:21">
      <c r="J43">
        <v>63.8733</v>
      </c>
      <c r="K43" t="s">
        <v>97</v>
      </c>
      <c r="T43" t="s">
        <v>374</v>
      </c>
      <c r="U43" t="s">
        <v>245</v>
      </c>
    </row>
    <row r="44" spans="10:10">
      <c r="J44" t="s">
        <v>241</v>
      </c>
    </row>
    <row r="45" spans="20:21">
      <c r="T45" t="s">
        <v>104</v>
      </c>
      <c r="U45" t="s">
        <v>104</v>
      </c>
    </row>
    <row r="46" spans="10:21">
      <c r="J46" t="s">
        <v>104</v>
      </c>
      <c r="T46" t="s">
        <v>42</v>
      </c>
      <c r="U46" t="s">
        <v>42</v>
      </c>
    </row>
    <row r="47" spans="10:21">
      <c r="J47" t="s">
        <v>1805</v>
      </c>
      <c r="T47" t="s">
        <v>43</v>
      </c>
      <c r="U47" t="s">
        <v>43</v>
      </c>
    </row>
    <row r="48" spans="10:21">
      <c r="J48" t="s">
        <v>42</v>
      </c>
      <c r="T48" t="s">
        <v>44</v>
      </c>
      <c r="U48" t="s">
        <v>44</v>
      </c>
    </row>
    <row r="49" spans="10:21">
      <c r="J49" t="s">
        <v>43</v>
      </c>
      <c r="T49" t="s">
        <v>6008</v>
      </c>
      <c r="U49" t="s">
        <v>6009</v>
      </c>
    </row>
    <row r="50" spans="10:21">
      <c r="J50" t="s">
        <v>44</v>
      </c>
      <c r="T50" t="s">
        <v>6010</v>
      </c>
      <c r="U50" t="s">
        <v>6011</v>
      </c>
    </row>
    <row r="51" spans="10:21">
      <c r="J51" t="s">
        <v>6012</v>
      </c>
      <c r="T51" t="s">
        <v>6013</v>
      </c>
      <c r="U51" t="s">
        <v>6014</v>
      </c>
    </row>
    <row r="52" spans="10:21">
      <c r="J52" t="s">
        <v>6015</v>
      </c>
      <c r="T52">
        <v>2.22222222222222e+16</v>
      </c>
      <c r="U52">
        <v>2.22222222222222e+16</v>
      </c>
    </row>
    <row r="53" spans="10:21">
      <c r="J53" t="s">
        <v>6016</v>
      </c>
      <c r="T53" t="s">
        <v>6017</v>
      </c>
      <c r="U53" t="s">
        <v>6018</v>
      </c>
    </row>
    <row r="54" spans="10:21">
      <c r="J54" t="s">
        <v>6019</v>
      </c>
      <c r="T54" t="s">
        <v>6020</v>
      </c>
      <c r="U54" t="s">
        <v>6021</v>
      </c>
    </row>
    <row r="55" spans="10:21">
      <c r="J55" t="s">
        <v>6022</v>
      </c>
      <c r="T55" t="s">
        <v>6023</v>
      </c>
      <c r="U55" t="s">
        <v>6024</v>
      </c>
    </row>
    <row r="56" spans="10:21">
      <c r="J56" t="s">
        <v>6025</v>
      </c>
      <c r="T56" t="s">
        <v>6026</v>
      </c>
      <c r="U56" t="s">
        <v>6027</v>
      </c>
    </row>
    <row r="57" spans="10:21">
      <c r="J57" t="s">
        <v>6028</v>
      </c>
      <c r="T57" t="s">
        <v>6029</v>
      </c>
      <c r="U57" t="s">
        <v>6030</v>
      </c>
    </row>
    <row r="58" spans="10:21">
      <c r="J58" t="s">
        <v>6031</v>
      </c>
      <c r="T58" t="s">
        <v>6032</v>
      </c>
      <c r="U58" t="s">
        <v>6033</v>
      </c>
    </row>
    <row r="59" spans="10:21">
      <c r="J59" t="s">
        <v>6034</v>
      </c>
      <c r="T59" t="s">
        <v>6035</v>
      </c>
      <c r="U59" t="s">
        <v>6036</v>
      </c>
    </row>
    <row r="60" spans="10:21">
      <c r="J60" t="s">
        <v>6037</v>
      </c>
      <c r="T60" t="s">
        <v>6038</v>
      </c>
      <c r="U60" t="s">
        <v>6039</v>
      </c>
    </row>
    <row r="61" spans="10:21">
      <c r="J61" t="s">
        <v>6040</v>
      </c>
      <c r="T61" t="s">
        <v>6041</v>
      </c>
      <c r="U61" t="s">
        <v>6042</v>
      </c>
    </row>
    <row r="62" spans="10:21">
      <c r="J62" t="s">
        <v>6043</v>
      </c>
      <c r="T62" t="s">
        <v>6044</v>
      </c>
      <c r="U62" t="s">
        <v>6045</v>
      </c>
    </row>
    <row r="63" spans="10:21">
      <c r="J63" t="s">
        <v>6046</v>
      </c>
      <c r="T63" t="s">
        <v>6047</v>
      </c>
      <c r="U63" t="s">
        <v>6048</v>
      </c>
    </row>
    <row r="64" spans="10:21">
      <c r="J64" t="s">
        <v>6049</v>
      </c>
      <c r="T64">
        <v>9.95333</v>
      </c>
      <c r="U64">
        <v>8.72</v>
      </c>
    </row>
    <row r="65" spans="10:21">
      <c r="J65">
        <v>29.9567</v>
      </c>
      <c r="T65" t="s">
        <v>242</v>
      </c>
      <c r="U65" t="s">
        <v>97</v>
      </c>
    </row>
    <row r="66" spans="10:10">
      <c r="J66" t="s">
        <v>242</v>
      </c>
    </row>
    <row r="67" spans="20:21">
      <c r="T67" t="s">
        <v>41</v>
      </c>
      <c r="U67" t="s">
        <v>104</v>
      </c>
    </row>
    <row r="68" spans="10:21">
      <c r="J68" t="s">
        <v>104</v>
      </c>
      <c r="T68" t="s">
        <v>42</v>
      </c>
      <c r="U68" t="s">
        <v>42</v>
      </c>
    </row>
    <row r="69" spans="10:21">
      <c r="J69" t="s">
        <v>1805</v>
      </c>
      <c r="T69" t="s">
        <v>43</v>
      </c>
      <c r="U69" t="s">
        <v>43</v>
      </c>
    </row>
    <row r="70" spans="10:21">
      <c r="J70" t="s">
        <v>42</v>
      </c>
      <c r="T70" t="s">
        <v>44</v>
      </c>
      <c r="U70" t="s">
        <v>44</v>
      </c>
    </row>
    <row r="71" spans="10:21">
      <c r="J71" t="s">
        <v>43</v>
      </c>
      <c r="T71" t="s">
        <v>6050</v>
      </c>
      <c r="U71" t="s">
        <v>6051</v>
      </c>
    </row>
    <row r="72" spans="10:21">
      <c r="J72" t="s">
        <v>44</v>
      </c>
      <c r="T72" t="s">
        <v>6052</v>
      </c>
      <c r="U72" t="s">
        <v>6053</v>
      </c>
    </row>
    <row r="73" spans="10:21">
      <c r="J73" t="s">
        <v>6054</v>
      </c>
      <c r="T73" t="s">
        <v>6055</v>
      </c>
      <c r="U73" t="s">
        <v>6056</v>
      </c>
    </row>
    <row r="74" spans="10:21">
      <c r="J74" t="s">
        <v>6057</v>
      </c>
      <c r="T74">
        <v>2.22222222222222e+16</v>
      </c>
      <c r="U74">
        <v>2.22222222222222e+16</v>
      </c>
    </row>
    <row r="75" spans="10:21">
      <c r="J75" t="s">
        <v>6058</v>
      </c>
      <c r="T75" t="s">
        <v>6059</v>
      </c>
      <c r="U75" t="s">
        <v>6060</v>
      </c>
    </row>
    <row r="76" spans="10:21">
      <c r="J76" t="s">
        <v>6061</v>
      </c>
      <c r="T76" t="s">
        <v>6062</v>
      </c>
      <c r="U76" t="s">
        <v>6063</v>
      </c>
    </row>
    <row r="77" spans="10:21">
      <c r="J77" t="s">
        <v>6064</v>
      </c>
      <c r="T77" t="s">
        <v>6065</v>
      </c>
      <c r="U77" t="s">
        <v>6066</v>
      </c>
    </row>
    <row r="78" spans="10:21">
      <c r="J78" t="s">
        <v>6067</v>
      </c>
      <c r="T78" t="s">
        <v>6068</v>
      </c>
      <c r="U78" t="s">
        <v>6069</v>
      </c>
    </row>
    <row r="79" spans="10:21">
      <c r="J79" t="s">
        <v>6070</v>
      </c>
      <c r="T79" t="s">
        <v>6071</v>
      </c>
      <c r="U79" t="s">
        <v>6072</v>
      </c>
    </row>
    <row r="80" spans="10:21">
      <c r="J80" t="s">
        <v>6073</v>
      </c>
      <c r="T80" t="s">
        <v>6074</v>
      </c>
      <c r="U80" t="s">
        <v>6075</v>
      </c>
    </row>
    <row r="81" spans="10:21">
      <c r="J81" t="s">
        <v>6076</v>
      </c>
      <c r="T81" t="s">
        <v>6077</v>
      </c>
      <c r="U81" t="s">
        <v>6078</v>
      </c>
    </row>
    <row r="82" spans="10:21">
      <c r="J82" t="s">
        <v>6079</v>
      </c>
      <c r="T82" t="s">
        <v>6080</v>
      </c>
      <c r="U82" t="s">
        <v>6081</v>
      </c>
    </row>
    <row r="83" spans="10:21">
      <c r="J83" t="s">
        <v>6082</v>
      </c>
      <c r="T83" t="s">
        <v>6083</v>
      </c>
      <c r="U83" t="s">
        <v>6084</v>
      </c>
    </row>
    <row r="84" spans="10:21">
      <c r="J84" t="s">
        <v>6085</v>
      </c>
      <c r="T84" t="s">
        <v>6086</v>
      </c>
      <c r="U84" t="s">
        <v>6087</v>
      </c>
    </row>
    <row r="85" spans="10:21">
      <c r="J85" t="s">
        <v>6088</v>
      </c>
      <c r="T85" t="s">
        <v>6089</v>
      </c>
      <c r="U85" t="s">
        <v>6090</v>
      </c>
    </row>
    <row r="86" spans="10:21">
      <c r="J86" t="s">
        <v>6091</v>
      </c>
      <c r="T86" t="s">
        <v>6092</v>
      </c>
      <c r="U86">
        <v>7.22667</v>
      </c>
    </row>
    <row r="87" spans="10:21">
      <c r="J87">
        <v>31.77</v>
      </c>
      <c r="T87" t="s">
        <v>97</v>
      </c>
      <c r="U87" t="s">
        <v>245</v>
      </c>
    </row>
    <row r="88" spans="10:10">
      <c r="J88" t="s">
        <v>245</v>
      </c>
    </row>
    <row r="89" spans="21:21">
      <c r="U89" t="s">
        <v>104</v>
      </c>
    </row>
    <row r="90" spans="10:21">
      <c r="J90" t="s">
        <v>104</v>
      </c>
      <c r="U90" t="s">
        <v>42</v>
      </c>
    </row>
    <row r="91" spans="10:21">
      <c r="J91" t="s">
        <v>1805</v>
      </c>
      <c r="U91" t="s">
        <v>43</v>
      </c>
    </row>
    <row r="92" spans="10:21">
      <c r="J92" t="s">
        <v>42</v>
      </c>
      <c r="U92" t="s">
        <v>44</v>
      </c>
    </row>
    <row r="93" spans="10:21">
      <c r="J93" t="s">
        <v>43</v>
      </c>
      <c r="U93" t="s">
        <v>6093</v>
      </c>
    </row>
    <row r="94" spans="10:21">
      <c r="J94" t="s">
        <v>44</v>
      </c>
      <c r="U94" t="s">
        <v>6094</v>
      </c>
    </row>
    <row r="95" spans="10:34">
      <c r="J95" t="s">
        <v>6095</v>
      </c>
      <c r="U95" t="s">
        <v>6096</v>
      </c>
      <c r="Z95" s="12"/>
      <c r="AA95" s="12"/>
      <c r="AB95" s="12"/>
      <c r="AC95" s="12"/>
      <c r="AD95" s="12"/>
      <c r="AE95" s="12"/>
      <c r="AF95" s="12"/>
      <c r="AG95" s="12"/>
      <c r="AH95" s="12"/>
    </row>
    <row r="96" spans="10:33">
      <c r="J96" t="s">
        <v>6097</v>
      </c>
      <c r="U96">
        <v>2.22222222222222e+16</v>
      </c>
      <c r="AG96" s="14"/>
    </row>
    <row r="97" spans="10:33">
      <c r="J97" t="s">
        <v>6098</v>
      </c>
      <c r="U97" t="s">
        <v>6099</v>
      </c>
      <c r="AG97" s="14"/>
    </row>
    <row r="98" spans="10:34">
      <c r="J98" t="s">
        <v>6100</v>
      </c>
      <c r="U98" t="s">
        <v>6101</v>
      </c>
      <c r="Z98" s="13"/>
      <c r="AA98" s="13"/>
      <c r="AB98" s="13"/>
      <c r="AC98" s="13"/>
      <c r="AD98" s="13"/>
      <c r="AE98" s="13"/>
      <c r="AF98" s="13"/>
      <c r="AG98" s="13"/>
      <c r="AH98" s="13"/>
    </row>
    <row r="99" spans="10:21">
      <c r="J99" t="s">
        <v>6102</v>
      </c>
      <c r="U99" t="s">
        <v>6103</v>
      </c>
    </row>
    <row r="100" spans="10:21">
      <c r="J100" t="s">
        <v>6104</v>
      </c>
      <c r="U100" t="s">
        <v>6105</v>
      </c>
    </row>
    <row r="101" spans="10:34">
      <c r="J101" t="s">
        <v>6106</v>
      </c>
      <c r="U101" t="s">
        <v>6107</v>
      </c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 spans="10:21">
      <c r="J102" t="s">
        <v>6108</v>
      </c>
      <c r="U102" t="s">
        <v>6109</v>
      </c>
    </row>
    <row r="103" spans="10:21">
      <c r="J103" t="s">
        <v>6110</v>
      </c>
      <c r="U103" t="s">
        <v>6111</v>
      </c>
    </row>
    <row r="104" spans="10:21">
      <c r="J104" t="s">
        <v>6112</v>
      </c>
      <c r="U104" t="s">
        <v>6113</v>
      </c>
    </row>
    <row r="105" spans="10:21">
      <c r="J105" t="s">
        <v>6114</v>
      </c>
      <c r="U105" t="s">
        <v>6115</v>
      </c>
    </row>
    <row r="106" spans="10:21">
      <c r="J106" t="s">
        <v>6116</v>
      </c>
      <c r="U106" t="s">
        <v>6117</v>
      </c>
    </row>
    <row r="107" spans="10:21">
      <c r="J107" t="s">
        <v>6118</v>
      </c>
      <c r="U107" t="s">
        <v>6119</v>
      </c>
    </row>
    <row r="108" spans="10:21">
      <c r="J108" t="s">
        <v>6120</v>
      </c>
      <c r="U108">
        <v>6.91</v>
      </c>
    </row>
    <row r="109" spans="10:21">
      <c r="J109">
        <v>12.83</v>
      </c>
      <c r="U109" t="s">
        <v>97</v>
      </c>
    </row>
    <row r="110" spans="10:10">
      <c r="J110" t="s">
        <v>374</v>
      </c>
    </row>
    <row r="112" spans="10:10">
      <c r="J112" t="s">
        <v>104</v>
      </c>
    </row>
    <row r="113" spans="10:10">
      <c r="J113" t="s">
        <v>1805</v>
      </c>
    </row>
    <row r="114" spans="10:10">
      <c r="J114" t="s">
        <v>42</v>
      </c>
    </row>
    <row r="115" spans="10:10">
      <c r="J115" t="s">
        <v>43</v>
      </c>
    </row>
    <row r="116" spans="10:10">
      <c r="J116" t="s">
        <v>44</v>
      </c>
    </row>
    <row r="117" spans="10:10">
      <c r="J117" t="s">
        <v>6121</v>
      </c>
    </row>
    <row r="118" spans="10:10">
      <c r="J118" t="s">
        <v>6122</v>
      </c>
    </row>
    <row r="119" spans="10:10">
      <c r="J119" t="s">
        <v>6123</v>
      </c>
    </row>
    <row r="120" spans="10:10">
      <c r="J120" t="s">
        <v>6124</v>
      </c>
    </row>
    <row r="121" spans="10:10">
      <c r="J121" t="s">
        <v>6125</v>
      </c>
    </row>
    <row r="122" spans="10:22">
      <c r="J122" t="s">
        <v>6126</v>
      </c>
      <c r="V122" s="12"/>
    </row>
    <row r="123" spans="10:10">
      <c r="J123" t="s">
        <v>6127</v>
      </c>
    </row>
    <row r="124" spans="10:10">
      <c r="J124" t="s">
        <v>6128</v>
      </c>
    </row>
    <row r="125" spans="10:22">
      <c r="J125" t="s">
        <v>6129</v>
      </c>
      <c r="V125" s="13"/>
    </row>
    <row r="126" spans="10:10">
      <c r="J126" t="s">
        <v>6130</v>
      </c>
    </row>
    <row r="127" spans="10:10">
      <c r="J127" t="s">
        <v>6131</v>
      </c>
    </row>
    <row r="128" spans="10:22">
      <c r="J128" t="s">
        <v>6132</v>
      </c>
      <c r="V128" s="13"/>
    </row>
    <row r="129" spans="10:10">
      <c r="J129" t="s">
        <v>6133</v>
      </c>
    </row>
    <row r="130" spans="10:10">
      <c r="J130" t="s">
        <v>6134</v>
      </c>
    </row>
    <row r="131" spans="10:10">
      <c r="J131">
        <v>11.8233</v>
      </c>
    </row>
    <row r="132" spans="10:10">
      <c r="J132" t="s">
        <v>97</v>
      </c>
    </row>
    <row r="134" spans="10:10">
      <c r="J134" t="s">
        <v>6135</v>
      </c>
    </row>
    <row r="135" spans="10:10">
      <c r="J135" t="s">
        <v>1805</v>
      </c>
    </row>
    <row r="136" spans="10:10">
      <c r="J136" t="s">
        <v>42</v>
      </c>
    </row>
    <row r="137" spans="10:10">
      <c r="J137" t="s">
        <v>43</v>
      </c>
    </row>
    <row r="138" spans="10:10">
      <c r="J138" t="s">
        <v>44</v>
      </c>
    </row>
    <row r="139" spans="10:10">
      <c r="J139" t="s">
        <v>6136</v>
      </c>
    </row>
    <row r="140" spans="10:10">
      <c r="J140" t="s">
        <v>6137</v>
      </c>
    </row>
    <row r="141" spans="10:10">
      <c r="J141" t="s">
        <v>6138</v>
      </c>
    </row>
    <row r="142" spans="10:10">
      <c r="J142" t="s">
        <v>6139</v>
      </c>
    </row>
    <row r="143" spans="10:10">
      <c r="J143" t="s">
        <v>6140</v>
      </c>
    </row>
    <row r="144" spans="10:10">
      <c r="J144" t="s">
        <v>6141</v>
      </c>
    </row>
    <row r="145" spans="10:10">
      <c r="J145" t="s">
        <v>6142</v>
      </c>
    </row>
    <row r="146" spans="10:10">
      <c r="J146" t="s">
        <v>6143</v>
      </c>
    </row>
    <row r="147" spans="10:10">
      <c r="J147" t="s">
        <v>6144</v>
      </c>
    </row>
    <row r="148" spans="10:10">
      <c r="J148" t="s">
        <v>6145</v>
      </c>
    </row>
    <row r="149" spans="10:10">
      <c r="J149" t="s">
        <v>6146</v>
      </c>
    </row>
    <row r="150" spans="10:10">
      <c r="J150" t="s">
        <v>6147</v>
      </c>
    </row>
    <row r="151" spans="10:10">
      <c r="J151" t="s">
        <v>6148</v>
      </c>
    </row>
    <row r="152" spans="10:10">
      <c r="J152" t="s">
        <v>6149</v>
      </c>
    </row>
    <row r="153" spans="10:10">
      <c r="J153">
        <v>10.1267</v>
      </c>
    </row>
    <row r="154" spans="10:10">
      <c r="J154" t="s">
        <v>374</v>
      </c>
    </row>
    <row r="157" s="7" customFormat="1" spans="1:1">
      <c r="A157" s="7" t="s">
        <v>87</v>
      </c>
    </row>
    <row r="158" spans="1:24">
      <c r="A158" t="s">
        <v>41</v>
      </c>
      <c r="B158" t="s">
        <v>41</v>
      </c>
      <c r="C158" t="s">
        <v>41</v>
      </c>
      <c r="D158" t="s">
        <v>41</v>
      </c>
      <c r="U158" t="s">
        <v>41</v>
      </c>
      <c r="V158" t="s">
        <v>41</v>
      </c>
      <c r="W158" t="s">
        <v>41</v>
      </c>
      <c r="X158" t="s">
        <v>41</v>
      </c>
    </row>
    <row r="159" spans="1:24">
      <c r="A159" t="s">
        <v>42</v>
      </c>
      <c r="B159" t="s">
        <v>42</v>
      </c>
      <c r="C159" t="s">
        <v>42</v>
      </c>
      <c r="D159" t="s">
        <v>42</v>
      </c>
      <c r="J159" t="s">
        <v>41</v>
      </c>
      <c r="K159" t="s">
        <v>41</v>
      </c>
      <c r="U159" t="s">
        <v>42</v>
      </c>
      <c r="V159" t="s">
        <v>42</v>
      </c>
      <c r="W159" t="s">
        <v>42</v>
      </c>
      <c r="X159" t="s">
        <v>42</v>
      </c>
    </row>
    <row r="160" spans="1:24">
      <c r="A160" t="s">
        <v>43</v>
      </c>
      <c r="B160" t="s">
        <v>43</v>
      </c>
      <c r="C160" t="s">
        <v>43</v>
      </c>
      <c r="D160" t="s">
        <v>43</v>
      </c>
      <c r="J160" t="s">
        <v>6150</v>
      </c>
      <c r="K160" t="s">
        <v>6150</v>
      </c>
      <c r="U160" t="s">
        <v>43</v>
      </c>
      <c r="V160" t="s">
        <v>43</v>
      </c>
      <c r="W160" t="s">
        <v>43</v>
      </c>
      <c r="X160" t="s">
        <v>43</v>
      </c>
    </row>
    <row r="161" spans="1:24">
      <c r="A161" t="s">
        <v>44</v>
      </c>
      <c r="B161" t="s">
        <v>44</v>
      </c>
      <c r="C161" t="s">
        <v>44</v>
      </c>
      <c r="D161" t="s">
        <v>44</v>
      </c>
      <c r="J161" t="s">
        <v>42</v>
      </c>
      <c r="K161" t="s">
        <v>42</v>
      </c>
      <c r="U161" t="s">
        <v>44</v>
      </c>
      <c r="V161" t="s">
        <v>44</v>
      </c>
      <c r="W161" t="s">
        <v>44</v>
      </c>
      <c r="X161" t="s">
        <v>44</v>
      </c>
    </row>
    <row r="162" spans="1:24">
      <c r="A162" t="s">
        <v>45</v>
      </c>
      <c r="B162" t="s">
        <v>45</v>
      </c>
      <c r="C162" t="s">
        <v>45</v>
      </c>
      <c r="D162" t="s">
        <v>45</v>
      </c>
      <c r="J162" t="s">
        <v>43</v>
      </c>
      <c r="K162" t="s">
        <v>43</v>
      </c>
      <c r="U162" t="s">
        <v>6151</v>
      </c>
      <c r="V162" t="s">
        <v>6152</v>
      </c>
      <c r="W162" t="s">
        <v>6153</v>
      </c>
      <c r="X162" t="s">
        <v>6154</v>
      </c>
    </row>
    <row r="163" spans="1:24">
      <c r="A163" t="s">
        <v>6155</v>
      </c>
      <c r="B163" t="s">
        <v>6156</v>
      </c>
      <c r="C163" t="s">
        <v>6157</v>
      </c>
      <c r="D163" t="s">
        <v>6158</v>
      </c>
      <c r="J163" t="s">
        <v>44</v>
      </c>
      <c r="K163" t="s">
        <v>44</v>
      </c>
      <c r="U163" t="s">
        <v>6159</v>
      </c>
      <c r="V163" t="s">
        <v>6160</v>
      </c>
      <c r="W163" t="s">
        <v>6161</v>
      </c>
      <c r="X163" t="s">
        <v>6162</v>
      </c>
    </row>
    <row r="164" spans="1:24">
      <c r="A164" t="s">
        <v>6163</v>
      </c>
      <c r="B164" t="s">
        <v>6164</v>
      </c>
      <c r="C164" t="s">
        <v>6165</v>
      </c>
      <c r="D164" t="s">
        <v>6166</v>
      </c>
      <c r="J164" t="s">
        <v>6167</v>
      </c>
      <c r="K164" t="s">
        <v>6168</v>
      </c>
      <c r="U164" t="s">
        <v>6169</v>
      </c>
      <c r="V164" t="s">
        <v>6170</v>
      </c>
      <c r="W164" t="s">
        <v>6171</v>
      </c>
      <c r="X164" t="s">
        <v>6172</v>
      </c>
    </row>
    <row r="165" spans="1:24">
      <c r="A165" t="s">
        <v>6173</v>
      </c>
      <c r="B165" t="s">
        <v>6174</v>
      </c>
      <c r="C165" t="s">
        <v>6175</v>
      </c>
      <c r="D165" t="s">
        <v>6176</v>
      </c>
      <c r="J165" t="s">
        <v>6177</v>
      </c>
      <c r="K165" t="s">
        <v>6178</v>
      </c>
      <c r="U165">
        <v>2.22222222222222e+16</v>
      </c>
      <c r="V165">
        <v>2.22222222222222e+16</v>
      </c>
      <c r="W165">
        <v>2.22222222222222e+16</v>
      </c>
      <c r="X165">
        <v>2.22222222222222e+16</v>
      </c>
    </row>
    <row r="166" spans="1:24">
      <c r="A166" t="s">
        <v>6179</v>
      </c>
      <c r="B166" t="s">
        <v>6180</v>
      </c>
      <c r="C166" t="s">
        <v>6181</v>
      </c>
      <c r="D166" t="s">
        <v>6182</v>
      </c>
      <c r="J166" t="s">
        <v>6183</v>
      </c>
      <c r="K166" t="s">
        <v>6184</v>
      </c>
      <c r="U166" t="s">
        <v>6185</v>
      </c>
      <c r="V166" t="s">
        <v>6186</v>
      </c>
      <c r="W166" t="s">
        <v>6187</v>
      </c>
      <c r="X166" t="s">
        <v>6188</v>
      </c>
    </row>
    <row r="167" spans="1:24">
      <c r="A167" t="s">
        <v>6189</v>
      </c>
      <c r="B167" t="s">
        <v>6190</v>
      </c>
      <c r="C167" t="s">
        <v>6191</v>
      </c>
      <c r="D167" t="s">
        <v>6192</v>
      </c>
      <c r="J167" t="s">
        <v>6193</v>
      </c>
      <c r="K167" t="s">
        <v>6194</v>
      </c>
      <c r="U167" t="s">
        <v>6195</v>
      </c>
      <c r="V167" t="s">
        <v>6196</v>
      </c>
      <c r="W167" t="s">
        <v>6197</v>
      </c>
      <c r="X167" t="s">
        <v>6198</v>
      </c>
    </row>
    <row r="168" spans="1:24">
      <c r="A168" t="s">
        <v>6199</v>
      </c>
      <c r="B168" t="s">
        <v>6200</v>
      </c>
      <c r="C168" t="s">
        <v>6201</v>
      </c>
      <c r="D168" t="s">
        <v>6202</v>
      </c>
      <c r="J168" t="s">
        <v>6203</v>
      </c>
      <c r="K168" t="s">
        <v>6204</v>
      </c>
      <c r="U168" t="s">
        <v>6205</v>
      </c>
      <c r="V168" t="s">
        <v>6206</v>
      </c>
      <c r="W168" t="s">
        <v>6207</v>
      </c>
      <c r="X168" t="s">
        <v>6208</v>
      </c>
    </row>
    <row r="169" spans="1:24">
      <c r="A169" t="s">
        <v>6209</v>
      </c>
      <c r="B169" t="s">
        <v>6210</v>
      </c>
      <c r="C169" t="s">
        <v>6211</v>
      </c>
      <c r="D169" t="s">
        <v>6212</v>
      </c>
      <c r="J169" t="s">
        <v>6213</v>
      </c>
      <c r="K169" t="s">
        <v>6214</v>
      </c>
      <c r="U169" t="s">
        <v>6215</v>
      </c>
      <c r="V169" t="s">
        <v>6216</v>
      </c>
      <c r="W169" t="s">
        <v>6217</v>
      </c>
      <c r="X169" t="s">
        <v>6218</v>
      </c>
    </row>
    <row r="170" spans="1:24">
      <c r="A170" t="s">
        <v>6219</v>
      </c>
      <c r="B170" t="s">
        <v>6220</v>
      </c>
      <c r="C170" t="s">
        <v>6221</v>
      </c>
      <c r="D170" t="s">
        <v>6222</v>
      </c>
      <c r="J170" t="s">
        <v>6223</v>
      </c>
      <c r="K170" t="s">
        <v>6224</v>
      </c>
      <c r="U170" t="s">
        <v>6225</v>
      </c>
      <c r="V170" t="s">
        <v>6226</v>
      </c>
      <c r="W170" t="s">
        <v>6227</v>
      </c>
      <c r="X170" t="s">
        <v>6228</v>
      </c>
    </row>
    <row r="171" spans="1:24">
      <c r="A171" t="s">
        <v>6229</v>
      </c>
      <c r="B171" t="s">
        <v>6230</v>
      </c>
      <c r="C171" t="s">
        <v>6231</v>
      </c>
      <c r="D171" t="s">
        <v>6232</v>
      </c>
      <c r="J171" t="s">
        <v>6233</v>
      </c>
      <c r="K171" t="s">
        <v>6234</v>
      </c>
      <c r="U171" t="s">
        <v>6235</v>
      </c>
      <c r="V171" t="s">
        <v>6236</v>
      </c>
      <c r="W171" t="s">
        <v>6237</v>
      </c>
      <c r="X171" t="s">
        <v>6238</v>
      </c>
    </row>
    <row r="172" spans="1:24">
      <c r="A172" t="s">
        <v>6239</v>
      </c>
      <c r="B172" t="s">
        <v>6240</v>
      </c>
      <c r="C172" t="s">
        <v>6241</v>
      </c>
      <c r="D172" t="s">
        <v>6242</v>
      </c>
      <c r="J172" t="s">
        <v>6243</v>
      </c>
      <c r="K172" t="s">
        <v>6244</v>
      </c>
      <c r="U172" t="s">
        <v>6245</v>
      </c>
      <c r="V172" t="s">
        <v>6246</v>
      </c>
      <c r="W172" t="s">
        <v>6247</v>
      </c>
      <c r="X172" t="s">
        <v>6248</v>
      </c>
    </row>
    <row r="173" spans="1:24">
      <c r="A173" t="s">
        <v>6249</v>
      </c>
      <c r="B173" t="s">
        <v>6249</v>
      </c>
      <c r="C173" t="s">
        <v>6249</v>
      </c>
      <c r="D173" t="s">
        <v>6249</v>
      </c>
      <c r="J173" t="s">
        <v>6250</v>
      </c>
      <c r="K173" t="s">
        <v>6251</v>
      </c>
      <c r="U173" t="s">
        <v>6249</v>
      </c>
      <c r="V173" t="s">
        <v>6249</v>
      </c>
      <c r="W173" t="s">
        <v>6249</v>
      </c>
      <c r="X173" t="s">
        <v>6249</v>
      </c>
    </row>
    <row r="174" spans="1:24">
      <c r="A174" t="s">
        <v>6252</v>
      </c>
      <c r="B174" t="s">
        <v>6253</v>
      </c>
      <c r="C174" t="s">
        <v>6254</v>
      </c>
      <c r="D174" t="s">
        <v>6255</v>
      </c>
      <c r="J174" t="s">
        <v>6249</v>
      </c>
      <c r="K174" t="s">
        <v>6249</v>
      </c>
      <c r="U174" t="s">
        <v>6256</v>
      </c>
      <c r="V174" t="s">
        <v>6257</v>
      </c>
      <c r="W174" t="s">
        <v>6258</v>
      </c>
      <c r="X174" t="s">
        <v>6259</v>
      </c>
    </row>
    <row r="175" spans="1:24">
      <c r="A175" t="s">
        <v>97</v>
      </c>
      <c r="B175" t="s">
        <v>97</v>
      </c>
      <c r="C175" t="s">
        <v>97</v>
      </c>
      <c r="D175" t="s">
        <v>97</v>
      </c>
      <c r="J175" t="s">
        <v>6260</v>
      </c>
      <c r="K175" t="s">
        <v>6261</v>
      </c>
      <c r="U175" t="s">
        <v>97</v>
      </c>
      <c r="V175" t="s">
        <v>97</v>
      </c>
      <c r="W175" t="s">
        <v>97</v>
      </c>
      <c r="X175" t="s">
        <v>97</v>
      </c>
    </row>
    <row r="176" spans="1:24">
      <c r="A176" t="s">
        <v>41</v>
      </c>
      <c r="B176" t="s">
        <v>41</v>
      </c>
      <c r="C176" t="s">
        <v>41</v>
      </c>
      <c r="D176" t="s">
        <v>41</v>
      </c>
      <c r="J176" t="s">
        <v>97</v>
      </c>
      <c r="K176" t="s">
        <v>97</v>
      </c>
      <c r="U176" t="s">
        <v>41</v>
      </c>
      <c r="V176" t="s">
        <v>41</v>
      </c>
      <c r="W176" t="s">
        <v>41</v>
      </c>
      <c r="X176" t="s">
        <v>41</v>
      </c>
    </row>
    <row r="177" spans="1:24">
      <c r="A177" t="s">
        <v>42</v>
      </c>
      <c r="B177" t="s">
        <v>42</v>
      </c>
      <c r="C177" t="s">
        <v>42</v>
      </c>
      <c r="D177" t="s">
        <v>42</v>
      </c>
      <c r="U177" t="s">
        <v>42</v>
      </c>
      <c r="V177" t="s">
        <v>42</v>
      </c>
      <c r="W177" t="s">
        <v>42</v>
      </c>
      <c r="X177" t="s">
        <v>42</v>
      </c>
    </row>
    <row r="178" spans="1:24">
      <c r="A178" t="s">
        <v>43</v>
      </c>
      <c r="B178" t="s">
        <v>43</v>
      </c>
      <c r="C178" t="s">
        <v>43</v>
      </c>
      <c r="D178" t="s">
        <v>43</v>
      </c>
      <c r="U178" t="s">
        <v>43</v>
      </c>
      <c r="V178" t="s">
        <v>43</v>
      </c>
      <c r="W178" t="s">
        <v>43</v>
      </c>
      <c r="X178" t="s">
        <v>43</v>
      </c>
    </row>
    <row r="179" spans="1:24">
      <c r="A179" t="s">
        <v>44</v>
      </c>
      <c r="B179" t="s">
        <v>44</v>
      </c>
      <c r="C179" t="s">
        <v>44</v>
      </c>
      <c r="D179" t="s">
        <v>44</v>
      </c>
      <c r="U179" t="s">
        <v>44</v>
      </c>
      <c r="V179" t="s">
        <v>44</v>
      </c>
      <c r="W179" t="s">
        <v>44</v>
      </c>
      <c r="X179" t="s">
        <v>44</v>
      </c>
    </row>
    <row r="180" spans="1:24">
      <c r="A180" t="s">
        <v>45</v>
      </c>
      <c r="B180" t="s">
        <v>45</v>
      </c>
      <c r="C180" t="s">
        <v>45</v>
      </c>
      <c r="D180" t="s">
        <v>45</v>
      </c>
      <c r="U180" t="s">
        <v>6262</v>
      </c>
      <c r="V180" t="s">
        <v>6263</v>
      </c>
      <c r="W180" t="s">
        <v>6264</v>
      </c>
      <c r="X180" t="s">
        <v>6265</v>
      </c>
    </row>
    <row r="181" spans="1:24">
      <c r="A181" t="s">
        <v>6266</v>
      </c>
      <c r="B181" t="s">
        <v>6267</v>
      </c>
      <c r="C181" t="s">
        <v>6268</v>
      </c>
      <c r="D181" t="s">
        <v>6269</v>
      </c>
      <c r="U181" t="s">
        <v>6270</v>
      </c>
      <c r="V181" t="s">
        <v>6271</v>
      </c>
      <c r="W181" t="s">
        <v>6272</v>
      </c>
      <c r="X181" t="s">
        <v>6273</v>
      </c>
    </row>
    <row r="182" spans="1:24">
      <c r="A182" t="s">
        <v>6274</v>
      </c>
      <c r="B182" t="s">
        <v>6275</v>
      </c>
      <c r="C182" t="s">
        <v>6276</v>
      </c>
      <c r="D182" t="s">
        <v>6277</v>
      </c>
      <c r="U182" t="s">
        <v>6278</v>
      </c>
      <c r="V182" t="s">
        <v>6279</v>
      </c>
      <c r="W182" t="s">
        <v>6280</v>
      </c>
      <c r="X182" t="s">
        <v>6281</v>
      </c>
    </row>
    <row r="183" spans="1:24">
      <c r="A183" t="s">
        <v>6282</v>
      </c>
      <c r="B183" t="s">
        <v>6283</v>
      </c>
      <c r="C183" t="s">
        <v>6284</v>
      </c>
      <c r="D183" t="s">
        <v>6285</v>
      </c>
      <c r="U183">
        <v>2.22222222222222e+16</v>
      </c>
      <c r="V183">
        <v>2.22222222222222e+16</v>
      </c>
      <c r="W183">
        <v>2.22222222222222e+16</v>
      </c>
      <c r="X183">
        <v>2.22222222222222e+16</v>
      </c>
    </row>
    <row r="184" spans="1:24">
      <c r="A184" t="s">
        <v>6286</v>
      </c>
      <c r="B184" t="s">
        <v>6287</v>
      </c>
      <c r="C184" t="s">
        <v>6288</v>
      </c>
      <c r="D184" t="s">
        <v>6289</v>
      </c>
      <c r="U184" t="s">
        <v>6290</v>
      </c>
      <c r="V184" t="s">
        <v>6291</v>
      </c>
      <c r="W184" t="s">
        <v>6292</v>
      </c>
      <c r="X184" t="s">
        <v>6293</v>
      </c>
    </row>
    <row r="185" spans="1:24">
      <c r="A185" t="s">
        <v>6294</v>
      </c>
      <c r="B185" t="s">
        <v>6295</v>
      </c>
      <c r="C185" t="s">
        <v>6296</v>
      </c>
      <c r="D185" t="s">
        <v>6297</v>
      </c>
      <c r="U185" t="s">
        <v>6298</v>
      </c>
      <c r="V185" t="s">
        <v>6299</v>
      </c>
      <c r="W185" t="s">
        <v>6300</v>
      </c>
      <c r="X185" t="s">
        <v>6301</v>
      </c>
    </row>
    <row r="186" spans="1:24">
      <c r="A186" t="s">
        <v>6302</v>
      </c>
      <c r="B186" t="s">
        <v>6303</v>
      </c>
      <c r="C186" t="s">
        <v>6304</v>
      </c>
      <c r="D186" t="s">
        <v>6305</v>
      </c>
      <c r="U186" t="s">
        <v>6306</v>
      </c>
      <c r="V186" t="s">
        <v>6307</v>
      </c>
      <c r="W186" t="s">
        <v>6308</v>
      </c>
      <c r="X186" t="s">
        <v>6309</v>
      </c>
    </row>
    <row r="187" spans="1:24">
      <c r="A187" t="s">
        <v>6310</v>
      </c>
      <c r="B187" t="s">
        <v>6311</v>
      </c>
      <c r="C187" t="s">
        <v>6312</v>
      </c>
      <c r="D187" t="s">
        <v>6313</v>
      </c>
      <c r="U187" t="s">
        <v>6314</v>
      </c>
      <c r="V187" t="s">
        <v>6315</v>
      </c>
      <c r="W187" t="s">
        <v>6316</v>
      </c>
      <c r="X187" t="s">
        <v>6317</v>
      </c>
    </row>
    <row r="188" spans="1:24">
      <c r="A188" t="s">
        <v>6318</v>
      </c>
      <c r="B188" t="s">
        <v>6319</v>
      </c>
      <c r="C188" t="s">
        <v>6320</v>
      </c>
      <c r="D188" t="s">
        <v>6321</v>
      </c>
      <c r="U188" t="s">
        <v>6322</v>
      </c>
      <c r="V188" t="s">
        <v>6323</v>
      </c>
      <c r="W188" t="s">
        <v>6324</v>
      </c>
      <c r="X188" t="s">
        <v>6325</v>
      </c>
    </row>
    <row r="189" spans="1:24">
      <c r="A189" t="s">
        <v>6326</v>
      </c>
      <c r="B189" t="s">
        <v>6327</v>
      </c>
      <c r="C189" t="s">
        <v>6328</v>
      </c>
      <c r="D189" t="s">
        <v>6329</v>
      </c>
      <c r="U189" t="s">
        <v>6330</v>
      </c>
      <c r="V189" t="s">
        <v>6331</v>
      </c>
      <c r="W189" t="s">
        <v>6332</v>
      </c>
      <c r="X189" t="s">
        <v>6333</v>
      </c>
    </row>
    <row r="190" spans="1:24">
      <c r="A190" t="s">
        <v>6334</v>
      </c>
      <c r="B190" t="s">
        <v>6335</v>
      </c>
      <c r="C190" t="s">
        <v>6336</v>
      </c>
      <c r="D190" t="s">
        <v>6337</v>
      </c>
      <c r="U190" t="s">
        <v>6338</v>
      </c>
      <c r="V190" t="s">
        <v>6339</v>
      </c>
      <c r="W190" t="s">
        <v>6340</v>
      </c>
      <c r="X190" t="s">
        <v>6341</v>
      </c>
    </row>
    <row r="191" spans="1:24">
      <c r="A191" t="s">
        <v>6249</v>
      </c>
      <c r="B191" t="s">
        <v>6249</v>
      </c>
      <c r="C191" t="s">
        <v>6249</v>
      </c>
      <c r="D191" t="s">
        <v>6249</v>
      </c>
      <c r="U191" t="s">
        <v>6249</v>
      </c>
      <c r="V191" t="s">
        <v>6249</v>
      </c>
      <c r="W191" t="s">
        <v>6249</v>
      </c>
      <c r="X191" t="s">
        <v>6249</v>
      </c>
    </row>
    <row r="192" spans="1:24">
      <c r="A192" t="s">
        <v>6342</v>
      </c>
      <c r="B192" t="s">
        <v>6343</v>
      </c>
      <c r="C192" t="s">
        <v>6344</v>
      </c>
      <c r="D192" t="s">
        <v>6345</v>
      </c>
      <c r="U192" t="s">
        <v>6346</v>
      </c>
      <c r="V192" t="s">
        <v>6347</v>
      </c>
      <c r="W192" t="s">
        <v>6348</v>
      </c>
      <c r="X192" t="s">
        <v>6349</v>
      </c>
    </row>
    <row r="193" spans="1:24">
      <c r="A193" t="s">
        <v>97</v>
      </c>
      <c r="B193" t="s">
        <v>97</v>
      </c>
      <c r="C193" t="s">
        <v>97</v>
      </c>
      <c r="D193" t="s">
        <v>97</v>
      </c>
      <c r="U193" t="s">
        <v>97</v>
      </c>
      <c r="V193" t="s">
        <v>97</v>
      </c>
      <c r="W193" t="s">
        <v>97</v>
      </c>
      <c r="X193" t="s">
        <v>97</v>
      </c>
    </row>
    <row r="194" spans="1:4">
      <c r="A194" t="s">
        <v>41</v>
      </c>
      <c r="B194" t="s">
        <v>41</v>
      </c>
      <c r="C194" t="s">
        <v>41</v>
      </c>
      <c r="D194" t="s">
        <v>41</v>
      </c>
    </row>
    <row r="195" spans="1:4">
      <c r="A195" t="s">
        <v>42</v>
      </c>
      <c r="B195" t="s">
        <v>42</v>
      </c>
      <c r="C195" t="s">
        <v>42</v>
      </c>
      <c r="D195" t="s">
        <v>42</v>
      </c>
    </row>
    <row r="196" spans="1:28">
      <c r="A196" t="s">
        <v>43</v>
      </c>
      <c r="B196" t="s">
        <v>43</v>
      </c>
      <c r="C196" t="s">
        <v>43</v>
      </c>
      <c r="D196" t="s">
        <v>43</v>
      </c>
      <c r="U196" t="s">
        <v>6169</v>
      </c>
      <c r="V196" t="s">
        <v>6170</v>
      </c>
      <c r="W196" t="s">
        <v>6171</v>
      </c>
      <c r="X196" t="s">
        <v>6172</v>
      </c>
      <c r="Y196" t="s">
        <v>6278</v>
      </c>
      <c r="Z196" t="s">
        <v>6279</v>
      </c>
      <c r="AA196" t="s">
        <v>6280</v>
      </c>
      <c r="AB196" t="s">
        <v>6281</v>
      </c>
    </row>
    <row r="197" spans="1:28">
      <c r="A197" t="s">
        <v>44</v>
      </c>
      <c r="B197" t="s">
        <v>44</v>
      </c>
      <c r="C197" t="s">
        <v>44</v>
      </c>
      <c r="D197" t="s">
        <v>44</v>
      </c>
      <c r="U197" t="s">
        <v>6256</v>
      </c>
      <c r="V197" t="s">
        <v>6257</v>
      </c>
      <c r="W197" t="s">
        <v>6258</v>
      </c>
      <c r="X197" t="s">
        <v>6259</v>
      </c>
      <c r="Y197" t="s">
        <v>6346</v>
      </c>
      <c r="Z197" t="s">
        <v>6347</v>
      </c>
      <c r="AA197" t="s">
        <v>6348</v>
      </c>
      <c r="AB197" t="s">
        <v>6349</v>
      </c>
    </row>
    <row r="198" spans="1:4">
      <c r="A198" t="s">
        <v>45</v>
      </c>
      <c r="B198" t="s">
        <v>45</v>
      </c>
      <c r="C198" t="s">
        <v>45</v>
      </c>
      <c r="D198" t="s">
        <v>45</v>
      </c>
    </row>
    <row r="199" spans="1:4">
      <c r="A199" t="s">
        <v>6350</v>
      </c>
      <c r="B199" t="s">
        <v>6351</v>
      </c>
      <c r="C199" t="s">
        <v>6352</v>
      </c>
      <c r="D199" t="s">
        <v>6353</v>
      </c>
    </row>
    <row r="200" spans="1:23">
      <c r="A200" t="s">
        <v>6354</v>
      </c>
      <c r="B200" t="s">
        <v>6355</v>
      </c>
      <c r="C200" t="s">
        <v>6356</v>
      </c>
      <c r="D200" t="s">
        <v>6357</v>
      </c>
      <c r="U200" t="s">
        <v>41</v>
      </c>
      <c r="V200" t="s">
        <v>41</v>
      </c>
      <c r="W200" t="s">
        <v>41</v>
      </c>
    </row>
    <row r="201" spans="1:23">
      <c r="A201" t="s">
        <v>6358</v>
      </c>
      <c r="B201" t="s">
        <v>6359</v>
      </c>
      <c r="C201" t="s">
        <v>6360</v>
      </c>
      <c r="D201" t="s">
        <v>6361</v>
      </c>
      <c r="U201" t="s">
        <v>42</v>
      </c>
      <c r="V201" t="s">
        <v>42</v>
      </c>
      <c r="W201" t="s">
        <v>42</v>
      </c>
    </row>
    <row r="202" spans="1:23">
      <c r="A202" t="s">
        <v>6362</v>
      </c>
      <c r="B202" t="s">
        <v>6363</v>
      </c>
      <c r="C202" t="s">
        <v>6364</v>
      </c>
      <c r="D202" t="s">
        <v>6365</v>
      </c>
      <c r="U202" t="s">
        <v>43</v>
      </c>
      <c r="V202" t="s">
        <v>43</v>
      </c>
      <c r="W202" t="s">
        <v>43</v>
      </c>
    </row>
    <row r="203" spans="1:23">
      <c r="A203" t="s">
        <v>6366</v>
      </c>
      <c r="B203" t="s">
        <v>6367</v>
      </c>
      <c r="C203" t="s">
        <v>6368</v>
      </c>
      <c r="D203" t="s">
        <v>6369</v>
      </c>
      <c r="U203" t="s">
        <v>44</v>
      </c>
      <c r="V203" t="s">
        <v>44</v>
      </c>
      <c r="W203" t="s">
        <v>44</v>
      </c>
    </row>
    <row r="204" spans="1:23">
      <c r="A204" t="s">
        <v>6370</v>
      </c>
      <c r="B204" t="s">
        <v>6371</v>
      </c>
      <c r="C204" t="s">
        <v>6372</v>
      </c>
      <c r="D204" t="s">
        <v>6373</v>
      </c>
      <c r="U204" t="s">
        <v>6374</v>
      </c>
      <c r="V204" t="s">
        <v>6375</v>
      </c>
      <c r="W204" t="s">
        <v>6376</v>
      </c>
    </row>
    <row r="205" spans="1:23">
      <c r="A205" t="s">
        <v>6377</v>
      </c>
      <c r="B205" t="s">
        <v>6378</v>
      </c>
      <c r="C205" t="s">
        <v>6379</v>
      </c>
      <c r="D205" t="s">
        <v>6380</v>
      </c>
      <c r="U205" t="s">
        <v>6381</v>
      </c>
      <c r="V205" t="s">
        <v>6382</v>
      </c>
      <c r="W205" t="s">
        <v>6383</v>
      </c>
    </row>
    <row r="206" spans="1:23">
      <c r="A206" t="s">
        <v>6384</v>
      </c>
      <c r="B206" t="s">
        <v>6385</v>
      </c>
      <c r="C206" t="s">
        <v>6386</v>
      </c>
      <c r="D206" t="s">
        <v>6387</v>
      </c>
      <c r="U206" t="s">
        <v>6388</v>
      </c>
      <c r="V206" t="s">
        <v>6389</v>
      </c>
      <c r="W206" t="s">
        <v>6390</v>
      </c>
    </row>
    <row r="207" spans="1:23">
      <c r="A207" t="s">
        <v>6391</v>
      </c>
      <c r="B207" t="s">
        <v>6392</v>
      </c>
      <c r="C207" t="s">
        <v>6393</v>
      </c>
      <c r="D207" t="s">
        <v>6394</v>
      </c>
      <c r="U207">
        <v>2.22222222222222e+16</v>
      </c>
      <c r="V207">
        <v>2.22222222222222e+16</v>
      </c>
      <c r="W207">
        <v>2.22222222222222e+16</v>
      </c>
    </row>
    <row r="208" spans="1:23">
      <c r="A208" t="s">
        <v>6395</v>
      </c>
      <c r="B208" t="s">
        <v>6396</v>
      </c>
      <c r="C208" t="s">
        <v>6397</v>
      </c>
      <c r="D208" t="s">
        <v>6398</v>
      </c>
      <c r="U208" t="s">
        <v>6399</v>
      </c>
      <c r="V208" t="s">
        <v>6400</v>
      </c>
      <c r="W208" t="s">
        <v>6401</v>
      </c>
    </row>
    <row r="209" spans="1:23">
      <c r="A209" t="s">
        <v>6249</v>
      </c>
      <c r="B209" t="s">
        <v>6249</v>
      </c>
      <c r="C209" t="s">
        <v>6249</v>
      </c>
      <c r="D209" t="s">
        <v>6249</v>
      </c>
      <c r="U209" t="s">
        <v>6402</v>
      </c>
      <c r="V209" t="s">
        <v>6403</v>
      </c>
      <c r="W209" t="s">
        <v>6404</v>
      </c>
    </row>
    <row r="210" spans="1:23">
      <c r="A210" t="s">
        <v>6405</v>
      </c>
      <c r="B210" t="s">
        <v>6406</v>
      </c>
      <c r="C210" t="s">
        <v>6407</v>
      </c>
      <c r="D210" t="s">
        <v>6408</v>
      </c>
      <c r="U210" t="s">
        <v>6409</v>
      </c>
      <c r="V210" t="s">
        <v>6410</v>
      </c>
      <c r="W210" t="s">
        <v>6411</v>
      </c>
    </row>
    <row r="211" spans="1:23">
      <c r="A211" t="s">
        <v>97</v>
      </c>
      <c r="B211" t="s">
        <v>97</v>
      </c>
      <c r="C211" t="s">
        <v>375</v>
      </c>
      <c r="D211" t="s">
        <v>97</v>
      </c>
      <c r="U211" t="s">
        <v>6412</v>
      </c>
      <c r="V211" t="s">
        <v>6413</v>
      </c>
      <c r="W211" t="s">
        <v>6414</v>
      </c>
    </row>
    <row r="212" spans="1:23">
      <c r="A212" t="s">
        <v>41</v>
      </c>
      <c r="B212" t="s">
        <v>41</v>
      </c>
      <c r="C212" t="s">
        <v>41</v>
      </c>
      <c r="D212" t="s">
        <v>41</v>
      </c>
      <c r="U212" t="s">
        <v>6415</v>
      </c>
      <c r="V212" t="s">
        <v>6416</v>
      </c>
      <c r="W212" t="s">
        <v>6417</v>
      </c>
    </row>
    <row r="213" spans="1:23">
      <c r="A213" t="s">
        <v>42</v>
      </c>
      <c r="B213" t="s">
        <v>42</v>
      </c>
      <c r="C213" t="s">
        <v>42</v>
      </c>
      <c r="D213" t="s">
        <v>42</v>
      </c>
      <c r="U213" t="s">
        <v>6418</v>
      </c>
      <c r="V213" t="s">
        <v>6419</v>
      </c>
      <c r="W213" t="s">
        <v>6420</v>
      </c>
    </row>
    <row r="214" spans="1:23">
      <c r="A214" t="s">
        <v>43</v>
      </c>
      <c r="B214" t="s">
        <v>43</v>
      </c>
      <c r="C214" t="s">
        <v>43</v>
      </c>
      <c r="D214" t="s">
        <v>43</v>
      </c>
      <c r="U214" t="s">
        <v>6421</v>
      </c>
      <c r="V214" t="s">
        <v>6422</v>
      </c>
      <c r="W214" t="s">
        <v>6423</v>
      </c>
    </row>
    <row r="215" spans="1:23">
      <c r="A215" t="s">
        <v>44</v>
      </c>
      <c r="B215" t="s">
        <v>44</v>
      </c>
      <c r="C215" t="s">
        <v>44</v>
      </c>
      <c r="D215" t="s">
        <v>44</v>
      </c>
      <c r="U215" t="s">
        <v>6249</v>
      </c>
      <c r="V215" t="s">
        <v>6249</v>
      </c>
      <c r="W215" t="s">
        <v>6249</v>
      </c>
    </row>
    <row r="216" spans="1:23">
      <c r="A216" t="s">
        <v>45</v>
      </c>
      <c r="B216" t="s">
        <v>45</v>
      </c>
      <c r="C216" t="s">
        <v>45</v>
      </c>
      <c r="D216" t="s">
        <v>45</v>
      </c>
      <c r="U216" t="s">
        <v>6424</v>
      </c>
      <c r="V216" t="s">
        <v>6425</v>
      </c>
      <c r="W216" t="s">
        <v>6426</v>
      </c>
    </row>
    <row r="217" spans="1:23">
      <c r="A217" t="s">
        <v>6427</v>
      </c>
      <c r="B217" t="s">
        <v>6428</v>
      </c>
      <c r="C217" t="s">
        <v>6429</v>
      </c>
      <c r="D217" t="s">
        <v>6430</v>
      </c>
      <c r="U217" t="s">
        <v>97</v>
      </c>
      <c r="V217" t="s">
        <v>375</v>
      </c>
      <c r="W217" t="s">
        <v>97</v>
      </c>
    </row>
    <row r="218" spans="1:4">
      <c r="A218" t="s">
        <v>6431</v>
      </c>
      <c r="B218" t="s">
        <v>6432</v>
      </c>
      <c r="C218" t="s">
        <v>6433</v>
      </c>
      <c r="D218" t="s">
        <v>6434</v>
      </c>
    </row>
    <row r="219" spans="1:4">
      <c r="A219" t="s">
        <v>6435</v>
      </c>
      <c r="B219" t="s">
        <v>6436</v>
      </c>
      <c r="C219" t="s">
        <v>6437</v>
      </c>
      <c r="D219" t="s">
        <v>6438</v>
      </c>
    </row>
    <row r="220" spans="1:4">
      <c r="A220" t="s">
        <v>6439</v>
      </c>
      <c r="B220" t="s">
        <v>6440</v>
      </c>
      <c r="C220" t="s">
        <v>6441</v>
      </c>
      <c r="D220" t="s">
        <v>6442</v>
      </c>
    </row>
    <row r="221" spans="1:4">
      <c r="A221" t="s">
        <v>6443</v>
      </c>
      <c r="B221" t="s">
        <v>6444</v>
      </c>
      <c r="C221" t="s">
        <v>6445</v>
      </c>
      <c r="D221" t="s">
        <v>6446</v>
      </c>
    </row>
    <row r="222" spans="1:4">
      <c r="A222" t="s">
        <v>6447</v>
      </c>
      <c r="B222" t="s">
        <v>6448</v>
      </c>
      <c r="C222" t="s">
        <v>6449</v>
      </c>
      <c r="D222" t="s">
        <v>6450</v>
      </c>
    </row>
    <row r="223" spans="1:4">
      <c r="A223" t="s">
        <v>6451</v>
      </c>
      <c r="B223" t="s">
        <v>6452</v>
      </c>
      <c r="C223" t="s">
        <v>6453</v>
      </c>
      <c r="D223" t="s">
        <v>6454</v>
      </c>
    </row>
    <row r="224" spans="1:4">
      <c r="A224" t="s">
        <v>6455</v>
      </c>
      <c r="B224" t="s">
        <v>6456</v>
      </c>
      <c r="C224" t="s">
        <v>6457</v>
      </c>
      <c r="D224" t="s">
        <v>6458</v>
      </c>
    </row>
    <row r="225" spans="1:4">
      <c r="A225" t="s">
        <v>6459</v>
      </c>
      <c r="B225" t="s">
        <v>6460</v>
      </c>
      <c r="C225" t="s">
        <v>6461</v>
      </c>
      <c r="D225" t="s">
        <v>6462</v>
      </c>
    </row>
    <row r="226" spans="1:4">
      <c r="A226" t="s">
        <v>6239</v>
      </c>
      <c r="B226" t="s">
        <v>6463</v>
      </c>
      <c r="C226" t="s">
        <v>6464</v>
      </c>
      <c r="D226" t="s">
        <v>6465</v>
      </c>
    </row>
    <row r="227" spans="1:4">
      <c r="A227" t="s">
        <v>6249</v>
      </c>
      <c r="B227" t="s">
        <v>6249</v>
      </c>
      <c r="C227" t="s">
        <v>6249</v>
      </c>
      <c r="D227" t="s">
        <v>6249</v>
      </c>
    </row>
    <row r="228" spans="1:4">
      <c r="A228" t="s">
        <v>6252</v>
      </c>
      <c r="B228" t="s">
        <v>6466</v>
      </c>
      <c r="C228" t="s">
        <v>6467</v>
      </c>
      <c r="D228" t="s">
        <v>6468</v>
      </c>
    </row>
    <row r="229" spans="1:4">
      <c r="A229" t="s">
        <v>97</v>
      </c>
      <c r="B229" t="s">
        <v>97</v>
      </c>
      <c r="C229" t="s">
        <v>97</v>
      </c>
      <c r="D229" t="s">
        <v>97</v>
      </c>
    </row>
    <row r="230" spans="1:2">
      <c r="A230" t="s">
        <v>41</v>
      </c>
      <c r="B230" t="s">
        <v>41</v>
      </c>
    </row>
    <row r="231" spans="1:2">
      <c r="A231" t="s">
        <v>42</v>
      </c>
      <c r="B231" t="s">
        <v>42</v>
      </c>
    </row>
    <row r="232" spans="1:2">
      <c r="A232" t="s">
        <v>43</v>
      </c>
      <c r="B232" t="s">
        <v>43</v>
      </c>
    </row>
    <row r="233" spans="1:2">
      <c r="A233" t="s">
        <v>44</v>
      </c>
      <c r="B233" t="s">
        <v>44</v>
      </c>
    </row>
    <row r="234" spans="1:2">
      <c r="A234" t="s">
        <v>45</v>
      </c>
      <c r="B234" t="s">
        <v>45</v>
      </c>
    </row>
    <row r="235" spans="1:2">
      <c r="A235" t="s">
        <v>6469</v>
      </c>
      <c r="B235" t="s">
        <v>6470</v>
      </c>
    </row>
    <row r="236" spans="1:2">
      <c r="A236" t="s">
        <v>6471</v>
      </c>
      <c r="B236" t="s">
        <v>6472</v>
      </c>
    </row>
    <row r="237" spans="1:2">
      <c r="A237" t="s">
        <v>6473</v>
      </c>
      <c r="B237" t="s">
        <v>6474</v>
      </c>
    </row>
    <row r="238" spans="1:2">
      <c r="A238" t="s">
        <v>6475</v>
      </c>
      <c r="B238" t="s">
        <v>6476</v>
      </c>
    </row>
    <row r="239" spans="1:2">
      <c r="A239" t="s">
        <v>6477</v>
      </c>
      <c r="B239" t="s">
        <v>6478</v>
      </c>
    </row>
    <row r="240" spans="1:2">
      <c r="A240" t="s">
        <v>6479</v>
      </c>
      <c r="B240" t="s">
        <v>6480</v>
      </c>
    </row>
    <row r="241" spans="1:2">
      <c r="A241" t="s">
        <v>6481</v>
      </c>
      <c r="B241" t="s">
        <v>6482</v>
      </c>
    </row>
    <row r="242" spans="1:2">
      <c r="A242" t="s">
        <v>6483</v>
      </c>
      <c r="B242" t="s">
        <v>6484</v>
      </c>
    </row>
    <row r="243" spans="1:2">
      <c r="A243" t="s">
        <v>6485</v>
      </c>
      <c r="B243" t="s">
        <v>6486</v>
      </c>
    </row>
    <row r="244" spans="1:2">
      <c r="A244" t="s">
        <v>6464</v>
      </c>
      <c r="B244" t="s">
        <v>6487</v>
      </c>
    </row>
    <row r="245" spans="1:2">
      <c r="A245" t="s">
        <v>6249</v>
      </c>
      <c r="B245" t="s">
        <v>6249</v>
      </c>
    </row>
    <row r="246" spans="1:2">
      <c r="A246" t="s">
        <v>6467</v>
      </c>
      <c r="B246" t="s">
        <v>6488</v>
      </c>
    </row>
    <row r="247" spans="1:2">
      <c r="A247" t="s">
        <v>375</v>
      </c>
      <c r="B247" t="s">
        <v>97</v>
      </c>
    </row>
  </sheetData>
  <sortState ref="A4:G5" columnSort="1">
    <sortCondition ref="A4:G4"/>
  </sortState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20"/>
  <sheetViews>
    <sheetView topLeftCell="A129" workbookViewId="0">
      <selection activeCell="H13" sqref="H13"/>
    </sheetView>
  </sheetViews>
  <sheetFormatPr defaultColWidth="9.23076923076923" defaultRowHeight="16.8"/>
  <cols>
    <col min="1" max="1" width="66.8173076923077" customWidth="1"/>
    <col min="2" max="2" width="29.3173076923077" customWidth="1"/>
    <col min="3" max="3" width="74.3557692307692" customWidth="1"/>
    <col min="4" max="4" width="37.8173076923077" customWidth="1"/>
    <col min="5" max="5" width="33.6538461538462" customWidth="1"/>
    <col min="6" max="6" width="45.0288461538462" customWidth="1"/>
    <col min="7" max="7" width="33.6538461538462" customWidth="1"/>
    <col min="8" max="8" width="60.8942307692308" customWidth="1"/>
    <col min="9" max="9" width="83.4903846153846" customWidth="1"/>
  </cols>
  <sheetData>
    <row r="1" s="4" customFormat="1" spans="1:10">
      <c r="A1" s="4" t="s">
        <v>6489</v>
      </c>
      <c r="J1"/>
    </row>
    <row r="2" spans="1:9">
      <c r="A2">
        <v>16</v>
      </c>
      <c r="B2">
        <v>32</v>
      </c>
      <c r="C2">
        <v>64</v>
      </c>
      <c r="D2">
        <v>128</v>
      </c>
      <c r="E2">
        <v>256</v>
      </c>
      <c r="F2">
        <v>512</v>
      </c>
      <c r="G2">
        <v>1024</v>
      </c>
      <c r="H2">
        <v>2048</v>
      </c>
      <c r="I2">
        <v>4096</v>
      </c>
    </row>
    <row r="3" spans="1:9">
      <c r="A3" t="s">
        <v>6490</v>
      </c>
      <c r="B3" t="s">
        <v>6491</v>
      </c>
      <c r="C3" t="s">
        <v>6492</v>
      </c>
      <c r="D3" t="s">
        <v>6493</v>
      </c>
      <c r="E3" t="s">
        <v>6494</v>
      </c>
      <c r="F3" t="s">
        <v>6495</v>
      </c>
      <c r="G3" t="s">
        <v>6496</v>
      </c>
      <c r="H3" t="s">
        <v>6497</v>
      </c>
      <c r="I3" t="s">
        <v>6498</v>
      </c>
    </row>
    <row r="4" spans="1:9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</row>
    <row r="5" spans="1:9">
      <c r="A5" t="s">
        <v>43</v>
      </c>
      <c r="B5" t="s">
        <v>43</v>
      </c>
      <c r="C5" t="s">
        <v>43</v>
      </c>
      <c r="D5" t="s">
        <v>43</v>
      </c>
      <c r="E5" t="s">
        <v>43</v>
      </c>
      <c r="F5" t="s">
        <v>43</v>
      </c>
      <c r="G5" t="s">
        <v>43</v>
      </c>
      <c r="H5" t="s">
        <v>43</v>
      </c>
      <c r="I5" t="s">
        <v>43</v>
      </c>
    </row>
    <row r="6" spans="1:9">
      <c r="A6" t="s">
        <v>44</v>
      </c>
      <c r="B6" t="s">
        <v>44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</row>
    <row r="7" spans="1:9">
      <c r="A7" t="s">
        <v>6499</v>
      </c>
      <c r="B7" t="s">
        <v>6500</v>
      </c>
      <c r="C7" t="s">
        <v>6501</v>
      </c>
      <c r="D7" t="s">
        <v>6502</v>
      </c>
      <c r="E7" t="s">
        <v>6503</v>
      </c>
      <c r="F7" t="s">
        <v>6504</v>
      </c>
      <c r="G7" t="s">
        <v>6505</v>
      </c>
      <c r="H7" t="s">
        <v>6506</v>
      </c>
      <c r="I7" t="s">
        <v>6507</v>
      </c>
    </row>
    <row r="8" spans="1:9">
      <c r="A8">
        <v>2156.11</v>
      </c>
      <c r="B8">
        <v>2899.94</v>
      </c>
      <c r="C8">
        <v>3801.23</v>
      </c>
      <c r="D8">
        <v>3477.63</v>
      </c>
      <c r="E8">
        <v>3812.15</v>
      </c>
      <c r="F8">
        <v>4178.04</v>
      </c>
      <c r="G8">
        <v>4252.45</v>
      </c>
      <c r="H8" t="s">
        <v>6508</v>
      </c>
      <c r="I8">
        <v>4587.45</v>
      </c>
    </row>
    <row r="9" spans="1:9">
      <c r="A9">
        <v>1.44125</v>
      </c>
      <c r="B9">
        <v>1.93846</v>
      </c>
      <c r="C9">
        <v>2.54093</v>
      </c>
      <c r="D9">
        <v>2.32462</v>
      </c>
      <c r="E9">
        <v>2.54823</v>
      </c>
      <c r="F9">
        <v>2.79281</v>
      </c>
      <c r="G9">
        <v>2.84255</v>
      </c>
      <c r="H9">
        <v>3.15629</v>
      </c>
      <c r="I9">
        <v>3.06648</v>
      </c>
    </row>
    <row r="10" spans="1:9">
      <c r="A10" t="s">
        <v>6509</v>
      </c>
      <c r="B10" t="s">
        <v>6510</v>
      </c>
      <c r="C10" t="s">
        <v>6511</v>
      </c>
      <c r="D10" t="s">
        <v>6512</v>
      </c>
      <c r="E10" t="s">
        <v>6513</v>
      </c>
      <c r="F10" t="s">
        <v>271</v>
      </c>
      <c r="G10" t="s">
        <v>6514</v>
      </c>
      <c r="H10" t="s">
        <v>6515</v>
      </c>
      <c r="I10" t="s">
        <v>6516</v>
      </c>
    </row>
    <row r="11" spans="1:9">
      <c r="A11" t="s">
        <v>6517</v>
      </c>
      <c r="B11" t="s">
        <v>6518</v>
      </c>
      <c r="C11" t="s">
        <v>6519</v>
      </c>
      <c r="D11" t="s">
        <v>6520</v>
      </c>
      <c r="E11" t="s">
        <v>6521</v>
      </c>
      <c r="F11" t="s">
        <v>6522</v>
      </c>
      <c r="G11" t="s">
        <v>6523</v>
      </c>
      <c r="H11" t="s">
        <v>6524</v>
      </c>
      <c r="I11" t="s">
        <v>6525</v>
      </c>
    </row>
    <row r="12" spans="1:9">
      <c r="A12" t="s">
        <v>6526</v>
      </c>
      <c r="B12" t="s">
        <v>6527</v>
      </c>
      <c r="C12" t="s">
        <v>6528</v>
      </c>
      <c r="D12" t="s">
        <v>6529</v>
      </c>
      <c r="E12" t="s">
        <v>6530</v>
      </c>
      <c r="F12" t="s">
        <v>6531</v>
      </c>
      <c r="G12" t="s">
        <v>6532</v>
      </c>
      <c r="H12" t="s">
        <v>6533</v>
      </c>
      <c r="I12" t="s">
        <v>6534</v>
      </c>
    </row>
    <row r="16" spans="1:9">
      <c r="A16">
        <v>14.33</v>
      </c>
      <c r="B16">
        <v>5.52</v>
      </c>
      <c r="C16">
        <v>4.265</v>
      </c>
      <c r="D16">
        <v>4.879</v>
      </c>
      <c r="E16">
        <v>4.729</v>
      </c>
      <c r="F16">
        <v>4.804</v>
      </c>
      <c r="G16">
        <v>4.585</v>
      </c>
      <c r="H16">
        <v>5.082</v>
      </c>
      <c r="I16">
        <v>4.906</v>
      </c>
    </row>
    <row r="17" spans="1:9">
      <c r="A17">
        <v>20.585</v>
      </c>
      <c r="B17">
        <v>11.953</v>
      </c>
      <c r="C17">
        <v>8.297</v>
      </c>
      <c r="D17">
        <v>5.49</v>
      </c>
      <c r="E17">
        <v>4.955</v>
      </c>
      <c r="F17">
        <v>4.992</v>
      </c>
      <c r="G17">
        <v>4.812</v>
      </c>
      <c r="H17">
        <v>5.301</v>
      </c>
      <c r="I17">
        <v>5.137</v>
      </c>
    </row>
    <row r="18" spans="1:9">
      <c r="A18">
        <v>26.857</v>
      </c>
      <c r="B18">
        <v>20.729</v>
      </c>
      <c r="C18">
        <v>13.378</v>
      </c>
      <c r="D18">
        <v>11.058</v>
      </c>
      <c r="E18">
        <v>10.628</v>
      </c>
      <c r="F18">
        <v>13.259</v>
      </c>
      <c r="G18">
        <v>8.552</v>
      </c>
      <c r="H18">
        <v>7.869</v>
      </c>
      <c r="I18">
        <v>11.468</v>
      </c>
    </row>
    <row r="19" spans="1:9">
      <c r="A19" t="s">
        <v>6535</v>
      </c>
      <c r="B19" t="s">
        <v>6536</v>
      </c>
      <c r="C19" t="s">
        <v>6537</v>
      </c>
      <c r="D19" t="s">
        <v>6538</v>
      </c>
      <c r="E19" t="s">
        <v>6539</v>
      </c>
      <c r="F19" t="s">
        <v>6540</v>
      </c>
      <c r="G19" t="s">
        <v>6541</v>
      </c>
      <c r="H19" t="s">
        <v>6542</v>
      </c>
      <c r="I19" t="s">
        <v>6543</v>
      </c>
    </row>
    <row r="20" spans="1:9">
      <c r="A20" t="s">
        <v>238</v>
      </c>
      <c r="B20" t="s">
        <v>238</v>
      </c>
      <c r="C20" t="s">
        <v>238</v>
      </c>
      <c r="D20" t="s">
        <v>238</v>
      </c>
      <c r="E20" t="s">
        <v>238</v>
      </c>
      <c r="F20" t="s">
        <v>238</v>
      </c>
      <c r="G20" t="s">
        <v>238</v>
      </c>
      <c r="H20" t="s">
        <v>238</v>
      </c>
      <c r="I20" t="s">
        <v>238</v>
      </c>
    </row>
    <row r="21" spans="1:9">
      <c r="A21">
        <v>5.2675</v>
      </c>
      <c r="B21">
        <v>4.225</v>
      </c>
      <c r="C21">
        <v>3.125</v>
      </c>
      <c r="D21">
        <v>3.6775</v>
      </c>
      <c r="E21">
        <v>3.64</v>
      </c>
      <c r="F21">
        <v>3.6925</v>
      </c>
      <c r="G21">
        <v>3.5925</v>
      </c>
      <c r="H21">
        <v>4.01</v>
      </c>
      <c r="I21">
        <v>3.995</v>
      </c>
    </row>
    <row r="22" spans="1:9">
      <c r="A22" t="s">
        <v>97</v>
      </c>
      <c r="B22" t="s">
        <v>97</v>
      </c>
      <c r="C22" t="s">
        <v>97</v>
      </c>
      <c r="D22" t="s">
        <v>97</v>
      </c>
      <c r="E22" t="s">
        <v>97</v>
      </c>
      <c r="F22" t="s">
        <v>97</v>
      </c>
      <c r="G22" t="s">
        <v>97</v>
      </c>
      <c r="H22" t="s">
        <v>97</v>
      </c>
      <c r="I22" t="s">
        <v>97</v>
      </c>
    </row>
    <row r="23" spans="1:9">
      <c r="A23" t="s">
        <v>6490</v>
      </c>
      <c r="B23" t="s">
        <v>6491</v>
      </c>
      <c r="C23" t="s">
        <v>6492</v>
      </c>
      <c r="D23" t="s">
        <v>6493</v>
      </c>
      <c r="E23" t="s">
        <v>6494</v>
      </c>
      <c r="F23" t="s">
        <v>6495</v>
      </c>
      <c r="G23" t="s">
        <v>6496</v>
      </c>
      <c r="H23" t="s">
        <v>6497</v>
      </c>
      <c r="I23" t="s">
        <v>6544</v>
      </c>
    </row>
    <row r="24" spans="1:9">
      <c r="A24" t="s">
        <v>42</v>
      </c>
      <c r="B24" t="s">
        <v>42</v>
      </c>
      <c r="C24" t="s">
        <v>42</v>
      </c>
      <c r="D24" t="s">
        <v>42</v>
      </c>
      <c r="E24" t="s">
        <v>42</v>
      </c>
      <c r="F24" t="s">
        <v>42</v>
      </c>
      <c r="G24" t="s">
        <v>42</v>
      </c>
      <c r="H24" t="s">
        <v>42</v>
      </c>
      <c r="I24" t="s">
        <v>42</v>
      </c>
    </row>
    <row r="25" spans="1:9">
      <c r="A25" t="s">
        <v>43</v>
      </c>
      <c r="B25" t="s">
        <v>43</v>
      </c>
      <c r="C25" t="s">
        <v>43</v>
      </c>
      <c r="D25" t="s">
        <v>43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</row>
    <row r="26" spans="1:9">
      <c r="A26" t="s">
        <v>44</v>
      </c>
      <c r="B26" t="s">
        <v>44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</row>
    <row r="27" spans="1:9">
      <c r="A27" t="s">
        <v>6545</v>
      </c>
      <c r="B27" t="s">
        <v>6546</v>
      </c>
      <c r="C27" t="s">
        <v>6547</v>
      </c>
      <c r="D27" t="s">
        <v>6548</v>
      </c>
      <c r="E27" t="s">
        <v>6549</v>
      </c>
      <c r="F27" t="s">
        <v>6550</v>
      </c>
      <c r="G27" t="s">
        <v>6551</v>
      </c>
      <c r="H27" t="s">
        <v>6552</v>
      </c>
      <c r="I27" t="s">
        <v>6553</v>
      </c>
    </row>
    <row r="28" spans="1:9">
      <c r="A28">
        <v>2237.52</v>
      </c>
      <c r="B28">
        <v>2910.74</v>
      </c>
      <c r="C28">
        <v>3301.2</v>
      </c>
      <c r="D28">
        <v>3545.03</v>
      </c>
      <c r="E28">
        <v>3620.14</v>
      </c>
      <c r="F28">
        <v>4255.62</v>
      </c>
      <c r="G28">
        <v>4288.24</v>
      </c>
      <c r="H28">
        <v>4510.22</v>
      </c>
      <c r="I28">
        <v>4403.72</v>
      </c>
    </row>
    <row r="29" spans="1:9">
      <c r="A29">
        <v>1.49567</v>
      </c>
      <c r="B29">
        <v>1.94568</v>
      </c>
      <c r="C29">
        <v>2.20669</v>
      </c>
      <c r="D29">
        <v>2.36967</v>
      </c>
      <c r="E29">
        <v>2.41988</v>
      </c>
      <c r="F29">
        <v>2.84467</v>
      </c>
      <c r="G29">
        <v>2.86647</v>
      </c>
      <c r="H29">
        <v>3.01486</v>
      </c>
      <c r="I29">
        <v>2.94367</v>
      </c>
    </row>
    <row r="30" spans="1:9">
      <c r="A30" t="s">
        <v>6554</v>
      </c>
      <c r="B30" t="s">
        <v>6555</v>
      </c>
      <c r="C30" t="s">
        <v>6556</v>
      </c>
      <c r="D30" t="s">
        <v>6557</v>
      </c>
      <c r="E30" t="s">
        <v>6558</v>
      </c>
      <c r="F30" t="s">
        <v>6559</v>
      </c>
      <c r="G30" t="s">
        <v>6560</v>
      </c>
      <c r="H30" t="s">
        <v>6561</v>
      </c>
      <c r="I30" t="s">
        <v>6562</v>
      </c>
    </row>
    <row r="31" spans="1:9">
      <c r="A31" t="s">
        <v>6563</v>
      </c>
      <c r="B31" t="s">
        <v>6564</v>
      </c>
      <c r="C31" t="s">
        <v>6565</v>
      </c>
      <c r="D31" t="s">
        <v>6566</v>
      </c>
      <c r="E31" t="s">
        <v>6567</v>
      </c>
      <c r="F31" t="s">
        <v>6568</v>
      </c>
      <c r="G31" t="s">
        <v>6569</v>
      </c>
      <c r="H31" t="s">
        <v>6570</v>
      </c>
      <c r="I31" t="s">
        <v>6571</v>
      </c>
    </row>
    <row r="32" spans="1:9">
      <c r="A32" t="s">
        <v>6572</v>
      </c>
      <c r="B32" t="s">
        <v>6573</v>
      </c>
      <c r="C32" t="s">
        <v>6574</v>
      </c>
      <c r="D32" t="s">
        <v>6575</v>
      </c>
      <c r="E32" t="s">
        <v>6576</v>
      </c>
      <c r="F32" t="s">
        <v>6577</v>
      </c>
      <c r="G32" t="s">
        <v>6578</v>
      </c>
      <c r="H32" t="s">
        <v>6579</v>
      </c>
      <c r="I32" t="s">
        <v>6580</v>
      </c>
    </row>
    <row r="36" spans="1:9">
      <c r="A36">
        <v>13.793</v>
      </c>
      <c r="B36">
        <v>5.58</v>
      </c>
      <c r="C36">
        <v>5.262</v>
      </c>
      <c r="D36">
        <v>4.651</v>
      </c>
      <c r="E36">
        <v>4.698</v>
      </c>
      <c r="F36">
        <v>4.571</v>
      </c>
      <c r="G36">
        <v>4.748</v>
      </c>
      <c r="H36">
        <v>4.636</v>
      </c>
      <c r="I36">
        <v>4.724</v>
      </c>
    </row>
    <row r="37" spans="1:9">
      <c r="A37">
        <v>21.578</v>
      </c>
      <c r="B37">
        <v>13.814</v>
      </c>
      <c r="C37">
        <v>9.548</v>
      </c>
      <c r="D37">
        <v>5.175</v>
      </c>
      <c r="E37">
        <v>5.135</v>
      </c>
      <c r="F37">
        <v>4.826</v>
      </c>
      <c r="G37">
        <v>4.95</v>
      </c>
      <c r="H37">
        <v>4.764</v>
      </c>
      <c r="I37">
        <v>4.889</v>
      </c>
    </row>
    <row r="38" spans="1:9">
      <c r="A38">
        <v>27.848</v>
      </c>
      <c r="B38">
        <v>21.448</v>
      </c>
      <c r="C38">
        <v>21.932</v>
      </c>
      <c r="D38">
        <v>12.961</v>
      </c>
      <c r="E38">
        <v>17.666</v>
      </c>
      <c r="F38">
        <v>8.208</v>
      </c>
      <c r="G38">
        <v>7.096</v>
      </c>
      <c r="H38">
        <v>8.616</v>
      </c>
      <c r="I38">
        <v>5.354</v>
      </c>
    </row>
    <row r="39" spans="1:9">
      <c r="A39" t="s">
        <v>6581</v>
      </c>
      <c r="B39" t="s">
        <v>6582</v>
      </c>
      <c r="C39" t="s">
        <v>6583</v>
      </c>
      <c r="D39" t="s">
        <v>6584</v>
      </c>
      <c r="E39" t="s">
        <v>6540</v>
      </c>
      <c r="F39" t="s">
        <v>6585</v>
      </c>
      <c r="G39" t="s">
        <v>6586</v>
      </c>
      <c r="H39" t="s">
        <v>6587</v>
      </c>
      <c r="I39" t="s">
        <v>6588</v>
      </c>
    </row>
    <row r="40" spans="1:9">
      <c r="A40" t="s">
        <v>238</v>
      </c>
      <c r="B40" t="s">
        <v>238</v>
      </c>
      <c r="C40" t="s">
        <v>238</v>
      </c>
      <c r="D40" t="s">
        <v>238</v>
      </c>
      <c r="E40" t="s">
        <v>238</v>
      </c>
      <c r="F40" t="s">
        <v>238</v>
      </c>
      <c r="G40" t="s">
        <v>238</v>
      </c>
      <c r="H40" t="s">
        <v>238</v>
      </c>
      <c r="I40" t="s">
        <v>238</v>
      </c>
    </row>
    <row r="41" spans="1:9">
      <c r="A41">
        <v>5.315</v>
      </c>
      <c r="B41">
        <v>4.235</v>
      </c>
      <c r="C41">
        <v>4.3</v>
      </c>
      <c r="D41">
        <v>3.5875</v>
      </c>
      <c r="E41">
        <v>3.6925</v>
      </c>
      <c r="F41">
        <v>3.585</v>
      </c>
      <c r="G41">
        <v>3.5675</v>
      </c>
      <c r="H41">
        <v>3.63</v>
      </c>
      <c r="I41">
        <v>3.54</v>
      </c>
    </row>
    <row r="42" spans="1:9">
      <c r="A42" t="s">
        <v>97</v>
      </c>
      <c r="B42" t="s">
        <v>375</v>
      </c>
      <c r="C42" t="s">
        <v>97</v>
      </c>
      <c r="D42" t="s">
        <v>97</v>
      </c>
      <c r="E42" t="s">
        <v>97</v>
      </c>
      <c r="F42" t="s">
        <v>97</v>
      </c>
      <c r="G42" t="s">
        <v>97</v>
      </c>
      <c r="H42" t="s">
        <v>97</v>
      </c>
      <c r="I42" t="s">
        <v>97</v>
      </c>
    </row>
    <row r="43" spans="1:9">
      <c r="A43" t="s">
        <v>6490</v>
      </c>
      <c r="B43" t="s">
        <v>6491</v>
      </c>
      <c r="C43" t="s">
        <v>6492</v>
      </c>
      <c r="D43" t="s">
        <v>6493</v>
      </c>
      <c r="E43" t="s">
        <v>6494</v>
      </c>
      <c r="F43" t="s">
        <v>6495</v>
      </c>
      <c r="G43" t="s">
        <v>6496</v>
      </c>
      <c r="H43" t="s">
        <v>6497</v>
      </c>
      <c r="I43" t="s">
        <v>6497</v>
      </c>
    </row>
    <row r="44" spans="1:9">
      <c r="A44" t="s">
        <v>42</v>
      </c>
      <c r="B44" t="s">
        <v>42</v>
      </c>
      <c r="C44" t="s">
        <v>42</v>
      </c>
      <c r="D44" t="s">
        <v>42</v>
      </c>
      <c r="E44" t="s">
        <v>42</v>
      </c>
      <c r="F44" t="s">
        <v>42</v>
      </c>
      <c r="G44" t="s">
        <v>42</v>
      </c>
      <c r="H44" t="s">
        <v>42</v>
      </c>
      <c r="I44" t="s">
        <v>42</v>
      </c>
    </row>
    <row r="45" spans="1:9">
      <c r="A45" t="s">
        <v>43</v>
      </c>
      <c r="B45" t="s">
        <v>43</v>
      </c>
      <c r="C45" t="s">
        <v>43</v>
      </c>
      <c r="D45" t="s">
        <v>43</v>
      </c>
      <c r="E45" t="s">
        <v>43</v>
      </c>
      <c r="F45" t="s">
        <v>43</v>
      </c>
      <c r="G45" t="s">
        <v>43</v>
      </c>
      <c r="H45" t="s">
        <v>43</v>
      </c>
      <c r="I45" t="s">
        <v>43</v>
      </c>
    </row>
    <row r="46" spans="1:9">
      <c r="A46" t="s">
        <v>44</v>
      </c>
      <c r="B46" t="s">
        <v>44</v>
      </c>
      <c r="C46" t="s">
        <v>44</v>
      </c>
      <c r="D46" t="s">
        <v>44</v>
      </c>
      <c r="E46" t="s">
        <v>44</v>
      </c>
      <c r="F46" t="s">
        <v>44</v>
      </c>
      <c r="G46" t="s">
        <v>44</v>
      </c>
      <c r="H46" t="s">
        <v>44</v>
      </c>
      <c r="I46" t="s">
        <v>44</v>
      </c>
    </row>
    <row r="47" spans="1:9">
      <c r="A47" t="s">
        <v>6589</v>
      </c>
      <c r="B47" t="s">
        <v>6590</v>
      </c>
      <c r="C47" t="s">
        <v>6591</v>
      </c>
      <c r="D47" t="s">
        <v>6592</v>
      </c>
      <c r="E47" t="s">
        <v>6593</v>
      </c>
      <c r="F47" t="s">
        <v>6594</v>
      </c>
      <c r="G47" t="s">
        <v>6595</v>
      </c>
      <c r="H47" t="s">
        <v>6596</v>
      </c>
      <c r="I47" t="s">
        <v>6597</v>
      </c>
    </row>
    <row r="48" spans="1:9">
      <c r="A48">
        <v>2217.95</v>
      </c>
      <c r="B48">
        <v>2866.44</v>
      </c>
      <c r="C48">
        <v>3409.68</v>
      </c>
      <c r="D48">
        <v>3506.47</v>
      </c>
      <c r="E48">
        <v>3769.84</v>
      </c>
      <c r="F48">
        <v>4078.9</v>
      </c>
      <c r="G48">
        <v>4292.43</v>
      </c>
      <c r="H48" t="s">
        <v>6598</v>
      </c>
      <c r="I48" t="s">
        <v>6599</v>
      </c>
    </row>
    <row r="49" spans="1:9">
      <c r="A49">
        <v>1.48259</v>
      </c>
      <c r="B49">
        <v>1.91607</v>
      </c>
      <c r="C49">
        <v>2.2792</v>
      </c>
      <c r="D49">
        <v>2.3439</v>
      </c>
      <c r="E49">
        <v>2.51995</v>
      </c>
      <c r="F49">
        <v>2.72654</v>
      </c>
      <c r="G49">
        <v>2.86927</v>
      </c>
      <c r="H49">
        <v>3.01509</v>
      </c>
      <c r="I49">
        <v>3.1731</v>
      </c>
    </row>
    <row r="50" spans="1:9">
      <c r="A50" t="s">
        <v>6600</v>
      </c>
      <c r="B50" t="s">
        <v>6601</v>
      </c>
      <c r="C50" t="s">
        <v>6602</v>
      </c>
      <c r="D50" t="s">
        <v>6603</v>
      </c>
      <c r="E50" t="s">
        <v>6604</v>
      </c>
      <c r="F50" t="s">
        <v>6605</v>
      </c>
      <c r="G50" t="s">
        <v>6606</v>
      </c>
      <c r="H50" t="s">
        <v>6607</v>
      </c>
      <c r="I50" t="s">
        <v>6608</v>
      </c>
    </row>
    <row r="51" spans="1:9">
      <c r="A51" t="s">
        <v>6609</v>
      </c>
      <c r="B51" t="s">
        <v>6610</v>
      </c>
      <c r="C51" t="s">
        <v>6611</v>
      </c>
      <c r="D51" t="s">
        <v>6612</v>
      </c>
      <c r="E51" t="s">
        <v>6613</v>
      </c>
      <c r="F51" t="s">
        <v>6614</v>
      </c>
      <c r="G51" t="s">
        <v>6615</v>
      </c>
      <c r="H51" t="s">
        <v>6616</v>
      </c>
      <c r="I51" t="s">
        <v>6617</v>
      </c>
    </row>
    <row r="52" spans="1:9">
      <c r="A52" t="s">
        <v>6618</v>
      </c>
      <c r="B52" t="s">
        <v>6619</v>
      </c>
      <c r="C52" t="s">
        <v>6620</v>
      </c>
      <c r="D52" t="s">
        <v>6621</v>
      </c>
      <c r="E52" t="s">
        <v>6622</v>
      </c>
      <c r="F52" t="s">
        <v>6623</v>
      </c>
      <c r="G52" t="s">
        <v>6624</v>
      </c>
      <c r="H52" t="s">
        <v>6625</v>
      </c>
      <c r="I52" t="s">
        <v>6626</v>
      </c>
    </row>
    <row r="56" spans="1:9">
      <c r="A56">
        <v>15.039</v>
      </c>
      <c r="B56">
        <v>5.788</v>
      </c>
      <c r="C56">
        <v>4.868</v>
      </c>
      <c r="D56">
        <v>4.634</v>
      </c>
      <c r="E56">
        <v>4.734</v>
      </c>
      <c r="F56">
        <v>4.824</v>
      </c>
      <c r="G56">
        <v>4.767</v>
      </c>
      <c r="H56">
        <v>4.814</v>
      </c>
      <c r="I56">
        <v>5.122</v>
      </c>
    </row>
    <row r="57" spans="1:9">
      <c r="A57">
        <v>21.841</v>
      </c>
      <c r="B57">
        <v>12.991</v>
      </c>
      <c r="C57">
        <v>7.601</v>
      </c>
      <c r="D57">
        <v>4.958</v>
      </c>
      <c r="E57">
        <v>5.036</v>
      </c>
      <c r="F57">
        <v>5.189</v>
      </c>
      <c r="G57">
        <v>5.362</v>
      </c>
      <c r="H57">
        <v>4.985</v>
      </c>
      <c r="I57">
        <v>5.343</v>
      </c>
    </row>
    <row r="58" spans="1:9">
      <c r="A58">
        <v>27.464</v>
      </c>
      <c r="B58">
        <v>18.972</v>
      </c>
      <c r="C58">
        <v>16.945</v>
      </c>
      <c r="D58">
        <v>9.454</v>
      </c>
      <c r="E58">
        <v>10.444</v>
      </c>
      <c r="F58">
        <v>14.149</v>
      </c>
      <c r="G58">
        <v>10.703</v>
      </c>
      <c r="H58">
        <v>6.094</v>
      </c>
      <c r="I58">
        <v>6.892</v>
      </c>
    </row>
    <row r="59" spans="1:9">
      <c r="A59" t="s">
        <v>6627</v>
      </c>
      <c r="B59" t="s">
        <v>6628</v>
      </c>
      <c r="C59" t="s">
        <v>6629</v>
      </c>
      <c r="D59" t="s">
        <v>6630</v>
      </c>
      <c r="E59" t="s">
        <v>6631</v>
      </c>
      <c r="F59" t="s">
        <v>6632</v>
      </c>
      <c r="G59" t="s">
        <v>6633</v>
      </c>
      <c r="H59" t="s">
        <v>6634</v>
      </c>
      <c r="I59" t="s">
        <v>6635</v>
      </c>
    </row>
    <row r="60" spans="1:9">
      <c r="A60" t="s">
        <v>238</v>
      </c>
      <c r="B60" t="s">
        <v>238</v>
      </c>
      <c r="C60" t="s">
        <v>238</v>
      </c>
      <c r="D60" t="s">
        <v>238</v>
      </c>
      <c r="E60" t="s">
        <v>238</v>
      </c>
      <c r="F60" t="s">
        <v>238</v>
      </c>
      <c r="G60" t="s">
        <v>238</v>
      </c>
      <c r="H60" t="s">
        <v>238</v>
      </c>
      <c r="I60" t="s">
        <v>238</v>
      </c>
    </row>
    <row r="61" spans="1:9">
      <c r="A61">
        <v>5.3825</v>
      </c>
      <c r="B61">
        <v>4.1725</v>
      </c>
      <c r="C61">
        <v>3.955</v>
      </c>
      <c r="D61">
        <v>3.4925</v>
      </c>
      <c r="E61">
        <v>3.655</v>
      </c>
      <c r="F61">
        <v>3.78</v>
      </c>
      <c r="G61">
        <v>3.89</v>
      </c>
      <c r="H61">
        <v>3.69667</v>
      </c>
      <c r="I61">
        <v>3.9</v>
      </c>
    </row>
    <row r="62" spans="1:9">
      <c r="A62" t="s">
        <v>97</v>
      </c>
      <c r="B62" t="s">
        <v>97</v>
      </c>
      <c r="C62" t="s">
        <v>97</v>
      </c>
      <c r="D62" t="s">
        <v>97</v>
      </c>
      <c r="E62" t="s">
        <v>97</v>
      </c>
      <c r="F62" t="s">
        <v>97</v>
      </c>
      <c r="G62" t="s">
        <v>504</v>
      </c>
      <c r="H62" t="s">
        <v>97</v>
      </c>
      <c r="I62" t="s">
        <v>97</v>
      </c>
    </row>
    <row r="63" spans="1:9">
      <c r="A63">
        <f t="shared" ref="A63:I63" si="0">AVERAGE(A9,A29,A49)</f>
        <v>1.47317</v>
      </c>
      <c r="B63">
        <f t="shared" si="0"/>
        <v>1.93340333333333</v>
      </c>
      <c r="C63">
        <f t="shared" si="0"/>
        <v>2.34227333333333</v>
      </c>
      <c r="D63">
        <f t="shared" si="0"/>
        <v>2.34606333333333</v>
      </c>
      <c r="E63">
        <f t="shared" si="0"/>
        <v>2.49602</v>
      </c>
      <c r="F63">
        <f t="shared" si="0"/>
        <v>2.78800666666667</v>
      </c>
      <c r="G63">
        <f t="shared" si="0"/>
        <v>2.85943</v>
      </c>
      <c r="H63">
        <f t="shared" si="0"/>
        <v>3.06208</v>
      </c>
      <c r="I63">
        <f t="shared" si="0"/>
        <v>3.06108333333333</v>
      </c>
    </row>
    <row r="64" spans="1:9">
      <c r="A64">
        <f t="shared" ref="A64:I64" si="1">AVERAGE(A16,A36,A56)</f>
        <v>14.3873333333333</v>
      </c>
      <c r="B64">
        <f t="shared" si="1"/>
        <v>5.62933333333333</v>
      </c>
      <c r="C64">
        <f t="shared" si="1"/>
        <v>4.79833333333333</v>
      </c>
      <c r="D64">
        <f t="shared" si="1"/>
        <v>4.72133333333333</v>
      </c>
      <c r="E64">
        <f t="shared" si="1"/>
        <v>4.72033333333333</v>
      </c>
      <c r="F64">
        <f t="shared" si="1"/>
        <v>4.733</v>
      </c>
      <c r="G64">
        <f t="shared" si="1"/>
        <v>4.7</v>
      </c>
      <c r="H64">
        <f t="shared" si="1"/>
        <v>4.844</v>
      </c>
      <c r="I64">
        <f t="shared" si="1"/>
        <v>4.91733333333333</v>
      </c>
    </row>
    <row r="65" spans="1:9">
      <c r="A65">
        <f t="shared" ref="A65:I65" si="2">AVERAGE(A17,A37,A57)</f>
        <v>21.3346666666667</v>
      </c>
      <c r="B65">
        <f t="shared" si="2"/>
        <v>12.9193333333333</v>
      </c>
      <c r="C65">
        <f t="shared" si="2"/>
        <v>8.482</v>
      </c>
      <c r="D65">
        <f t="shared" si="2"/>
        <v>5.20766666666667</v>
      </c>
      <c r="E65">
        <f t="shared" si="2"/>
        <v>5.042</v>
      </c>
      <c r="F65">
        <f t="shared" si="2"/>
        <v>5.00233333333333</v>
      </c>
      <c r="G65">
        <f t="shared" si="2"/>
        <v>5.04133333333333</v>
      </c>
      <c r="H65">
        <f t="shared" si="2"/>
        <v>5.01666666666667</v>
      </c>
      <c r="I65">
        <f t="shared" si="2"/>
        <v>5.123</v>
      </c>
    </row>
    <row r="66" spans="1:9">
      <c r="A66">
        <f t="shared" ref="A66:I66" si="3">AVERAGE(A18,A38,A58)</f>
        <v>27.3896666666667</v>
      </c>
      <c r="B66">
        <f t="shared" si="3"/>
        <v>20.383</v>
      </c>
      <c r="C66">
        <f t="shared" si="3"/>
        <v>17.4183333333333</v>
      </c>
      <c r="D66">
        <f t="shared" si="3"/>
        <v>11.1576666666667</v>
      </c>
      <c r="E66">
        <f t="shared" si="3"/>
        <v>12.9126666666667</v>
      </c>
      <c r="F66">
        <f t="shared" si="3"/>
        <v>11.872</v>
      </c>
      <c r="G66">
        <f t="shared" si="3"/>
        <v>8.78366666666667</v>
      </c>
      <c r="H66">
        <f t="shared" si="3"/>
        <v>7.52633333333333</v>
      </c>
      <c r="I66">
        <f t="shared" si="3"/>
        <v>7.90466666666667</v>
      </c>
    </row>
    <row r="67" spans="1:9">
      <c r="A67">
        <f t="shared" ref="A67:I67" si="4">AVERAGE(A61,A41,A21)</f>
        <v>5.32166666666667</v>
      </c>
      <c r="B67">
        <f t="shared" si="4"/>
        <v>4.21083333333333</v>
      </c>
      <c r="C67">
        <f t="shared" si="4"/>
        <v>3.79333333333333</v>
      </c>
      <c r="D67">
        <f t="shared" si="4"/>
        <v>3.58583333333333</v>
      </c>
      <c r="E67">
        <f t="shared" si="4"/>
        <v>3.6625</v>
      </c>
      <c r="F67">
        <f t="shared" si="4"/>
        <v>3.68583333333333</v>
      </c>
      <c r="G67">
        <f t="shared" si="4"/>
        <v>3.68333333333333</v>
      </c>
      <c r="H67">
        <f t="shared" si="4"/>
        <v>3.77889</v>
      </c>
      <c r="I67">
        <f t="shared" si="4"/>
        <v>3.81166666666667</v>
      </c>
    </row>
    <row r="68" spans="1:9">
      <c r="A68" s="6">
        <f t="shared" ref="A68:I68" si="5">(((A49-A63)^2+(A29-A63)^2+(A9-A63)^2)/3)^(1/2)</f>
        <v>0.0231939129945769</v>
      </c>
      <c r="B68" s="6">
        <f t="shared" si="5"/>
        <v>0.0126059624340584</v>
      </c>
      <c r="C68" s="6">
        <f t="shared" si="5"/>
        <v>0.143556675064434</v>
      </c>
      <c r="D68" s="6">
        <f t="shared" si="5"/>
        <v>0.0184550920404702</v>
      </c>
      <c r="E68" s="6">
        <f t="shared" si="5"/>
        <v>0.0550630807952722</v>
      </c>
      <c r="F68" s="6">
        <f t="shared" si="5"/>
        <v>0.0483458252822539</v>
      </c>
      <c r="G68" s="6">
        <f t="shared" si="5"/>
        <v>0.0119905740757758</v>
      </c>
      <c r="H68" s="6">
        <f t="shared" si="5"/>
        <v>0.0666165960303186</v>
      </c>
      <c r="I68" s="6">
        <f t="shared" si="5"/>
        <v>0.09374210805301</v>
      </c>
    </row>
    <row r="69" spans="1:9">
      <c r="A69">
        <f t="shared" ref="A69:I69" si="6">(((A56-A64)^2+(A36-A64)^2+(A16-A64)^2)/3)^(1/2)</f>
        <v>0.510290331303879</v>
      </c>
      <c r="B69">
        <f t="shared" si="6"/>
        <v>0.114837082667384</v>
      </c>
      <c r="C69">
        <f t="shared" si="6"/>
        <v>0.409993766890289</v>
      </c>
      <c r="D69">
        <f t="shared" si="6"/>
        <v>0.111702979170457</v>
      </c>
      <c r="E69">
        <f t="shared" si="6"/>
        <v>0.0159234278833281</v>
      </c>
      <c r="F69">
        <f t="shared" si="6"/>
        <v>0.114841920336899</v>
      </c>
      <c r="G69">
        <f t="shared" si="6"/>
        <v>0.0816863921756047</v>
      </c>
      <c r="H69">
        <f t="shared" si="6"/>
        <v>0.18331030158359</v>
      </c>
      <c r="I69">
        <f t="shared" si="6"/>
        <v>0.162680327295248</v>
      </c>
    </row>
    <row r="70" spans="1:9">
      <c r="A70">
        <f t="shared" ref="A70:I70" si="7">(((A57-A65)^2+(A37-A65)^2+(A17-A65)^2)/3)^(1/2)</f>
        <v>0.540858782143936</v>
      </c>
      <c r="B70">
        <f t="shared" si="7"/>
        <v>0.761438258969316</v>
      </c>
      <c r="C70">
        <f t="shared" si="7"/>
        <v>0.805551984666415</v>
      </c>
      <c r="D70">
        <f t="shared" si="7"/>
        <v>0.218412962578283</v>
      </c>
      <c r="E70">
        <f t="shared" si="7"/>
        <v>0.0736070648783117</v>
      </c>
      <c r="F70">
        <f t="shared" si="7"/>
        <v>0.148374151687175</v>
      </c>
      <c r="G70">
        <f t="shared" si="7"/>
        <v>0.233639798740616</v>
      </c>
      <c r="H70">
        <f t="shared" si="7"/>
        <v>0.220369891067017</v>
      </c>
      <c r="I70">
        <f t="shared" si="7"/>
        <v>0.185608907832212</v>
      </c>
    </row>
    <row r="71" spans="1:9">
      <c r="A71">
        <f t="shared" ref="A71:I71" si="8">(((A58-A66)^2+(A38-A66)^2+(A18-A66)^2)/3)^(1/2)</f>
        <v>0.407974127719993</v>
      </c>
      <c r="B71">
        <f t="shared" si="8"/>
        <v>1.04000993584997</v>
      </c>
      <c r="C71">
        <f t="shared" si="8"/>
        <v>3.50815833292753</v>
      </c>
      <c r="D71">
        <f t="shared" si="8"/>
        <v>1.43346022694117</v>
      </c>
      <c r="E71">
        <f t="shared" si="8"/>
        <v>3.36195353262884</v>
      </c>
      <c r="F71">
        <f t="shared" si="8"/>
        <v>2.61619278086816</v>
      </c>
      <c r="G71">
        <f t="shared" si="8"/>
        <v>1.48163520776502</v>
      </c>
      <c r="H71">
        <f t="shared" si="8"/>
        <v>1.05772911886214</v>
      </c>
      <c r="I71">
        <f t="shared" si="8"/>
        <v>2.5967119379879</v>
      </c>
    </row>
    <row r="72" spans="1:9">
      <c r="A72" s="6">
        <f t="shared" ref="A72:I72" si="9">(((A61-A67)^2+(A41-A67)^2+(A21-A67)^2)/3)^(1/2)</f>
        <v>0.047184625556307</v>
      </c>
      <c r="B72" s="6">
        <f t="shared" si="9"/>
        <v>0.0274114736723308</v>
      </c>
      <c r="C72" s="6">
        <f t="shared" si="9"/>
        <v>0.493124955992112</v>
      </c>
      <c r="D72" s="6">
        <f t="shared" si="9"/>
        <v>0.0755351279574978</v>
      </c>
      <c r="E72" s="6">
        <f t="shared" si="9"/>
        <v>0.0220794021658196</v>
      </c>
      <c r="F72" s="6">
        <f t="shared" si="9"/>
        <v>0.0797478665684682</v>
      </c>
      <c r="G72" s="6">
        <f t="shared" si="9"/>
        <v>0.146491372518051</v>
      </c>
      <c r="H72" s="6">
        <f t="shared" si="9"/>
        <v>0.165670549183211</v>
      </c>
      <c r="I72" s="6">
        <f t="shared" si="9"/>
        <v>0.195973354197849</v>
      </c>
    </row>
    <row r="74" spans="1:9">
      <c r="A74">
        <v>1.47317</v>
      </c>
      <c r="B74">
        <v>1.93340333333333</v>
      </c>
      <c r="C74">
        <v>2.34227333333333</v>
      </c>
      <c r="D74">
        <v>2.34606333333333</v>
      </c>
      <c r="E74">
        <v>2.49602</v>
      </c>
      <c r="F74">
        <v>2.78800666666667</v>
      </c>
      <c r="G74" s="6"/>
      <c r="H74">
        <v>3.06208</v>
      </c>
      <c r="I74">
        <v>3.06108333333333</v>
      </c>
    </row>
    <row r="75" spans="1:9">
      <c r="A75">
        <v>0.0231939129945769</v>
      </c>
      <c r="B75">
        <v>0.0126059624340584</v>
      </c>
      <c r="C75">
        <v>0.143556675064434</v>
      </c>
      <c r="D75">
        <v>0.0184550920404702</v>
      </c>
      <c r="E75">
        <v>0.0550630807952722</v>
      </c>
      <c r="F75" s="6">
        <v>0.0483458252822539</v>
      </c>
      <c r="G75" s="6"/>
      <c r="H75" s="6">
        <v>0.0666165960303186</v>
      </c>
      <c r="I75" s="6">
        <v>0.09374210805301</v>
      </c>
    </row>
    <row r="80" s="5" customFormat="1" spans="1:9">
      <c r="A80" s="5">
        <v>16</v>
      </c>
      <c r="B80" s="5">
        <v>32</v>
      </c>
      <c r="C80" s="5">
        <v>64</v>
      </c>
      <c r="D80" s="5">
        <v>128</v>
      </c>
      <c r="E80" s="5">
        <v>256</v>
      </c>
      <c r="F80" s="5">
        <v>512</v>
      </c>
      <c r="G80" s="5">
        <v>1024</v>
      </c>
      <c r="H80" s="5">
        <v>2048</v>
      </c>
      <c r="I80" s="5">
        <v>4096</v>
      </c>
    </row>
    <row r="81" customFormat="1" spans="7:9">
      <c r="G81" t="s">
        <v>6496</v>
      </c>
      <c r="H81" t="s">
        <v>6497</v>
      </c>
      <c r="I81" t="s">
        <v>6544</v>
      </c>
    </row>
    <row r="82" spans="1:9">
      <c r="A82" t="s">
        <v>42</v>
      </c>
      <c r="B82" t="s">
        <v>42</v>
      </c>
      <c r="C82" t="s">
        <v>42</v>
      </c>
      <c r="E82" t="s">
        <v>42</v>
      </c>
      <c r="F82" t="s">
        <v>42</v>
      </c>
      <c r="G82" t="s">
        <v>42</v>
      </c>
      <c r="H82" t="s">
        <v>42</v>
      </c>
      <c r="I82" t="s">
        <v>42</v>
      </c>
    </row>
    <row r="83" spans="1:9">
      <c r="A83" t="s">
        <v>43</v>
      </c>
      <c r="B83" t="s">
        <v>43</v>
      </c>
      <c r="C83" t="s">
        <v>43</v>
      </c>
      <c r="E83" t="s">
        <v>43</v>
      </c>
      <c r="F83" t="s">
        <v>43</v>
      </c>
      <c r="G83" t="s">
        <v>43</v>
      </c>
      <c r="H83" t="s">
        <v>44</v>
      </c>
      <c r="I83" t="s">
        <v>43</v>
      </c>
    </row>
    <row r="84" spans="1:9">
      <c r="A84" t="s">
        <v>44</v>
      </c>
      <c r="B84" t="s">
        <v>44</v>
      </c>
      <c r="C84" t="s">
        <v>44</v>
      </c>
      <c r="E84" t="s">
        <v>44</v>
      </c>
      <c r="F84" t="s">
        <v>44</v>
      </c>
      <c r="G84" t="s">
        <v>44</v>
      </c>
      <c r="H84" t="s">
        <v>45</v>
      </c>
      <c r="I84" t="s">
        <v>44</v>
      </c>
    </row>
    <row r="85" spans="1:9">
      <c r="A85" t="s">
        <v>108</v>
      </c>
      <c r="B85" t="s">
        <v>109</v>
      </c>
      <c r="C85" t="s">
        <v>110</v>
      </c>
      <c r="D85" t="s">
        <v>111</v>
      </c>
      <c r="E85" t="s">
        <v>112</v>
      </c>
      <c r="F85" t="s">
        <v>113</v>
      </c>
      <c r="G85" t="s">
        <v>6636</v>
      </c>
      <c r="H85" t="s">
        <v>6637</v>
      </c>
      <c r="I85" t="s">
        <v>6638</v>
      </c>
    </row>
    <row r="86" spans="1:9">
      <c r="A86">
        <v>2276.88</v>
      </c>
      <c r="B86">
        <v>2996.9</v>
      </c>
      <c r="C86">
        <v>3735.94</v>
      </c>
      <c r="D86">
        <v>4420.87</v>
      </c>
      <c r="E86">
        <v>4552.54</v>
      </c>
      <c r="F86">
        <v>4616.06</v>
      </c>
      <c r="G86">
        <v>4712.2</v>
      </c>
      <c r="H86">
        <v>4517.72</v>
      </c>
      <c r="I86" t="s">
        <v>6639</v>
      </c>
    </row>
    <row r="87" spans="1:9">
      <c r="A87">
        <v>1.53843</v>
      </c>
      <c r="B87">
        <v>2.02493</v>
      </c>
      <c r="C87">
        <v>2.52428</v>
      </c>
      <c r="D87">
        <v>2.98708</v>
      </c>
      <c r="E87">
        <v>3.07604</v>
      </c>
      <c r="F87">
        <v>3.11896</v>
      </c>
      <c r="G87">
        <v>3.14987</v>
      </c>
      <c r="H87">
        <v>3.01987</v>
      </c>
      <c r="I87">
        <v>3.11658</v>
      </c>
    </row>
    <row r="88" spans="1:9">
      <c r="A88" t="s">
        <v>127</v>
      </c>
      <c r="B88" t="s">
        <v>128</v>
      </c>
      <c r="C88" t="s">
        <v>129</v>
      </c>
      <c r="D88" t="s">
        <v>130</v>
      </c>
      <c r="E88" t="s">
        <v>131</v>
      </c>
      <c r="F88" t="s">
        <v>132</v>
      </c>
      <c r="G88" t="s">
        <v>6640</v>
      </c>
      <c r="H88" t="s">
        <v>5852</v>
      </c>
      <c r="I88" t="s">
        <v>6641</v>
      </c>
    </row>
    <row r="89" spans="1:9">
      <c r="A89" t="s">
        <v>146</v>
      </c>
      <c r="B89" t="s">
        <v>147</v>
      </c>
      <c r="C89" t="s">
        <v>148</v>
      </c>
      <c r="D89" t="s">
        <v>149</v>
      </c>
      <c r="E89" t="s">
        <v>150</v>
      </c>
      <c r="F89" t="s">
        <v>151</v>
      </c>
      <c r="G89" t="s">
        <v>6642</v>
      </c>
      <c r="H89" t="s">
        <v>6643</v>
      </c>
      <c r="I89" t="s">
        <v>6644</v>
      </c>
    </row>
    <row r="90" spans="1:9">
      <c r="A90" t="s">
        <v>165</v>
      </c>
      <c r="B90" t="s">
        <v>166</v>
      </c>
      <c r="C90" t="s">
        <v>167</v>
      </c>
      <c r="D90" t="s">
        <v>168</v>
      </c>
      <c r="E90" t="s">
        <v>169</v>
      </c>
      <c r="F90" t="s">
        <v>170</v>
      </c>
      <c r="G90" t="s">
        <v>6645</v>
      </c>
      <c r="H90" t="s">
        <v>6646</v>
      </c>
      <c r="I90" t="s">
        <v>6647</v>
      </c>
    </row>
    <row r="91" customFormat="1"/>
    <row r="92" customFormat="1"/>
    <row r="93" customFormat="1"/>
    <row r="94" spans="1:9">
      <c r="A94">
        <v>4.621</v>
      </c>
      <c r="B94">
        <v>4.828</v>
      </c>
      <c r="C94">
        <v>4.835</v>
      </c>
      <c r="D94">
        <v>4.792</v>
      </c>
      <c r="E94">
        <v>4.801</v>
      </c>
      <c r="F94">
        <v>4.628</v>
      </c>
      <c r="G94">
        <v>4.852</v>
      </c>
      <c r="H94">
        <v>4.754</v>
      </c>
      <c r="I94">
        <v>4.839</v>
      </c>
    </row>
    <row r="95" spans="1:9">
      <c r="A95">
        <v>4.708</v>
      </c>
      <c r="B95">
        <v>15.147</v>
      </c>
      <c r="C95">
        <v>5.037</v>
      </c>
      <c r="D95">
        <v>4.877</v>
      </c>
      <c r="E95">
        <v>4.971</v>
      </c>
      <c r="F95">
        <v>4.715</v>
      </c>
      <c r="G95">
        <v>4.987</v>
      </c>
      <c r="H95">
        <v>4.871</v>
      </c>
      <c r="I95">
        <v>4.962</v>
      </c>
    </row>
    <row r="96" spans="1:9">
      <c r="A96">
        <v>20.95</v>
      </c>
      <c r="B96">
        <v>22.101</v>
      </c>
      <c r="C96">
        <v>10.778</v>
      </c>
      <c r="D96">
        <v>5.014</v>
      </c>
      <c r="E96">
        <v>5.781</v>
      </c>
      <c r="F96">
        <v>5.041</v>
      </c>
      <c r="G96">
        <v>6.239</v>
      </c>
      <c r="H96">
        <v>5.456</v>
      </c>
      <c r="I96">
        <v>8.049</v>
      </c>
    </row>
    <row r="97" spans="1:9">
      <c r="A97" t="s">
        <v>222</v>
      </c>
      <c r="B97" t="s">
        <v>223</v>
      </c>
      <c r="C97" t="s">
        <v>224</v>
      </c>
      <c r="D97" t="s">
        <v>225</v>
      </c>
      <c r="E97" t="s">
        <v>226</v>
      </c>
      <c r="F97" t="s">
        <v>227</v>
      </c>
      <c r="G97" t="s">
        <v>6648</v>
      </c>
      <c r="H97" t="s">
        <v>6649</v>
      </c>
      <c r="I97" t="s">
        <v>6650</v>
      </c>
    </row>
    <row r="98" spans="1:9">
      <c r="A98" t="s">
        <v>238</v>
      </c>
      <c r="B98" t="s">
        <v>238</v>
      </c>
      <c r="C98" t="s">
        <v>238</v>
      </c>
      <c r="D98" t="s">
        <v>238</v>
      </c>
      <c r="E98" t="s">
        <v>238</v>
      </c>
      <c r="F98" t="s">
        <v>238</v>
      </c>
      <c r="G98" t="s">
        <v>238</v>
      </c>
      <c r="H98" t="s">
        <v>238</v>
      </c>
      <c r="I98" t="s">
        <v>238</v>
      </c>
    </row>
    <row r="99" spans="1:9">
      <c r="A99">
        <v>3.64</v>
      </c>
      <c r="B99">
        <v>4.26</v>
      </c>
      <c r="C99">
        <v>3.91333</v>
      </c>
      <c r="D99">
        <v>3.76</v>
      </c>
      <c r="E99">
        <v>3.7</v>
      </c>
      <c r="F99">
        <v>3.62667</v>
      </c>
      <c r="G99">
        <v>3.87</v>
      </c>
      <c r="H99">
        <v>3.64667</v>
      </c>
      <c r="I99">
        <v>3.94333</v>
      </c>
    </row>
    <row r="100" spans="1:9">
      <c r="A100" t="s">
        <v>97</v>
      </c>
      <c r="B100" t="s">
        <v>97</v>
      </c>
      <c r="C100" t="s">
        <v>97</v>
      </c>
      <c r="D100" t="s">
        <v>97</v>
      </c>
      <c r="E100" t="s">
        <v>97</v>
      </c>
      <c r="F100" t="s">
        <v>97</v>
      </c>
      <c r="G100" t="s">
        <v>97</v>
      </c>
      <c r="H100" t="s">
        <v>97</v>
      </c>
      <c r="I100" t="s">
        <v>97</v>
      </c>
    </row>
    <row r="101" customFormat="1" spans="7:9">
      <c r="G101" t="s">
        <v>6496</v>
      </c>
      <c r="H101" t="s">
        <v>6497</v>
      </c>
      <c r="I101" t="s">
        <v>6544</v>
      </c>
    </row>
    <row r="102" spans="1:9">
      <c r="A102" t="s">
        <v>42</v>
      </c>
      <c r="B102" t="s">
        <v>42</v>
      </c>
      <c r="C102" t="s">
        <v>42</v>
      </c>
      <c r="E102" t="s">
        <v>42</v>
      </c>
      <c r="F102" t="s">
        <v>42</v>
      </c>
      <c r="G102" t="s">
        <v>42</v>
      </c>
      <c r="H102" t="s">
        <v>42</v>
      </c>
      <c r="I102" t="s">
        <v>42</v>
      </c>
    </row>
    <row r="103" spans="1:9">
      <c r="A103" t="s">
        <v>43</v>
      </c>
      <c r="B103" t="s">
        <v>43</v>
      </c>
      <c r="C103" t="s">
        <v>43</v>
      </c>
      <c r="D103" t="s">
        <v>43</v>
      </c>
      <c r="E103" t="s">
        <v>43</v>
      </c>
      <c r="F103" t="s">
        <v>43</v>
      </c>
      <c r="G103" t="s">
        <v>43</v>
      </c>
      <c r="H103" t="s">
        <v>43</v>
      </c>
      <c r="I103" t="s">
        <v>43</v>
      </c>
    </row>
    <row r="104" spans="1:9">
      <c r="A104" t="s">
        <v>44</v>
      </c>
      <c r="B104" t="s">
        <v>44</v>
      </c>
      <c r="C104" t="s">
        <v>44</v>
      </c>
      <c r="D104" t="s">
        <v>44</v>
      </c>
      <c r="E104" t="s">
        <v>44</v>
      </c>
      <c r="F104" t="s">
        <v>44</v>
      </c>
      <c r="G104" t="s">
        <v>44</v>
      </c>
      <c r="H104" t="s">
        <v>44</v>
      </c>
      <c r="I104" t="s">
        <v>44</v>
      </c>
    </row>
    <row r="105" spans="1:9">
      <c r="A105" t="s">
        <v>248</v>
      </c>
      <c r="B105" t="s">
        <v>249</v>
      </c>
      <c r="C105" t="s">
        <v>250</v>
      </c>
      <c r="D105" t="s">
        <v>251</v>
      </c>
      <c r="E105" t="s">
        <v>252</v>
      </c>
      <c r="F105" t="s">
        <v>253</v>
      </c>
      <c r="G105" t="s">
        <v>6651</v>
      </c>
      <c r="H105" t="s">
        <v>6652</v>
      </c>
      <c r="I105" t="s">
        <v>6653</v>
      </c>
    </row>
    <row r="106" spans="1:9">
      <c r="A106">
        <v>2252.65</v>
      </c>
      <c r="B106">
        <v>3028.62</v>
      </c>
      <c r="C106">
        <v>4163.53</v>
      </c>
      <c r="D106">
        <v>4265.02</v>
      </c>
      <c r="E106">
        <v>4474.13</v>
      </c>
      <c r="F106">
        <v>4432.91</v>
      </c>
      <c r="G106">
        <v>4348.8</v>
      </c>
      <c r="H106">
        <v>4655.31</v>
      </c>
      <c r="I106">
        <v>4537.84</v>
      </c>
    </row>
    <row r="107" spans="1:9">
      <c r="A107">
        <v>1.52206</v>
      </c>
      <c r="B107">
        <v>2.04637</v>
      </c>
      <c r="C107">
        <v>2.8132</v>
      </c>
      <c r="D107">
        <v>2.88177</v>
      </c>
      <c r="E107">
        <v>3.02306</v>
      </c>
      <c r="F107">
        <v>2.99521</v>
      </c>
      <c r="G107">
        <v>2.90695</v>
      </c>
      <c r="H107">
        <v>3.11184</v>
      </c>
      <c r="I107">
        <v>3.03332</v>
      </c>
    </row>
    <row r="108" spans="1:9">
      <c r="A108" t="s">
        <v>266</v>
      </c>
      <c r="B108" t="s">
        <v>267</v>
      </c>
      <c r="C108" t="s">
        <v>268</v>
      </c>
      <c r="D108" t="s">
        <v>269</v>
      </c>
      <c r="E108" t="s">
        <v>270</v>
      </c>
      <c r="F108" t="s">
        <v>271</v>
      </c>
      <c r="G108" t="s">
        <v>6654</v>
      </c>
      <c r="H108" t="s">
        <v>6655</v>
      </c>
      <c r="I108" t="s">
        <v>131</v>
      </c>
    </row>
    <row r="109" spans="1:9">
      <c r="A109" t="s">
        <v>284</v>
      </c>
      <c r="B109" t="s">
        <v>285</v>
      </c>
      <c r="C109" t="s">
        <v>286</v>
      </c>
      <c r="D109" t="s">
        <v>287</v>
      </c>
      <c r="E109" t="s">
        <v>288</v>
      </c>
      <c r="F109" t="s">
        <v>289</v>
      </c>
      <c r="G109" t="s">
        <v>6656</v>
      </c>
      <c r="H109" t="s">
        <v>6657</v>
      </c>
      <c r="I109" t="s">
        <v>6658</v>
      </c>
    </row>
    <row r="110" spans="1:9">
      <c r="A110" t="s">
        <v>302</v>
      </c>
      <c r="B110" t="s">
        <v>303</v>
      </c>
      <c r="C110" t="s">
        <v>304</v>
      </c>
      <c r="D110" t="s">
        <v>305</v>
      </c>
      <c r="E110" t="s">
        <v>306</v>
      </c>
      <c r="F110" t="s">
        <v>307</v>
      </c>
      <c r="G110" t="s">
        <v>6659</v>
      </c>
      <c r="H110" t="s">
        <v>6660</v>
      </c>
      <c r="I110" t="s">
        <v>6661</v>
      </c>
    </row>
    <row r="111" customFormat="1"/>
    <row r="112" customFormat="1"/>
    <row r="113" customFormat="1"/>
    <row r="114" spans="1:9">
      <c r="A114">
        <v>4.618</v>
      </c>
      <c r="B114">
        <v>5.119</v>
      </c>
      <c r="C114">
        <v>4.772</v>
      </c>
      <c r="D114">
        <v>4.502</v>
      </c>
      <c r="E114">
        <v>4.784</v>
      </c>
      <c r="F114">
        <v>4.804</v>
      </c>
      <c r="G114">
        <v>4.872</v>
      </c>
      <c r="H114">
        <v>4.768</v>
      </c>
      <c r="I114">
        <v>4.801</v>
      </c>
    </row>
    <row r="115" spans="1:9">
      <c r="A115">
        <v>4.939</v>
      </c>
      <c r="B115">
        <v>14.312</v>
      </c>
      <c r="C115">
        <v>4.897</v>
      </c>
      <c r="D115">
        <v>4.684</v>
      </c>
      <c r="E115">
        <v>4.884</v>
      </c>
      <c r="F115">
        <v>4.978</v>
      </c>
      <c r="G115">
        <v>5.005</v>
      </c>
      <c r="H115">
        <v>4.87</v>
      </c>
      <c r="I115">
        <v>4.905</v>
      </c>
    </row>
    <row r="116" spans="1:9">
      <c r="A116">
        <v>5.372</v>
      </c>
      <c r="B116">
        <v>18.532</v>
      </c>
      <c r="C116">
        <v>6.853</v>
      </c>
      <c r="D116">
        <v>7.51</v>
      </c>
      <c r="E116">
        <v>5.122</v>
      </c>
      <c r="F116">
        <v>5.145</v>
      </c>
      <c r="G116">
        <v>5.451</v>
      </c>
      <c r="H116">
        <v>5.519</v>
      </c>
      <c r="I116">
        <v>5.359</v>
      </c>
    </row>
    <row r="117" spans="1:9">
      <c r="A117" t="s">
        <v>356</v>
      </c>
      <c r="B117" t="s">
        <v>357</v>
      </c>
      <c r="C117" t="s">
        <v>227</v>
      </c>
      <c r="D117" t="s">
        <v>358</v>
      </c>
      <c r="E117" t="s">
        <v>359</v>
      </c>
      <c r="F117" t="s">
        <v>360</v>
      </c>
      <c r="G117" t="s">
        <v>6662</v>
      </c>
      <c r="H117" t="s">
        <v>6663</v>
      </c>
      <c r="I117" t="s">
        <v>6664</v>
      </c>
    </row>
    <row r="118" spans="1:9">
      <c r="A118" t="s">
        <v>238</v>
      </c>
      <c r="B118" t="s">
        <v>238</v>
      </c>
      <c r="C118" t="s">
        <v>238</v>
      </c>
      <c r="D118" t="s">
        <v>238</v>
      </c>
      <c r="E118" t="s">
        <v>238</v>
      </c>
      <c r="F118" t="s">
        <v>238</v>
      </c>
      <c r="G118" t="s">
        <v>238</v>
      </c>
      <c r="H118" t="s">
        <v>238</v>
      </c>
      <c r="I118" t="s">
        <v>238</v>
      </c>
    </row>
    <row r="119" spans="1:9">
      <c r="A119">
        <v>3.49333</v>
      </c>
      <c r="B119">
        <v>4.32</v>
      </c>
      <c r="C119">
        <v>3.62667</v>
      </c>
      <c r="D119">
        <v>3.68667</v>
      </c>
      <c r="E119">
        <v>3.69333</v>
      </c>
      <c r="F119">
        <v>3.78667</v>
      </c>
      <c r="G119">
        <v>3.83333</v>
      </c>
      <c r="H119">
        <v>3.84667</v>
      </c>
      <c r="I119">
        <v>3.88333</v>
      </c>
    </row>
    <row r="120" spans="1:9">
      <c r="A120" t="s">
        <v>97</v>
      </c>
      <c r="B120" t="s">
        <v>97</v>
      </c>
      <c r="C120" t="s">
        <v>375</v>
      </c>
      <c r="D120" t="s">
        <v>97</v>
      </c>
      <c r="E120" t="s">
        <v>97</v>
      </c>
      <c r="F120" t="s">
        <v>97</v>
      </c>
      <c r="G120" t="s">
        <v>97</v>
      </c>
      <c r="H120" t="s">
        <v>375</v>
      </c>
      <c r="I120" t="s">
        <v>97</v>
      </c>
    </row>
    <row r="121" customFormat="1" spans="7:9">
      <c r="G121" t="s">
        <v>6496</v>
      </c>
      <c r="H121" t="s">
        <v>6497</v>
      </c>
      <c r="I121" t="s">
        <v>6544</v>
      </c>
    </row>
    <row r="122" spans="1:9">
      <c r="A122" t="s">
        <v>42</v>
      </c>
      <c r="B122" t="s">
        <v>42</v>
      </c>
      <c r="C122" t="s">
        <v>42</v>
      </c>
      <c r="D122" t="s">
        <v>42</v>
      </c>
      <c r="E122" t="s">
        <v>42</v>
      </c>
      <c r="F122" t="s">
        <v>42</v>
      </c>
      <c r="G122" t="s">
        <v>42</v>
      </c>
      <c r="H122" t="s">
        <v>42</v>
      </c>
      <c r="I122" t="s">
        <v>42</v>
      </c>
    </row>
    <row r="123" spans="1:9">
      <c r="A123" t="s">
        <v>43</v>
      </c>
      <c r="B123" t="s">
        <v>43</v>
      </c>
      <c r="C123" t="s">
        <v>43</v>
      </c>
      <c r="D123" t="s">
        <v>43</v>
      </c>
      <c r="E123" t="s">
        <v>43</v>
      </c>
      <c r="F123" t="s">
        <v>43</v>
      </c>
      <c r="G123" t="s">
        <v>43</v>
      </c>
      <c r="H123" t="s">
        <v>43</v>
      </c>
      <c r="I123" t="s">
        <v>43</v>
      </c>
    </row>
    <row r="124" spans="1:9">
      <c r="A124" t="s">
        <v>44</v>
      </c>
      <c r="B124" t="s">
        <v>44</v>
      </c>
      <c r="C124" t="s">
        <v>44</v>
      </c>
      <c r="D124" t="s">
        <v>44</v>
      </c>
      <c r="E124" t="s">
        <v>44</v>
      </c>
      <c r="F124" t="s">
        <v>44</v>
      </c>
      <c r="G124" t="s">
        <v>44</v>
      </c>
      <c r="H124" t="s">
        <v>44</v>
      </c>
      <c r="I124" t="s">
        <v>44</v>
      </c>
    </row>
    <row r="125" spans="1:9">
      <c r="A125" t="s">
        <v>378</v>
      </c>
      <c r="B125" t="s">
        <v>379</v>
      </c>
      <c r="C125" t="s">
        <v>380</v>
      </c>
      <c r="D125" t="s">
        <v>381</v>
      </c>
      <c r="E125" t="s">
        <v>382</v>
      </c>
      <c r="F125" t="s">
        <v>383</v>
      </c>
      <c r="G125" t="s">
        <v>6665</v>
      </c>
      <c r="H125" t="s">
        <v>6666</v>
      </c>
      <c r="I125" t="s">
        <v>45</v>
      </c>
    </row>
    <row r="126" spans="1:9">
      <c r="A126">
        <v>2214.02</v>
      </c>
      <c r="B126">
        <v>2860.64</v>
      </c>
      <c r="C126">
        <v>3953.61</v>
      </c>
      <c r="D126">
        <v>4263.3</v>
      </c>
      <c r="E126">
        <v>4492.64</v>
      </c>
      <c r="F126">
        <v>4499.8</v>
      </c>
      <c r="G126">
        <v>4612.66</v>
      </c>
      <c r="H126">
        <v>4547.48</v>
      </c>
      <c r="I126" t="s">
        <v>6667</v>
      </c>
    </row>
    <row r="127" spans="1:9">
      <c r="A127">
        <v>1.49596</v>
      </c>
      <c r="B127">
        <v>1.93286</v>
      </c>
      <c r="C127">
        <v>2.67136</v>
      </c>
      <c r="D127">
        <v>2.88061</v>
      </c>
      <c r="E127">
        <v>3.03557</v>
      </c>
      <c r="F127">
        <v>3.04041</v>
      </c>
      <c r="G127">
        <v>3.08333</v>
      </c>
      <c r="H127">
        <v>3.03976</v>
      </c>
      <c r="I127">
        <v>3.0609</v>
      </c>
    </row>
    <row r="128" spans="1:9">
      <c r="A128" t="s">
        <v>396</v>
      </c>
      <c r="B128" t="s">
        <v>397</v>
      </c>
      <c r="C128" t="s">
        <v>398</v>
      </c>
      <c r="D128" t="s">
        <v>399</v>
      </c>
      <c r="E128" t="s">
        <v>400</v>
      </c>
      <c r="F128" t="s">
        <v>401</v>
      </c>
      <c r="G128" t="s">
        <v>6668</v>
      </c>
      <c r="H128" t="s">
        <v>6669</v>
      </c>
      <c r="I128" t="s">
        <v>6670</v>
      </c>
    </row>
    <row r="129" spans="1:9">
      <c r="A129" t="s">
        <v>414</v>
      </c>
      <c r="B129" t="s">
        <v>415</v>
      </c>
      <c r="C129" t="s">
        <v>416</v>
      </c>
      <c r="D129" t="s">
        <v>417</v>
      </c>
      <c r="E129" t="s">
        <v>418</v>
      </c>
      <c r="F129" t="s">
        <v>419</v>
      </c>
      <c r="G129" t="s">
        <v>6671</v>
      </c>
      <c r="H129" t="s">
        <v>6672</v>
      </c>
      <c r="I129" t="s">
        <v>6673</v>
      </c>
    </row>
    <row r="130" spans="1:9">
      <c r="A130" t="s">
        <v>432</v>
      </c>
      <c r="B130" t="s">
        <v>433</v>
      </c>
      <c r="C130" t="s">
        <v>434</v>
      </c>
      <c r="D130" t="s">
        <v>435</v>
      </c>
      <c r="E130" t="s">
        <v>436</v>
      </c>
      <c r="F130" t="s">
        <v>437</v>
      </c>
      <c r="G130" t="s">
        <v>6674</v>
      </c>
      <c r="H130" t="s">
        <v>6675</v>
      </c>
      <c r="I130" t="s">
        <v>6676</v>
      </c>
    </row>
    <row r="131" customFormat="1"/>
    <row r="132" customFormat="1"/>
    <row r="133" customFormat="1"/>
    <row r="134" spans="1:9">
      <c r="A134">
        <v>4.71</v>
      </c>
      <c r="B134">
        <v>5.684</v>
      </c>
      <c r="C134">
        <v>4.813</v>
      </c>
      <c r="D134">
        <v>4.626</v>
      </c>
      <c r="E134">
        <v>4.713</v>
      </c>
      <c r="F134">
        <v>4.547</v>
      </c>
      <c r="G134">
        <v>4.849</v>
      </c>
      <c r="H134">
        <v>4.731</v>
      </c>
      <c r="I134">
        <v>4.738</v>
      </c>
    </row>
    <row r="135" spans="1:9">
      <c r="A135">
        <v>4.848</v>
      </c>
      <c r="B135">
        <v>16.181</v>
      </c>
      <c r="C135">
        <v>4.961</v>
      </c>
      <c r="D135">
        <v>4.725</v>
      </c>
      <c r="E135">
        <v>4.841</v>
      </c>
      <c r="F135">
        <v>4.835</v>
      </c>
      <c r="G135">
        <v>4.984</v>
      </c>
      <c r="H135">
        <v>4.922</v>
      </c>
      <c r="I135">
        <v>4.951</v>
      </c>
    </row>
    <row r="136" spans="1:9">
      <c r="A136">
        <v>19.986</v>
      </c>
      <c r="B136">
        <v>20.442</v>
      </c>
      <c r="C136">
        <v>6.452</v>
      </c>
      <c r="D136">
        <v>11.474</v>
      </c>
      <c r="E136">
        <v>5.309</v>
      </c>
      <c r="F136">
        <v>5.146</v>
      </c>
      <c r="G136">
        <v>5.227</v>
      </c>
      <c r="H136">
        <v>6.2</v>
      </c>
      <c r="I136">
        <v>5.856</v>
      </c>
    </row>
    <row r="137" spans="1:9">
      <c r="A137" t="s">
        <v>486</v>
      </c>
      <c r="B137" t="s">
        <v>487</v>
      </c>
      <c r="C137" t="s">
        <v>219</v>
      </c>
      <c r="D137" t="s">
        <v>488</v>
      </c>
      <c r="E137" t="s">
        <v>489</v>
      </c>
      <c r="F137" t="s">
        <v>483</v>
      </c>
      <c r="G137" t="s">
        <v>6677</v>
      </c>
      <c r="H137" t="s">
        <v>6678</v>
      </c>
      <c r="I137" t="s">
        <v>6679</v>
      </c>
    </row>
    <row r="138" spans="1:9">
      <c r="A138" t="s">
        <v>238</v>
      </c>
      <c r="B138" t="s">
        <v>238</v>
      </c>
      <c r="C138" t="s">
        <v>238</v>
      </c>
      <c r="D138" t="s">
        <v>238</v>
      </c>
      <c r="E138" t="s">
        <v>238</v>
      </c>
      <c r="F138" t="s">
        <v>238</v>
      </c>
      <c r="G138" t="s">
        <v>238</v>
      </c>
      <c r="H138" t="s">
        <v>238</v>
      </c>
      <c r="I138" t="s">
        <v>238</v>
      </c>
    </row>
    <row r="139" spans="1:9">
      <c r="A139">
        <v>3.77333</v>
      </c>
      <c r="B139">
        <v>4.62667</v>
      </c>
      <c r="C139">
        <v>3.95333</v>
      </c>
      <c r="D139">
        <v>3.50667</v>
      </c>
      <c r="E139">
        <v>3.68</v>
      </c>
      <c r="F139">
        <v>3.71333</v>
      </c>
      <c r="G139">
        <v>3.79</v>
      </c>
      <c r="H139">
        <v>3.72333</v>
      </c>
      <c r="I139">
        <v>3.7</v>
      </c>
    </row>
    <row r="140" spans="1:9">
      <c r="A140" t="s">
        <v>97</v>
      </c>
      <c r="B140" t="s">
        <v>97</v>
      </c>
      <c r="C140" t="s">
        <v>97</v>
      </c>
      <c r="D140" t="s">
        <v>97</v>
      </c>
      <c r="E140" t="s">
        <v>97</v>
      </c>
      <c r="F140" t="s">
        <v>97</v>
      </c>
      <c r="G140" t="s">
        <v>244</v>
      </c>
      <c r="H140" t="s">
        <v>244</v>
      </c>
      <c r="I140" t="s">
        <v>97</v>
      </c>
    </row>
    <row r="141" spans="1:9">
      <c r="A141">
        <f t="shared" ref="A141:I141" si="10">AVERAGE(A87,A107,A127)</f>
        <v>1.51881666666667</v>
      </c>
      <c r="B141">
        <f t="shared" si="10"/>
        <v>2.00138666666667</v>
      </c>
      <c r="C141">
        <f t="shared" si="10"/>
        <v>2.66961333333333</v>
      </c>
      <c r="D141">
        <f t="shared" si="10"/>
        <v>2.91648666666667</v>
      </c>
      <c r="E141">
        <f t="shared" si="10"/>
        <v>3.04489</v>
      </c>
      <c r="F141">
        <f t="shared" si="10"/>
        <v>3.05152666666667</v>
      </c>
      <c r="G141">
        <f t="shared" si="10"/>
        <v>3.04671666666667</v>
      </c>
      <c r="H141">
        <f t="shared" si="10"/>
        <v>3.05715666666667</v>
      </c>
      <c r="I141">
        <f t="shared" si="10"/>
        <v>3.07026666666667</v>
      </c>
    </row>
    <row r="142" spans="1:9">
      <c r="A142">
        <f t="shared" ref="A142:I142" si="11">AVERAGE(A94,A114,A134)</f>
        <v>4.64966666666667</v>
      </c>
      <c r="B142">
        <f t="shared" si="11"/>
        <v>5.21033333333333</v>
      </c>
      <c r="C142">
        <f t="shared" si="11"/>
        <v>4.80666666666667</v>
      </c>
      <c r="D142">
        <f t="shared" si="11"/>
        <v>4.64</v>
      </c>
      <c r="E142">
        <f t="shared" si="11"/>
        <v>4.766</v>
      </c>
      <c r="F142">
        <f t="shared" si="11"/>
        <v>4.65966666666667</v>
      </c>
      <c r="G142">
        <f t="shared" si="11"/>
        <v>4.85766666666667</v>
      </c>
      <c r="H142">
        <f t="shared" si="11"/>
        <v>4.751</v>
      </c>
      <c r="I142">
        <f t="shared" si="11"/>
        <v>4.79266666666667</v>
      </c>
    </row>
    <row r="143" spans="1:9">
      <c r="A143">
        <f t="shared" ref="A143:I143" si="12">AVERAGE(A95,A115,A135)</f>
        <v>4.83166666666667</v>
      </c>
      <c r="B143">
        <f t="shared" si="12"/>
        <v>15.2133333333333</v>
      </c>
      <c r="C143">
        <f t="shared" si="12"/>
        <v>4.965</v>
      </c>
      <c r="D143">
        <f t="shared" si="12"/>
        <v>4.762</v>
      </c>
      <c r="E143">
        <f t="shared" si="12"/>
        <v>4.89866666666667</v>
      </c>
      <c r="F143">
        <f t="shared" si="12"/>
        <v>4.84266666666667</v>
      </c>
      <c r="G143">
        <f t="shared" si="12"/>
        <v>4.992</v>
      </c>
      <c r="H143">
        <f t="shared" si="12"/>
        <v>4.88766666666667</v>
      </c>
      <c r="I143">
        <f t="shared" si="12"/>
        <v>4.93933333333333</v>
      </c>
    </row>
    <row r="144" spans="1:9">
      <c r="A144">
        <f t="shared" ref="A144:I144" si="13">AVERAGE(A96,A116,A136)</f>
        <v>15.436</v>
      </c>
      <c r="B144">
        <f t="shared" si="13"/>
        <v>20.3583333333333</v>
      </c>
      <c r="C144">
        <f t="shared" si="13"/>
        <v>8.02766666666667</v>
      </c>
      <c r="D144">
        <f t="shared" si="13"/>
        <v>7.99933333333333</v>
      </c>
      <c r="E144">
        <f t="shared" si="13"/>
        <v>5.404</v>
      </c>
      <c r="F144">
        <f t="shared" si="13"/>
        <v>5.11066666666667</v>
      </c>
      <c r="G144">
        <f t="shared" si="13"/>
        <v>5.639</v>
      </c>
      <c r="H144">
        <f t="shared" si="13"/>
        <v>5.725</v>
      </c>
      <c r="I144">
        <f t="shared" si="13"/>
        <v>6.42133333333333</v>
      </c>
    </row>
    <row r="145" spans="1:9">
      <c r="A145">
        <f t="shared" ref="A145:I145" si="14">AVERAGE(A139,A119,A99)</f>
        <v>3.63555333333333</v>
      </c>
      <c r="B145">
        <f t="shared" si="14"/>
        <v>4.40222333333333</v>
      </c>
      <c r="C145">
        <f t="shared" si="14"/>
        <v>3.83111</v>
      </c>
      <c r="D145">
        <f t="shared" si="14"/>
        <v>3.65111333333333</v>
      </c>
      <c r="E145">
        <f t="shared" si="14"/>
        <v>3.69111</v>
      </c>
      <c r="F145">
        <f t="shared" si="14"/>
        <v>3.70889</v>
      </c>
      <c r="G145">
        <f t="shared" si="14"/>
        <v>3.83111</v>
      </c>
      <c r="H145">
        <f t="shared" si="14"/>
        <v>3.73889</v>
      </c>
      <c r="I145">
        <f t="shared" si="14"/>
        <v>3.84222</v>
      </c>
    </row>
    <row r="146" s="6" customFormat="1" spans="1:9">
      <c r="A146" s="6">
        <f t="shared" ref="A146:I146" si="15">(((A127-A141)^2+(A107-A141)^2+(A87-A141)^2)/3)^(1/2)</f>
        <v>0.0174893230921675</v>
      </c>
      <c r="B146" s="6">
        <f t="shared" si="15"/>
        <v>0.0492398648341858</v>
      </c>
      <c r="C146" s="6">
        <f t="shared" si="15"/>
        <v>0.117957562236971</v>
      </c>
      <c r="D146" s="6">
        <f t="shared" si="15"/>
        <v>0.0499192710505896</v>
      </c>
      <c r="E146" s="6">
        <f t="shared" si="15"/>
        <v>0.0226107186971135</v>
      </c>
      <c r="F146" s="6">
        <f t="shared" si="15"/>
        <v>0.0511286014759731</v>
      </c>
      <c r="G146" s="6">
        <f t="shared" si="15"/>
        <v>0.102495312846762</v>
      </c>
      <c r="H146" s="6">
        <f t="shared" si="15"/>
        <v>0.0395103634787409</v>
      </c>
      <c r="I146" s="6">
        <f t="shared" si="15"/>
        <v>0.0346300229409235</v>
      </c>
    </row>
    <row r="147" spans="1:9">
      <c r="A147">
        <f t="shared" ref="A147:I147" si="16">(((A134-A142)^2+(A114-A142)^2+(A94-A142)^2)/3)^(1/2)</f>
        <v>0.0426796855137844</v>
      </c>
      <c r="B147">
        <f t="shared" si="16"/>
        <v>0.355378045967327</v>
      </c>
      <c r="C147">
        <f t="shared" si="16"/>
        <v>0.0261066189989349</v>
      </c>
      <c r="D147">
        <f t="shared" si="16"/>
        <v>0.118805162626321</v>
      </c>
      <c r="E147">
        <f t="shared" si="16"/>
        <v>0.0381138644939957</v>
      </c>
      <c r="F147">
        <f t="shared" si="16"/>
        <v>0.107282596704012</v>
      </c>
      <c r="G147">
        <f t="shared" si="16"/>
        <v>0.0102089285540755</v>
      </c>
      <c r="H147">
        <f t="shared" si="16"/>
        <v>0.0152534149181967</v>
      </c>
      <c r="I147">
        <f t="shared" si="16"/>
        <v>0.0416519974177576</v>
      </c>
    </row>
    <row r="148" spans="1:9">
      <c r="A148">
        <f t="shared" ref="A148:I148" si="17">(((A135-A143)^2+(A115-A143)^2+(A95-A143)^2)/3)^(1/2)</f>
        <v>0.0950099410003441</v>
      </c>
      <c r="B148">
        <f t="shared" si="17"/>
        <v>0.764456379105804</v>
      </c>
      <c r="C148">
        <f t="shared" si="17"/>
        <v>0.057224703290333</v>
      </c>
      <c r="D148">
        <f t="shared" si="17"/>
        <v>0.0830220854150668</v>
      </c>
      <c r="E148">
        <f t="shared" si="17"/>
        <v>0.0540760780957922</v>
      </c>
      <c r="F148">
        <f t="shared" si="17"/>
        <v>0.107506072179926</v>
      </c>
      <c r="G148">
        <f t="shared" si="17"/>
        <v>0.00927361849549564</v>
      </c>
      <c r="H148">
        <f t="shared" si="17"/>
        <v>0.0242807651352988</v>
      </c>
      <c r="I148">
        <f t="shared" si="17"/>
        <v>0.024689178916188</v>
      </c>
    </row>
    <row r="149" spans="1:9">
      <c r="A149">
        <f t="shared" ref="A149:I149" si="18">(((A136-A144)^2+(A116-A144)^2+(A96-A144)^2)/3)^(1/2)</f>
        <v>7.1271965503041</v>
      </c>
      <c r="B149">
        <f t="shared" si="18"/>
        <v>1.45823873978928</v>
      </c>
      <c r="C149">
        <f t="shared" si="18"/>
        <v>1.95165747222429</v>
      </c>
      <c r="D149">
        <f t="shared" si="18"/>
        <v>2.65988537764736</v>
      </c>
      <c r="E149">
        <f t="shared" si="18"/>
        <v>0.277295269823823</v>
      </c>
      <c r="F149">
        <f t="shared" si="18"/>
        <v>0.0492634640366353</v>
      </c>
      <c r="G149">
        <f t="shared" si="18"/>
        <v>0.434007680423592</v>
      </c>
      <c r="H149">
        <f t="shared" si="18"/>
        <v>0.336859020956839</v>
      </c>
      <c r="I149">
        <f t="shared" si="18"/>
        <v>1.16868197365903</v>
      </c>
    </row>
    <row r="150" spans="1:16384">
      <c r="A150" s="6">
        <f t="shared" ref="A150:I150" si="19">(((A139-A145)^2+(A119-A145)^2+(A99-A145)^2)/3)^(1/2)</f>
        <v>0.11435275724218</v>
      </c>
      <c r="B150" s="6">
        <f t="shared" si="19"/>
        <v>0.160586901984218</v>
      </c>
      <c r="C150" s="6">
        <f t="shared" si="19"/>
        <v>0.145480319860339</v>
      </c>
      <c r="D150" s="6">
        <f t="shared" si="19"/>
        <v>0.106433796741866</v>
      </c>
      <c r="E150" s="6">
        <f t="shared" si="19"/>
        <v>0.00831449737907629</v>
      </c>
      <c r="F150" s="6">
        <f t="shared" si="19"/>
        <v>0.065395133356135</v>
      </c>
      <c r="G150" s="6">
        <f t="shared" si="19"/>
        <v>0.0326975666780675</v>
      </c>
      <c r="H150" s="6">
        <f t="shared" si="19"/>
        <v>0.0823876414680423</v>
      </c>
      <c r="I150" s="6">
        <f t="shared" si="19"/>
        <v>0.103504899400946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6"/>
      <c r="FB150" s="6"/>
      <c r="FC150" s="6"/>
      <c r="FD150" s="6"/>
      <c r="FE150" s="6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6"/>
      <c r="GC150" s="6"/>
      <c r="GD150" s="6"/>
      <c r="GE150" s="6"/>
      <c r="GF150" s="6"/>
      <c r="GG150" s="6"/>
      <c r="GH150" s="6"/>
      <c r="GI150" s="6"/>
      <c r="GJ150" s="6"/>
      <c r="GK150" s="6"/>
      <c r="GL150" s="6"/>
      <c r="GM150" s="6"/>
      <c r="GN150" s="6"/>
      <c r="GO150" s="6"/>
      <c r="GP150" s="6"/>
      <c r="GQ150" s="6"/>
      <c r="GR150" s="6"/>
      <c r="GS150" s="6"/>
      <c r="GT150" s="6"/>
      <c r="GU150" s="6"/>
      <c r="GV150" s="6"/>
      <c r="GW150" s="6"/>
      <c r="GX150" s="6"/>
      <c r="GY150" s="6"/>
      <c r="GZ150" s="6"/>
      <c r="HA150" s="6"/>
      <c r="HB150" s="6"/>
      <c r="HC150" s="6"/>
      <c r="HD150" s="6"/>
      <c r="HE150" s="6"/>
      <c r="HF150" s="6"/>
      <c r="HG150" s="6"/>
      <c r="HH150" s="6"/>
      <c r="HI150" s="6"/>
      <c r="HJ150" s="6"/>
      <c r="HK150" s="6"/>
      <c r="HL150" s="6"/>
      <c r="HM150" s="6"/>
      <c r="HN150" s="6"/>
      <c r="HO150" s="6"/>
      <c r="HP150" s="6"/>
      <c r="HQ150" s="6"/>
      <c r="HR150" s="6"/>
      <c r="HS150" s="6"/>
      <c r="HT150" s="6"/>
      <c r="HU150" s="6"/>
      <c r="HV150" s="6"/>
      <c r="HW150" s="6"/>
      <c r="HX150" s="6"/>
      <c r="HY150" s="6"/>
      <c r="HZ150" s="6"/>
      <c r="IA150" s="6"/>
      <c r="IB150" s="6"/>
      <c r="IC150" s="6"/>
      <c r="ID150" s="6"/>
      <c r="IE150" s="6"/>
      <c r="IF150" s="6"/>
      <c r="IG150" s="6"/>
      <c r="IH150" s="6"/>
      <c r="II150" s="6"/>
      <c r="IJ150" s="6"/>
      <c r="IK150" s="6"/>
      <c r="IL150" s="6"/>
      <c r="IM150" s="6"/>
      <c r="IN150" s="6"/>
      <c r="IO150" s="6"/>
      <c r="IP150" s="6"/>
      <c r="IQ150" s="6"/>
      <c r="IR150" s="6"/>
      <c r="IS150" s="6"/>
      <c r="IT150" s="6"/>
      <c r="IU150" s="6"/>
      <c r="IV150" s="6"/>
      <c r="IW150" s="6"/>
      <c r="IX150" s="6"/>
      <c r="IY150" s="6"/>
      <c r="IZ150" s="6"/>
      <c r="JA150" s="6"/>
      <c r="JB150" s="6"/>
      <c r="JC150" s="6"/>
      <c r="JD150" s="6"/>
      <c r="JE150" s="6"/>
      <c r="JF150" s="6"/>
      <c r="JG150" s="6"/>
      <c r="JH150" s="6"/>
      <c r="JI150" s="6"/>
      <c r="JJ150" s="6"/>
      <c r="JK150" s="6"/>
      <c r="JL150" s="6"/>
      <c r="JM150" s="6"/>
      <c r="JN150" s="6"/>
      <c r="JO150" s="6"/>
      <c r="JP150" s="6"/>
      <c r="JQ150" s="6"/>
      <c r="JR150" s="6"/>
      <c r="JS150" s="6"/>
      <c r="JT150" s="6"/>
      <c r="JU150" s="6"/>
      <c r="JV150" s="6"/>
      <c r="JW150" s="6"/>
      <c r="JX150" s="6"/>
      <c r="JY150" s="6"/>
      <c r="JZ150" s="6"/>
      <c r="KA150" s="6"/>
      <c r="KB150" s="6"/>
      <c r="KC150" s="6"/>
      <c r="KD150" s="6"/>
      <c r="KE150" s="6"/>
      <c r="KF150" s="6"/>
      <c r="KG150" s="6"/>
      <c r="KH150" s="6"/>
      <c r="KI150" s="6"/>
      <c r="KJ150" s="6"/>
      <c r="KK150" s="6"/>
      <c r="KL150" s="6"/>
      <c r="KM150" s="6"/>
      <c r="KN150" s="6"/>
      <c r="KO150" s="6"/>
      <c r="KP150" s="6"/>
      <c r="KQ150" s="6"/>
      <c r="KR150" s="6"/>
      <c r="KS150" s="6"/>
      <c r="KT150" s="6"/>
      <c r="KU150" s="6"/>
      <c r="KV150" s="6"/>
      <c r="KW150" s="6"/>
      <c r="KX150" s="6"/>
      <c r="KY150" s="6"/>
      <c r="KZ150" s="6"/>
      <c r="LA150" s="6"/>
      <c r="LB150" s="6"/>
      <c r="LC150" s="6"/>
      <c r="LD150" s="6"/>
      <c r="LE150" s="6"/>
      <c r="LF150" s="6"/>
      <c r="LG150" s="6"/>
      <c r="LH150" s="6"/>
      <c r="LI150" s="6"/>
      <c r="LJ150" s="6"/>
      <c r="LK150" s="6"/>
      <c r="LL150" s="6"/>
      <c r="LM150" s="6"/>
      <c r="LN150" s="6"/>
      <c r="LO150" s="6"/>
      <c r="LP150" s="6"/>
      <c r="LQ150" s="6"/>
      <c r="LR150" s="6"/>
      <c r="LS150" s="6"/>
      <c r="LT150" s="6"/>
      <c r="LU150" s="6"/>
      <c r="LV150" s="6"/>
      <c r="LW150" s="6"/>
      <c r="LX150" s="6"/>
      <c r="LY150" s="6"/>
      <c r="LZ150" s="6"/>
      <c r="MA150" s="6"/>
      <c r="MB150" s="6"/>
      <c r="MC150" s="6"/>
      <c r="MD150" s="6"/>
      <c r="ME150" s="6"/>
      <c r="MF150" s="6"/>
      <c r="MG150" s="6"/>
      <c r="MH150" s="6"/>
      <c r="MI150" s="6"/>
      <c r="MJ150" s="6"/>
      <c r="MK150" s="6"/>
      <c r="ML150" s="6"/>
      <c r="MM150" s="6"/>
      <c r="MN150" s="6"/>
      <c r="MO150" s="6"/>
      <c r="MP150" s="6"/>
      <c r="MQ150" s="6"/>
      <c r="MR150" s="6"/>
      <c r="MS150" s="6"/>
      <c r="MT150" s="6"/>
      <c r="MU150" s="6"/>
      <c r="MV150" s="6"/>
      <c r="MW150" s="6"/>
      <c r="MX150" s="6"/>
      <c r="MY150" s="6"/>
      <c r="MZ150" s="6"/>
      <c r="NA150" s="6"/>
      <c r="NB150" s="6"/>
      <c r="NC150" s="6"/>
      <c r="ND150" s="6"/>
      <c r="NE150" s="6"/>
      <c r="NF150" s="6"/>
      <c r="NG150" s="6"/>
      <c r="NH150" s="6"/>
      <c r="NI150" s="6"/>
      <c r="NJ150" s="6"/>
      <c r="NK150" s="6"/>
      <c r="NL150" s="6"/>
      <c r="NM150" s="6"/>
      <c r="NN150" s="6"/>
      <c r="NO150" s="6"/>
      <c r="NP150" s="6"/>
      <c r="NQ150" s="6"/>
      <c r="NR150" s="6"/>
      <c r="NS150" s="6"/>
      <c r="NT150" s="6"/>
      <c r="NU150" s="6"/>
      <c r="NV150" s="6"/>
      <c r="NW150" s="6"/>
      <c r="NX150" s="6"/>
      <c r="NY150" s="6"/>
      <c r="NZ150" s="6"/>
      <c r="OA150" s="6"/>
      <c r="OB150" s="6"/>
      <c r="OC150" s="6"/>
      <c r="OD150" s="6"/>
      <c r="OE150" s="6"/>
      <c r="OF150" s="6"/>
      <c r="OG150" s="6"/>
      <c r="OH150" s="6"/>
      <c r="OI150" s="6"/>
      <c r="OJ150" s="6"/>
      <c r="OK150" s="6"/>
      <c r="OL150" s="6"/>
      <c r="OM150" s="6"/>
      <c r="ON150" s="6"/>
      <c r="OO150" s="6"/>
      <c r="OP150" s="6"/>
      <c r="OQ150" s="6"/>
      <c r="OR150" s="6"/>
      <c r="OS150" s="6"/>
      <c r="OT150" s="6"/>
      <c r="OU150" s="6"/>
      <c r="OV150" s="6"/>
      <c r="OW150" s="6"/>
      <c r="OX150" s="6"/>
      <c r="OY150" s="6"/>
      <c r="OZ150" s="6"/>
      <c r="PA150" s="6"/>
      <c r="PB150" s="6"/>
      <c r="PC150" s="6"/>
      <c r="PD150" s="6"/>
      <c r="PE150" s="6"/>
      <c r="PF150" s="6"/>
      <c r="PG150" s="6"/>
      <c r="PH150" s="6"/>
      <c r="PI150" s="6"/>
      <c r="PJ150" s="6"/>
      <c r="PK150" s="6"/>
      <c r="PL150" s="6"/>
      <c r="PM150" s="6"/>
      <c r="PN150" s="6"/>
      <c r="PO150" s="6"/>
      <c r="PP150" s="6"/>
      <c r="PQ150" s="6"/>
      <c r="PR150" s="6"/>
      <c r="PS150" s="6"/>
      <c r="PT150" s="6"/>
      <c r="PU150" s="6"/>
      <c r="PV150" s="6"/>
      <c r="PW150" s="6"/>
      <c r="PX150" s="6"/>
      <c r="PY150" s="6"/>
      <c r="PZ150" s="6"/>
      <c r="QA150" s="6"/>
      <c r="QB150" s="6"/>
      <c r="QC150" s="6"/>
      <c r="QD150" s="6"/>
      <c r="QE150" s="6"/>
      <c r="QF150" s="6"/>
      <c r="QG150" s="6"/>
      <c r="QH150" s="6"/>
      <c r="QI150" s="6"/>
      <c r="QJ150" s="6"/>
      <c r="QK150" s="6"/>
      <c r="QL150" s="6"/>
      <c r="QM150" s="6"/>
      <c r="QN150" s="6"/>
      <c r="QO150" s="6"/>
      <c r="QP150" s="6"/>
      <c r="QQ150" s="6"/>
      <c r="QR150" s="6"/>
      <c r="QS150" s="6"/>
      <c r="QT150" s="6"/>
      <c r="QU150" s="6"/>
      <c r="QV150" s="6"/>
      <c r="QW150" s="6"/>
      <c r="QX150" s="6"/>
      <c r="QY150" s="6"/>
      <c r="QZ150" s="6"/>
      <c r="RA150" s="6"/>
      <c r="RB150" s="6"/>
      <c r="RC150" s="6"/>
      <c r="RD150" s="6"/>
      <c r="RE150" s="6"/>
      <c r="RF150" s="6"/>
      <c r="RG150" s="6"/>
      <c r="RH150" s="6"/>
      <c r="RI150" s="6"/>
      <c r="RJ150" s="6"/>
      <c r="RK150" s="6"/>
      <c r="RL150" s="6"/>
      <c r="RM150" s="6"/>
      <c r="RN150" s="6"/>
      <c r="RO150" s="6"/>
      <c r="RP150" s="6"/>
      <c r="RQ150" s="6"/>
      <c r="RR150" s="6"/>
      <c r="RS150" s="6"/>
      <c r="RT150" s="6"/>
      <c r="RU150" s="6"/>
      <c r="RV150" s="6"/>
      <c r="RW150" s="6"/>
      <c r="RX150" s="6"/>
      <c r="RY150" s="6"/>
      <c r="RZ150" s="6"/>
      <c r="SA150" s="6"/>
      <c r="SB150" s="6"/>
      <c r="SC150" s="6"/>
      <c r="SD150" s="6"/>
      <c r="SE150" s="6"/>
      <c r="SF150" s="6"/>
      <c r="SG150" s="6"/>
      <c r="SH150" s="6"/>
      <c r="SI150" s="6"/>
      <c r="SJ150" s="6"/>
      <c r="SK150" s="6"/>
      <c r="SL150" s="6"/>
      <c r="SM150" s="6"/>
      <c r="SN150" s="6"/>
      <c r="SO150" s="6"/>
      <c r="SP150" s="6"/>
      <c r="SQ150" s="6"/>
      <c r="SR150" s="6"/>
      <c r="SS150" s="6"/>
      <c r="ST150" s="6"/>
      <c r="SU150" s="6"/>
      <c r="SV150" s="6"/>
      <c r="SW150" s="6"/>
      <c r="SX150" s="6"/>
      <c r="SY150" s="6"/>
      <c r="SZ150" s="6"/>
      <c r="TA150" s="6"/>
      <c r="TB150" s="6"/>
      <c r="TC150" s="6"/>
      <c r="TD150" s="6"/>
      <c r="TE150" s="6"/>
      <c r="TF150" s="6"/>
      <c r="TG150" s="6"/>
      <c r="TH150" s="6"/>
      <c r="TI150" s="6"/>
      <c r="TJ150" s="6"/>
      <c r="TK150" s="6"/>
      <c r="TL150" s="6"/>
      <c r="TM150" s="6"/>
      <c r="TN150" s="6"/>
      <c r="TO150" s="6"/>
      <c r="TP150" s="6"/>
      <c r="TQ150" s="6"/>
      <c r="TR150" s="6"/>
      <c r="TS150" s="6"/>
      <c r="TT150" s="6"/>
      <c r="TU150" s="6"/>
      <c r="TV150" s="6"/>
      <c r="TW150" s="6"/>
      <c r="TX150" s="6"/>
      <c r="TY150" s="6"/>
      <c r="TZ150" s="6"/>
      <c r="UA150" s="6"/>
      <c r="UB150" s="6"/>
      <c r="UC150" s="6"/>
      <c r="UD150" s="6"/>
      <c r="UE150" s="6"/>
      <c r="UF150" s="6"/>
      <c r="UG150" s="6"/>
      <c r="UH150" s="6"/>
      <c r="UI150" s="6"/>
      <c r="UJ150" s="6"/>
      <c r="UK150" s="6"/>
      <c r="UL150" s="6"/>
      <c r="UM150" s="6"/>
      <c r="UN150" s="6"/>
      <c r="UO150" s="6"/>
      <c r="UP150" s="6"/>
      <c r="UQ150" s="6"/>
      <c r="UR150" s="6"/>
      <c r="US150" s="6"/>
      <c r="UT150" s="6"/>
      <c r="UU150" s="6"/>
      <c r="UV150" s="6"/>
      <c r="UW150" s="6"/>
      <c r="UX150" s="6"/>
      <c r="UY150" s="6"/>
      <c r="UZ150" s="6"/>
      <c r="VA150" s="6"/>
      <c r="VB150" s="6"/>
      <c r="VC150" s="6"/>
      <c r="VD150" s="6"/>
      <c r="VE150" s="6"/>
      <c r="VF150" s="6"/>
      <c r="VG150" s="6"/>
      <c r="VH150" s="6"/>
      <c r="VI150" s="6"/>
      <c r="VJ150" s="6"/>
      <c r="VK150" s="6"/>
      <c r="VL150" s="6"/>
      <c r="VM150" s="6"/>
      <c r="VN150" s="6"/>
      <c r="VO150" s="6"/>
      <c r="VP150" s="6"/>
      <c r="VQ150" s="6"/>
      <c r="VR150" s="6"/>
      <c r="VS150" s="6"/>
      <c r="VT150" s="6"/>
      <c r="VU150" s="6"/>
      <c r="VV150" s="6"/>
      <c r="VW150" s="6"/>
      <c r="VX150" s="6"/>
      <c r="VY150" s="6"/>
      <c r="VZ150" s="6"/>
      <c r="WA150" s="6"/>
      <c r="WB150" s="6"/>
      <c r="WC150" s="6"/>
      <c r="WD150" s="6"/>
      <c r="WE150" s="6"/>
      <c r="WF150" s="6"/>
      <c r="WG150" s="6"/>
      <c r="WH150" s="6"/>
      <c r="WI150" s="6"/>
      <c r="WJ150" s="6"/>
      <c r="WK150" s="6"/>
      <c r="WL150" s="6"/>
      <c r="WM150" s="6"/>
      <c r="WN150" s="6"/>
      <c r="WO150" s="6"/>
      <c r="WP150" s="6"/>
      <c r="WQ150" s="6"/>
      <c r="WR150" s="6"/>
      <c r="WS150" s="6"/>
      <c r="WT150" s="6"/>
      <c r="WU150" s="6"/>
      <c r="WV150" s="6"/>
      <c r="WW150" s="6"/>
      <c r="WX150" s="6"/>
      <c r="WY150" s="6"/>
      <c r="WZ150" s="6"/>
      <c r="XA150" s="6"/>
      <c r="XB150" s="6"/>
      <c r="XC150" s="6"/>
      <c r="XD150" s="6"/>
      <c r="XE150" s="6"/>
      <c r="XF150" s="6"/>
      <c r="XG150" s="6"/>
      <c r="XH150" s="6"/>
      <c r="XI150" s="6"/>
      <c r="XJ150" s="6"/>
      <c r="XK150" s="6"/>
      <c r="XL150" s="6"/>
      <c r="XM150" s="6"/>
      <c r="XN150" s="6"/>
      <c r="XO150" s="6"/>
      <c r="XP150" s="6"/>
      <c r="XQ150" s="6"/>
      <c r="XR150" s="6"/>
      <c r="XS150" s="6"/>
      <c r="XT150" s="6"/>
      <c r="XU150" s="6"/>
      <c r="XV150" s="6"/>
      <c r="XW150" s="6"/>
      <c r="XX150" s="6"/>
      <c r="XY150" s="6"/>
      <c r="XZ150" s="6"/>
      <c r="YA150" s="6"/>
      <c r="YB150" s="6"/>
      <c r="YC150" s="6"/>
      <c r="YD150" s="6"/>
      <c r="YE150" s="6"/>
      <c r="YF150" s="6"/>
      <c r="YG150" s="6"/>
      <c r="YH150" s="6"/>
      <c r="YI150" s="6"/>
      <c r="YJ150" s="6"/>
      <c r="YK150" s="6"/>
      <c r="YL150" s="6"/>
      <c r="YM150" s="6"/>
      <c r="YN150" s="6"/>
      <c r="YO150" s="6"/>
      <c r="YP150" s="6"/>
      <c r="YQ150" s="6"/>
      <c r="YR150" s="6"/>
      <c r="YS150" s="6"/>
      <c r="YT150" s="6"/>
      <c r="YU150" s="6"/>
      <c r="YV150" s="6"/>
      <c r="YW150" s="6"/>
      <c r="YX150" s="6"/>
      <c r="YY150" s="6"/>
      <c r="YZ150" s="6"/>
      <c r="ZA150" s="6"/>
      <c r="ZB150" s="6"/>
      <c r="ZC150" s="6"/>
      <c r="ZD150" s="6"/>
      <c r="ZE150" s="6"/>
      <c r="ZF150" s="6"/>
      <c r="ZG150" s="6"/>
      <c r="ZH150" s="6"/>
      <c r="ZI150" s="6"/>
      <c r="ZJ150" s="6"/>
      <c r="ZK150" s="6"/>
      <c r="ZL150" s="6"/>
      <c r="ZM150" s="6"/>
      <c r="ZN150" s="6"/>
      <c r="ZO150" s="6"/>
      <c r="ZP150" s="6"/>
      <c r="ZQ150" s="6"/>
      <c r="ZR150" s="6"/>
      <c r="ZS150" s="6"/>
      <c r="ZT150" s="6"/>
      <c r="ZU150" s="6"/>
      <c r="ZV150" s="6"/>
      <c r="ZW150" s="6"/>
      <c r="ZX150" s="6"/>
      <c r="ZY150" s="6"/>
      <c r="ZZ150" s="6"/>
      <c r="AAA150" s="6"/>
      <c r="AAB150" s="6"/>
      <c r="AAC150" s="6"/>
      <c r="AAD150" s="6"/>
      <c r="AAE150" s="6"/>
      <c r="AAF150" s="6"/>
      <c r="AAG150" s="6"/>
      <c r="AAH150" s="6"/>
      <c r="AAI150" s="6"/>
      <c r="AAJ150" s="6"/>
      <c r="AAK150" s="6"/>
      <c r="AAL150" s="6"/>
      <c r="AAM150" s="6"/>
      <c r="AAN150" s="6"/>
      <c r="AAO150" s="6"/>
      <c r="AAP150" s="6"/>
      <c r="AAQ150" s="6"/>
      <c r="AAR150" s="6"/>
      <c r="AAS150" s="6"/>
      <c r="AAT150" s="6"/>
      <c r="AAU150" s="6"/>
      <c r="AAV150" s="6"/>
      <c r="AAW150" s="6"/>
      <c r="AAX150" s="6"/>
      <c r="AAY150" s="6"/>
      <c r="AAZ150" s="6"/>
      <c r="ABA150" s="6"/>
      <c r="ABB150" s="6"/>
      <c r="ABC150" s="6"/>
      <c r="ABD150" s="6"/>
      <c r="ABE150" s="6"/>
      <c r="ABF150" s="6"/>
      <c r="ABG150" s="6"/>
      <c r="ABH150" s="6"/>
      <c r="ABI150" s="6"/>
      <c r="ABJ150" s="6"/>
      <c r="ABK150" s="6"/>
      <c r="ABL150" s="6"/>
      <c r="ABM150" s="6"/>
      <c r="ABN150" s="6"/>
      <c r="ABO150" s="6"/>
      <c r="ABP150" s="6"/>
      <c r="ABQ150" s="6"/>
      <c r="ABR150" s="6"/>
      <c r="ABS150" s="6"/>
      <c r="ABT150" s="6"/>
      <c r="ABU150" s="6"/>
      <c r="ABV150" s="6"/>
      <c r="ABW150" s="6"/>
      <c r="ABX150" s="6"/>
      <c r="ABY150" s="6"/>
      <c r="ABZ150" s="6"/>
      <c r="ACA150" s="6"/>
      <c r="ACB150" s="6"/>
      <c r="ACC150" s="6"/>
      <c r="ACD150" s="6"/>
      <c r="ACE150" s="6"/>
      <c r="ACF150" s="6"/>
      <c r="ACG150" s="6"/>
      <c r="ACH150" s="6"/>
      <c r="ACI150" s="6"/>
      <c r="ACJ150" s="6"/>
      <c r="ACK150" s="6"/>
      <c r="ACL150" s="6"/>
      <c r="ACM150" s="6"/>
      <c r="ACN150" s="6"/>
      <c r="ACO150" s="6"/>
      <c r="ACP150" s="6"/>
      <c r="ACQ150" s="6"/>
      <c r="ACR150" s="6"/>
      <c r="ACS150" s="6"/>
      <c r="ACT150" s="6"/>
      <c r="ACU150" s="6"/>
      <c r="ACV150" s="6"/>
      <c r="ACW150" s="6"/>
      <c r="ACX150" s="6"/>
      <c r="ACY150" s="6"/>
      <c r="ACZ150" s="6"/>
      <c r="ADA150" s="6"/>
      <c r="ADB150" s="6"/>
      <c r="ADC150" s="6"/>
      <c r="ADD150" s="6"/>
      <c r="ADE150" s="6"/>
      <c r="ADF150" s="6"/>
      <c r="ADG150" s="6"/>
      <c r="ADH150" s="6"/>
      <c r="ADI150" s="6"/>
      <c r="ADJ150" s="6"/>
      <c r="ADK150" s="6"/>
      <c r="ADL150" s="6"/>
      <c r="ADM150" s="6"/>
      <c r="ADN150" s="6"/>
      <c r="ADO150" s="6"/>
      <c r="ADP150" s="6"/>
      <c r="ADQ150" s="6"/>
      <c r="ADR150" s="6"/>
      <c r="ADS150" s="6"/>
      <c r="ADT150" s="6"/>
      <c r="ADU150" s="6"/>
      <c r="ADV150" s="6"/>
      <c r="ADW150" s="6"/>
      <c r="ADX150" s="6"/>
      <c r="ADY150" s="6"/>
      <c r="ADZ150" s="6"/>
      <c r="AEA150" s="6"/>
      <c r="AEB150" s="6"/>
      <c r="AEC150" s="6"/>
      <c r="AED150" s="6"/>
      <c r="AEE150" s="6"/>
      <c r="AEF150" s="6"/>
      <c r="AEG150" s="6"/>
      <c r="AEH150" s="6"/>
      <c r="AEI150" s="6"/>
      <c r="AEJ150" s="6"/>
      <c r="AEK150" s="6"/>
      <c r="AEL150" s="6"/>
      <c r="AEM150" s="6"/>
      <c r="AEN150" s="6"/>
      <c r="AEO150" s="6"/>
      <c r="AEP150" s="6"/>
      <c r="AEQ150" s="6"/>
      <c r="AER150" s="6"/>
      <c r="AES150" s="6"/>
      <c r="AET150" s="6"/>
      <c r="AEU150" s="6"/>
      <c r="AEV150" s="6"/>
      <c r="AEW150" s="6"/>
      <c r="AEX150" s="6"/>
      <c r="AEY150" s="6"/>
      <c r="AEZ150" s="6"/>
      <c r="AFA150" s="6"/>
      <c r="AFB150" s="6"/>
      <c r="AFC150" s="6"/>
      <c r="AFD150" s="6"/>
      <c r="AFE150" s="6"/>
      <c r="AFF150" s="6"/>
      <c r="AFG150" s="6"/>
      <c r="AFH150" s="6"/>
      <c r="AFI150" s="6"/>
      <c r="AFJ150" s="6"/>
      <c r="AFK150" s="6"/>
      <c r="AFL150" s="6"/>
      <c r="AFM150" s="6"/>
      <c r="AFN150" s="6"/>
      <c r="AFO150" s="6"/>
      <c r="AFP150" s="6"/>
      <c r="AFQ150" s="6"/>
      <c r="AFR150" s="6"/>
      <c r="AFS150" s="6"/>
      <c r="AFT150" s="6"/>
      <c r="AFU150" s="6"/>
      <c r="AFV150" s="6"/>
      <c r="AFW150" s="6"/>
      <c r="AFX150" s="6"/>
      <c r="AFY150" s="6"/>
      <c r="AFZ150" s="6"/>
      <c r="AGA150" s="6"/>
      <c r="AGB150" s="6"/>
      <c r="AGC150" s="6"/>
      <c r="AGD150" s="6"/>
      <c r="AGE150" s="6"/>
      <c r="AGF150" s="6"/>
      <c r="AGG150" s="6"/>
      <c r="AGH150" s="6"/>
      <c r="AGI150" s="6"/>
      <c r="AGJ150" s="6"/>
      <c r="AGK150" s="6"/>
      <c r="AGL150" s="6"/>
      <c r="AGM150" s="6"/>
      <c r="AGN150" s="6"/>
      <c r="AGO150" s="6"/>
      <c r="AGP150" s="6"/>
      <c r="AGQ150" s="6"/>
      <c r="AGR150" s="6"/>
      <c r="AGS150" s="6"/>
      <c r="AGT150" s="6"/>
      <c r="AGU150" s="6"/>
      <c r="AGV150" s="6"/>
      <c r="AGW150" s="6"/>
      <c r="AGX150" s="6"/>
      <c r="AGY150" s="6"/>
      <c r="AGZ150" s="6"/>
      <c r="AHA150" s="6"/>
      <c r="AHB150" s="6"/>
      <c r="AHC150" s="6"/>
      <c r="AHD150" s="6"/>
      <c r="AHE150" s="6"/>
      <c r="AHF150" s="6"/>
      <c r="AHG150" s="6"/>
      <c r="AHH150" s="6"/>
      <c r="AHI150" s="6"/>
      <c r="AHJ150" s="6"/>
      <c r="AHK150" s="6"/>
      <c r="AHL150" s="6"/>
      <c r="AHM150" s="6"/>
      <c r="AHN150" s="6"/>
      <c r="AHO150" s="6"/>
      <c r="AHP150" s="6"/>
      <c r="AHQ150" s="6"/>
      <c r="AHR150" s="6"/>
      <c r="AHS150" s="6"/>
      <c r="AHT150" s="6"/>
      <c r="AHU150" s="6"/>
      <c r="AHV150" s="6"/>
      <c r="AHW150" s="6"/>
      <c r="AHX150" s="6"/>
      <c r="AHY150" s="6"/>
      <c r="AHZ150" s="6"/>
      <c r="AIA150" s="6"/>
      <c r="AIB150" s="6"/>
      <c r="AIC150" s="6"/>
      <c r="AID150" s="6"/>
      <c r="AIE150" s="6"/>
      <c r="AIF150" s="6"/>
      <c r="AIG150" s="6"/>
      <c r="AIH150" s="6"/>
      <c r="AII150" s="6"/>
      <c r="AIJ150" s="6"/>
      <c r="AIK150" s="6"/>
      <c r="AIL150" s="6"/>
      <c r="AIM150" s="6"/>
      <c r="AIN150" s="6"/>
      <c r="AIO150" s="6"/>
      <c r="AIP150" s="6"/>
      <c r="AIQ150" s="6"/>
      <c r="AIR150" s="6"/>
      <c r="AIS150" s="6"/>
      <c r="AIT150" s="6"/>
      <c r="AIU150" s="6"/>
      <c r="AIV150" s="6"/>
      <c r="AIW150" s="6"/>
      <c r="AIX150" s="6"/>
      <c r="AIY150" s="6"/>
      <c r="AIZ150" s="6"/>
      <c r="AJA150" s="6"/>
      <c r="AJB150" s="6"/>
      <c r="AJC150" s="6"/>
      <c r="AJD150" s="6"/>
      <c r="AJE150" s="6"/>
      <c r="AJF150" s="6"/>
      <c r="AJG150" s="6"/>
      <c r="AJH150" s="6"/>
      <c r="AJI150" s="6"/>
      <c r="AJJ150" s="6"/>
      <c r="AJK150" s="6"/>
      <c r="AJL150" s="6"/>
      <c r="AJM150" s="6"/>
      <c r="AJN150" s="6"/>
      <c r="AJO150" s="6"/>
      <c r="AJP150" s="6"/>
      <c r="AJQ150" s="6"/>
      <c r="AJR150" s="6"/>
      <c r="AJS150" s="6"/>
      <c r="AJT150" s="6"/>
      <c r="AJU150" s="6"/>
      <c r="AJV150" s="6"/>
      <c r="AJW150" s="6"/>
      <c r="AJX150" s="6"/>
      <c r="AJY150" s="6"/>
      <c r="AJZ150" s="6"/>
      <c r="AKA150" s="6"/>
      <c r="AKB150" s="6"/>
      <c r="AKC150" s="6"/>
      <c r="AKD150" s="6"/>
      <c r="AKE150" s="6"/>
      <c r="AKF150" s="6"/>
      <c r="AKG150" s="6"/>
      <c r="AKH150" s="6"/>
      <c r="AKI150" s="6"/>
      <c r="AKJ150" s="6"/>
      <c r="AKK150" s="6"/>
      <c r="AKL150" s="6"/>
      <c r="AKM150" s="6"/>
      <c r="AKN150" s="6"/>
      <c r="AKO150" s="6"/>
      <c r="AKP150" s="6"/>
      <c r="AKQ150" s="6"/>
      <c r="AKR150" s="6"/>
      <c r="AKS150" s="6"/>
      <c r="AKT150" s="6"/>
      <c r="AKU150" s="6"/>
      <c r="AKV150" s="6"/>
      <c r="AKW150" s="6"/>
      <c r="AKX150" s="6"/>
      <c r="AKY150" s="6"/>
      <c r="AKZ150" s="6"/>
      <c r="ALA150" s="6"/>
      <c r="ALB150" s="6"/>
      <c r="ALC150" s="6"/>
      <c r="ALD150" s="6"/>
      <c r="ALE150" s="6"/>
      <c r="ALF150" s="6"/>
      <c r="ALG150" s="6"/>
      <c r="ALH150" s="6"/>
      <c r="ALI150" s="6"/>
      <c r="ALJ150" s="6"/>
      <c r="ALK150" s="6"/>
      <c r="ALL150" s="6"/>
      <c r="ALM150" s="6"/>
      <c r="ALN150" s="6"/>
      <c r="ALO150" s="6"/>
      <c r="ALP150" s="6"/>
      <c r="ALQ150" s="6"/>
      <c r="ALR150" s="6"/>
      <c r="ALS150" s="6"/>
      <c r="ALT150" s="6"/>
      <c r="ALU150" s="6"/>
      <c r="ALV150" s="6"/>
      <c r="ALW150" s="6"/>
      <c r="ALX150" s="6"/>
      <c r="ALY150" s="6"/>
      <c r="ALZ150" s="6"/>
      <c r="AMA150" s="6"/>
      <c r="AMB150" s="6"/>
      <c r="AMC150" s="6"/>
      <c r="AMD150" s="6"/>
      <c r="AME150" s="6"/>
      <c r="AMF150" s="6"/>
      <c r="AMG150" s="6"/>
      <c r="AMH150" s="6"/>
      <c r="AMI150" s="6"/>
      <c r="AMJ150" s="6"/>
      <c r="AMK150" s="6"/>
      <c r="AML150" s="6"/>
      <c r="AMM150" s="6"/>
      <c r="AMN150" s="6"/>
      <c r="AMO150" s="6"/>
      <c r="AMP150" s="6"/>
      <c r="AMQ150" s="6"/>
      <c r="AMR150" s="6"/>
      <c r="AMS150" s="6"/>
      <c r="AMT150" s="6"/>
      <c r="AMU150" s="6"/>
      <c r="AMV150" s="6"/>
      <c r="AMW150" s="6"/>
      <c r="AMX150" s="6"/>
      <c r="AMY150" s="6"/>
      <c r="AMZ150" s="6"/>
      <c r="ANA150" s="6"/>
      <c r="ANB150" s="6"/>
      <c r="ANC150" s="6"/>
      <c r="AND150" s="6"/>
      <c r="ANE150" s="6"/>
      <c r="ANF150" s="6"/>
      <c r="ANG150" s="6"/>
      <c r="ANH150" s="6"/>
      <c r="ANI150" s="6"/>
      <c r="ANJ150" s="6"/>
      <c r="ANK150" s="6"/>
      <c r="ANL150" s="6"/>
      <c r="ANM150" s="6"/>
      <c r="ANN150" s="6"/>
      <c r="ANO150" s="6"/>
      <c r="ANP150" s="6"/>
      <c r="ANQ150" s="6"/>
      <c r="ANR150" s="6"/>
      <c r="ANS150" s="6"/>
      <c r="ANT150" s="6"/>
      <c r="ANU150" s="6"/>
      <c r="ANV150" s="6"/>
      <c r="ANW150" s="6"/>
      <c r="ANX150" s="6"/>
      <c r="ANY150" s="6"/>
      <c r="ANZ150" s="6"/>
      <c r="AOA150" s="6"/>
      <c r="AOB150" s="6"/>
      <c r="AOC150" s="6"/>
      <c r="AOD150" s="6"/>
      <c r="AOE150" s="6"/>
      <c r="AOF150" s="6"/>
      <c r="AOG150" s="6"/>
      <c r="AOH150" s="6"/>
      <c r="AOI150" s="6"/>
      <c r="AOJ150" s="6"/>
      <c r="AOK150" s="6"/>
      <c r="AOL150" s="6"/>
      <c r="AOM150" s="6"/>
      <c r="AON150" s="6"/>
      <c r="AOO150" s="6"/>
      <c r="AOP150" s="6"/>
      <c r="AOQ150" s="6"/>
      <c r="AOR150" s="6"/>
      <c r="AOS150" s="6"/>
      <c r="AOT150" s="6"/>
      <c r="AOU150" s="6"/>
      <c r="AOV150" s="6"/>
      <c r="AOW150" s="6"/>
      <c r="AOX150" s="6"/>
      <c r="AOY150" s="6"/>
      <c r="AOZ150" s="6"/>
      <c r="APA150" s="6"/>
      <c r="APB150" s="6"/>
      <c r="APC150" s="6"/>
      <c r="APD150" s="6"/>
      <c r="APE150" s="6"/>
      <c r="APF150" s="6"/>
      <c r="APG150" s="6"/>
      <c r="APH150" s="6"/>
      <c r="API150" s="6"/>
      <c r="APJ150" s="6"/>
      <c r="APK150" s="6"/>
      <c r="APL150" s="6"/>
      <c r="APM150" s="6"/>
      <c r="APN150" s="6"/>
      <c r="APO150" s="6"/>
      <c r="APP150" s="6"/>
      <c r="APQ150" s="6"/>
      <c r="APR150" s="6"/>
      <c r="APS150" s="6"/>
      <c r="APT150" s="6"/>
      <c r="APU150" s="6"/>
      <c r="APV150" s="6"/>
      <c r="APW150" s="6"/>
      <c r="APX150" s="6"/>
      <c r="APY150" s="6"/>
      <c r="APZ150" s="6"/>
      <c r="AQA150" s="6"/>
      <c r="AQB150" s="6"/>
      <c r="AQC150" s="6"/>
      <c r="AQD150" s="6"/>
      <c r="AQE150" s="6"/>
      <c r="AQF150" s="6"/>
      <c r="AQG150" s="6"/>
      <c r="AQH150" s="6"/>
      <c r="AQI150" s="6"/>
      <c r="AQJ150" s="6"/>
      <c r="AQK150" s="6"/>
      <c r="AQL150" s="6"/>
      <c r="AQM150" s="6"/>
      <c r="AQN150" s="6"/>
      <c r="AQO150" s="6"/>
      <c r="AQP150" s="6"/>
      <c r="AQQ150" s="6"/>
      <c r="AQR150" s="6"/>
      <c r="AQS150" s="6"/>
      <c r="AQT150" s="6"/>
      <c r="AQU150" s="6"/>
      <c r="AQV150" s="6"/>
      <c r="AQW150" s="6"/>
      <c r="AQX150" s="6"/>
      <c r="AQY150" s="6"/>
      <c r="AQZ150" s="6"/>
      <c r="ARA150" s="6"/>
      <c r="ARB150" s="6"/>
      <c r="ARC150" s="6"/>
      <c r="ARD150" s="6"/>
      <c r="ARE150" s="6"/>
      <c r="ARF150" s="6"/>
      <c r="ARG150" s="6"/>
      <c r="ARH150" s="6"/>
      <c r="ARI150" s="6"/>
      <c r="ARJ150" s="6"/>
      <c r="ARK150" s="6"/>
      <c r="ARL150" s="6"/>
      <c r="ARM150" s="6"/>
      <c r="ARN150" s="6"/>
      <c r="ARO150" s="6"/>
      <c r="ARP150" s="6"/>
      <c r="ARQ150" s="6"/>
      <c r="ARR150" s="6"/>
      <c r="ARS150" s="6"/>
      <c r="ART150" s="6"/>
      <c r="ARU150" s="6"/>
      <c r="ARV150" s="6"/>
      <c r="ARW150" s="6"/>
      <c r="ARX150" s="6"/>
      <c r="ARY150" s="6"/>
      <c r="ARZ150" s="6"/>
      <c r="ASA150" s="6"/>
      <c r="ASB150" s="6"/>
      <c r="ASC150" s="6"/>
      <c r="ASD150" s="6"/>
      <c r="ASE150" s="6"/>
      <c r="ASF150" s="6"/>
      <c r="ASG150" s="6"/>
      <c r="ASH150" s="6"/>
      <c r="ASI150" s="6"/>
      <c r="ASJ150" s="6"/>
      <c r="ASK150" s="6"/>
      <c r="ASL150" s="6"/>
      <c r="ASM150" s="6"/>
      <c r="ASN150" s="6"/>
      <c r="ASO150" s="6"/>
      <c r="ASP150" s="6"/>
      <c r="ASQ150" s="6"/>
      <c r="ASR150" s="6"/>
      <c r="ASS150" s="6"/>
      <c r="AST150" s="6"/>
      <c r="ASU150" s="6"/>
      <c r="ASV150" s="6"/>
      <c r="ASW150" s="6"/>
      <c r="ASX150" s="6"/>
      <c r="ASY150" s="6"/>
      <c r="ASZ150" s="6"/>
      <c r="ATA150" s="6"/>
      <c r="ATB150" s="6"/>
      <c r="ATC150" s="6"/>
      <c r="ATD150" s="6"/>
      <c r="ATE150" s="6"/>
      <c r="ATF150" s="6"/>
      <c r="ATG150" s="6"/>
      <c r="ATH150" s="6"/>
      <c r="ATI150" s="6"/>
      <c r="ATJ150" s="6"/>
      <c r="ATK150" s="6"/>
      <c r="ATL150" s="6"/>
      <c r="ATM150" s="6"/>
      <c r="ATN150" s="6"/>
      <c r="ATO150" s="6"/>
      <c r="ATP150" s="6"/>
      <c r="ATQ150" s="6"/>
      <c r="ATR150" s="6"/>
      <c r="ATS150" s="6"/>
      <c r="ATT150" s="6"/>
      <c r="ATU150" s="6"/>
      <c r="ATV150" s="6"/>
      <c r="ATW150" s="6"/>
      <c r="ATX150" s="6"/>
      <c r="ATY150" s="6"/>
      <c r="ATZ150" s="6"/>
      <c r="AUA150" s="6"/>
      <c r="AUB150" s="6"/>
      <c r="AUC150" s="6"/>
      <c r="AUD150" s="6"/>
      <c r="AUE150" s="6"/>
      <c r="AUF150" s="6"/>
      <c r="AUG150" s="6"/>
      <c r="AUH150" s="6"/>
      <c r="AUI150" s="6"/>
      <c r="AUJ150" s="6"/>
      <c r="AUK150" s="6"/>
      <c r="AUL150" s="6"/>
      <c r="AUM150" s="6"/>
      <c r="AUN150" s="6"/>
      <c r="AUO150" s="6"/>
      <c r="AUP150" s="6"/>
      <c r="AUQ150" s="6"/>
      <c r="AUR150" s="6"/>
      <c r="AUS150" s="6"/>
      <c r="AUT150" s="6"/>
      <c r="AUU150" s="6"/>
      <c r="AUV150" s="6"/>
      <c r="AUW150" s="6"/>
      <c r="AUX150" s="6"/>
      <c r="AUY150" s="6"/>
      <c r="AUZ150" s="6"/>
      <c r="AVA150" s="6"/>
      <c r="AVB150" s="6"/>
      <c r="AVC150" s="6"/>
      <c r="AVD150" s="6"/>
      <c r="AVE150" s="6"/>
      <c r="AVF150" s="6"/>
      <c r="AVG150" s="6"/>
      <c r="AVH150" s="6"/>
      <c r="AVI150" s="6"/>
      <c r="AVJ150" s="6"/>
      <c r="AVK150" s="6"/>
      <c r="AVL150" s="6"/>
      <c r="AVM150" s="6"/>
      <c r="AVN150" s="6"/>
      <c r="AVO150" s="6"/>
      <c r="AVP150" s="6"/>
      <c r="AVQ150" s="6"/>
      <c r="AVR150" s="6"/>
      <c r="AVS150" s="6"/>
      <c r="AVT150" s="6"/>
      <c r="AVU150" s="6"/>
      <c r="AVV150" s="6"/>
      <c r="AVW150" s="6"/>
      <c r="AVX150" s="6"/>
      <c r="AVY150" s="6"/>
      <c r="AVZ150" s="6"/>
      <c r="AWA150" s="6"/>
      <c r="AWB150" s="6"/>
      <c r="AWC150" s="6"/>
      <c r="AWD150" s="6"/>
      <c r="AWE150" s="6"/>
      <c r="AWF150" s="6"/>
      <c r="AWG150" s="6"/>
      <c r="AWH150" s="6"/>
      <c r="AWI150" s="6"/>
      <c r="AWJ150" s="6"/>
      <c r="AWK150" s="6"/>
      <c r="AWL150" s="6"/>
      <c r="AWM150" s="6"/>
      <c r="AWN150" s="6"/>
      <c r="AWO150" s="6"/>
      <c r="AWP150" s="6"/>
      <c r="AWQ150" s="6"/>
      <c r="AWR150" s="6"/>
      <c r="AWS150" s="6"/>
      <c r="AWT150" s="6"/>
      <c r="AWU150" s="6"/>
      <c r="AWV150" s="6"/>
      <c r="AWW150" s="6"/>
      <c r="AWX150" s="6"/>
      <c r="AWY150" s="6"/>
      <c r="AWZ150" s="6"/>
      <c r="AXA150" s="6"/>
      <c r="AXB150" s="6"/>
      <c r="AXC150" s="6"/>
      <c r="AXD150" s="6"/>
      <c r="AXE150" s="6"/>
      <c r="AXF150" s="6"/>
      <c r="AXG150" s="6"/>
      <c r="AXH150" s="6"/>
      <c r="AXI150" s="6"/>
      <c r="AXJ150" s="6"/>
      <c r="AXK150" s="6"/>
      <c r="AXL150" s="6"/>
      <c r="AXM150" s="6"/>
      <c r="AXN150" s="6"/>
      <c r="AXO150" s="6"/>
      <c r="AXP150" s="6"/>
      <c r="AXQ150" s="6"/>
      <c r="AXR150" s="6"/>
      <c r="AXS150" s="6"/>
      <c r="AXT150" s="6"/>
      <c r="AXU150" s="6"/>
      <c r="AXV150" s="6"/>
      <c r="AXW150" s="6"/>
      <c r="AXX150" s="6"/>
      <c r="AXY150" s="6"/>
      <c r="AXZ150" s="6"/>
      <c r="AYA150" s="6"/>
      <c r="AYB150" s="6"/>
      <c r="AYC150" s="6"/>
      <c r="AYD150" s="6"/>
      <c r="AYE150" s="6"/>
      <c r="AYF150" s="6"/>
      <c r="AYG150" s="6"/>
      <c r="AYH150" s="6"/>
      <c r="AYI150" s="6"/>
      <c r="AYJ150" s="6"/>
      <c r="AYK150" s="6"/>
      <c r="AYL150" s="6"/>
      <c r="AYM150" s="6"/>
      <c r="AYN150" s="6"/>
      <c r="AYO150" s="6"/>
      <c r="AYP150" s="6"/>
      <c r="AYQ150" s="6"/>
      <c r="AYR150" s="6"/>
      <c r="AYS150" s="6"/>
      <c r="AYT150" s="6"/>
      <c r="AYU150" s="6"/>
      <c r="AYV150" s="6"/>
      <c r="AYW150" s="6"/>
      <c r="AYX150" s="6"/>
      <c r="AYY150" s="6"/>
      <c r="AYZ150" s="6"/>
      <c r="AZA150" s="6"/>
      <c r="AZB150" s="6"/>
      <c r="AZC150" s="6"/>
      <c r="AZD150" s="6"/>
      <c r="AZE150" s="6"/>
      <c r="AZF150" s="6"/>
      <c r="AZG150" s="6"/>
      <c r="AZH150" s="6"/>
      <c r="AZI150" s="6"/>
      <c r="AZJ150" s="6"/>
      <c r="AZK150" s="6"/>
      <c r="AZL150" s="6"/>
      <c r="AZM150" s="6"/>
      <c r="AZN150" s="6"/>
      <c r="AZO150" s="6"/>
      <c r="AZP150" s="6"/>
      <c r="AZQ150" s="6"/>
      <c r="AZR150" s="6"/>
      <c r="AZS150" s="6"/>
      <c r="AZT150" s="6"/>
      <c r="AZU150" s="6"/>
      <c r="AZV150" s="6"/>
      <c r="AZW150" s="6"/>
      <c r="AZX150" s="6"/>
      <c r="AZY150" s="6"/>
      <c r="AZZ150" s="6"/>
      <c r="BAA150" s="6"/>
      <c r="BAB150" s="6"/>
      <c r="BAC150" s="6"/>
      <c r="BAD150" s="6"/>
      <c r="BAE150" s="6"/>
      <c r="BAF150" s="6"/>
      <c r="BAG150" s="6"/>
      <c r="BAH150" s="6"/>
      <c r="BAI150" s="6"/>
      <c r="BAJ150" s="6"/>
      <c r="BAK150" s="6"/>
      <c r="BAL150" s="6"/>
      <c r="BAM150" s="6"/>
      <c r="BAN150" s="6"/>
      <c r="BAO150" s="6"/>
      <c r="BAP150" s="6"/>
      <c r="BAQ150" s="6"/>
      <c r="BAR150" s="6"/>
      <c r="BAS150" s="6"/>
      <c r="BAT150" s="6"/>
      <c r="BAU150" s="6"/>
      <c r="BAV150" s="6"/>
      <c r="BAW150" s="6"/>
      <c r="BAX150" s="6"/>
      <c r="BAY150" s="6"/>
      <c r="BAZ150" s="6"/>
      <c r="BBA150" s="6"/>
      <c r="BBB150" s="6"/>
      <c r="BBC150" s="6"/>
      <c r="BBD150" s="6"/>
      <c r="BBE150" s="6"/>
      <c r="BBF150" s="6"/>
      <c r="BBG150" s="6"/>
      <c r="BBH150" s="6"/>
      <c r="BBI150" s="6"/>
      <c r="BBJ150" s="6"/>
      <c r="BBK150" s="6"/>
      <c r="BBL150" s="6"/>
      <c r="BBM150" s="6"/>
      <c r="BBN150" s="6"/>
      <c r="BBO150" s="6"/>
      <c r="BBP150" s="6"/>
      <c r="BBQ150" s="6"/>
      <c r="BBR150" s="6"/>
      <c r="BBS150" s="6"/>
      <c r="BBT150" s="6"/>
      <c r="BBU150" s="6"/>
      <c r="BBV150" s="6"/>
      <c r="BBW150" s="6"/>
      <c r="BBX150" s="6"/>
      <c r="BBY150" s="6"/>
      <c r="BBZ150" s="6"/>
      <c r="BCA150" s="6"/>
      <c r="BCB150" s="6"/>
      <c r="BCC150" s="6"/>
      <c r="BCD150" s="6"/>
      <c r="BCE150" s="6"/>
      <c r="BCF150" s="6"/>
      <c r="BCG150" s="6"/>
      <c r="BCH150" s="6"/>
      <c r="BCI150" s="6"/>
      <c r="BCJ150" s="6"/>
      <c r="BCK150" s="6"/>
      <c r="BCL150" s="6"/>
      <c r="BCM150" s="6"/>
      <c r="BCN150" s="6"/>
      <c r="BCO150" s="6"/>
      <c r="BCP150" s="6"/>
      <c r="BCQ150" s="6"/>
      <c r="BCR150" s="6"/>
      <c r="BCS150" s="6"/>
      <c r="BCT150" s="6"/>
      <c r="BCU150" s="6"/>
      <c r="BCV150" s="6"/>
      <c r="BCW150" s="6"/>
      <c r="BCX150" s="6"/>
      <c r="BCY150" s="6"/>
      <c r="BCZ150" s="6"/>
      <c r="BDA150" s="6"/>
      <c r="BDB150" s="6"/>
      <c r="BDC150" s="6"/>
      <c r="BDD150" s="6"/>
      <c r="BDE150" s="6"/>
      <c r="BDF150" s="6"/>
      <c r="BDG150" s="6"/>
      <c r="BDH150" s="6"/>
      <c r="BDI150" s="6"/>
      <c r="BDJ150" s="6"/>
      <c r="BDK150" s="6"/>
      <c r="BDL150" s="6"/>
      <c r="BDM150" s="6"/>
      <c r="BDN150" s="6"/>
      <c r="BDO150" s="6"/>
      <c r="BDP150" s="6"/>
      <c r="BDQ150" s="6"/>
      <c r="BDR150" s="6"/>
      <c r="BDS150" s="6"/>
      <c r="BDT150" s="6"/>
      <c r="BDU150" s="6"/>
      <c r="BDV150" s="6"/>
      <c r="BDW150" s="6"/>
      <c r="BDX150" s="6"/>
      <c r="BDY150" s="6"/>
      <c r="BDZ150" s="6"/>
      <c r="BEA150" s="6"/>
      <c r="BEB150" s="6"/>
      <c r="BEC150" s="6"/>
      <c r="BED150" s="6"/>
      <c r="BEE150" s="6"/>
      <c r="BEF150" s="6"/>
      <c r="BEG150" s="6"/>
      <c r="BEH150" s="6"/>
      <c r="BEI150" s="6"/>
      <c r="BEJ150" s="6"/>
      <c r="BEK150" s="6"/>
      <c r="BEL150" s="6"/>
      <c r="BEM150" s="6"/>
      <c r="BEN150" s="6"/>
      <c r="BEO150" s="6"/>
      <c r="BEP150" s="6"/>
      <c r="BEQ150" s="6"/>
      <c r="BER150" s="6"/>
      <c r="BES150" s="6"/>
      <c r="BET150" s="6"/>
      <c r="BEU150" s="6"/>
      <c r="BEV150" s="6"/>
      <c r="BEW150" s="6"/>
      <c r="BEX150" s="6"/>
      <c r="BEY150" s="6"/>
      <c r="BEZ150" s="6"/>
      <c r="BFA150" s="6"/>
      <c r="BFB150" s="6"/>
      <c r="BFC150" s="6"/>
      <c r="BFD150" s="6"/>
      <c r="BFE150" s="6"/>
      <c r="BFF150" s="6"/>
      <c r="BFG150" s="6"/>
      <c r="BFH150" s="6"/>
      <c r="BFI150" s="6"/>
      <c r="BFJ150" s="6"/>
      <c r="BFK150" s="6"/>
      <c r="BFL150" s="6"/>
      <c r="BFM150" s="6"/>
      <c r="BFN150" s="6"/>
      <c r="BFO150" s="6"/>
      <c r="BFP150" s="6"/>
      <c r="BFQ150" s="6"/>
      <c r="BFR150" s="6"/>
      <c r="BFS150" s="6"/>
      <c r="BFT150" s="6"/>
      <c r="BFU150" s="6"/>
      <c r="BFV150" s="6"/>
      <c r="BFW150" s="6"/>
      <c r="BFX150" s="6"/>
      <c r="BFY150" s="6"/>
      <c r="BFZ150" s="6"/>
      <c r="BGA150" s="6"/>
      <c r="BGB150" s="6"/>
      <c r="BGC150" s="6"/>
      <c r="BGD150" s="6"/>
      <c r="BGE150" s="6"/>
      <c r="BGF150" s="6"/>
      <c r="BGG150" s="6"/>
      <c r="BGH150" s="6"/>
      <c r="BGI150" s="6"/>
      <c r="BGJ150" s="6"/>
      <c r="BGK150" s="6"/>
      <c r="BGL150" s="6"/>
      <c r="BGM150" s="6"/>
      <c r="BGN150" s="6"/>
      <c r="BGO150" s="6"/>
      <c r="BGP150" s="6"/>
      <c r="BGQ150" s="6"/>
      <c r="BGR150" s="6"/>
      <c r="BGS150" s="6"/>
      <c r="BGT150" s="6"/>
      <c r="BGU150" s="6"/>
      <c r="BGV150" s="6"/>
      <c r="BGW150" s="6"/>
      <c r="BGX150" s="6"/>
      <c r="BGY150" s="6"/>
      <c r="BGZ150" s="6"/>
      <c r="BHA150" s="6"/>
      <c r="BHB150" s="6"/>
      <c r="BHC150" s="6"/>
      <c r="BHD150" s="6"/>
      <c r="BHE150" s="6"/>
      <c r="BHF150" s="6"/>
      <c r="BHG150" s="6"/>
      <c r="BHH150" s="6"/>
      <c r="BHI150" s="6"/>
      <c r="BHJ150" s="6"/>
      <c r="BHK150" s="6"/>
      <c r="BHL150" s="6"/>
      <c r="BHM150" s="6"/>
      <c r="BHN150" s="6"/>
      <c r="BHO150" s="6"/>
      <c r="BHP150" s="6"/>
      <c r="BHQ150" s="6"/>
      <c r="BHR150" s="6"/>
      <c r="BHS150" s="6"/>
      <c r="BHT150" s="6"/>
      <c r="BHU150" s="6"/>
      <c r="BHV150" s="6"/>
      <c r="BHW150" s="6"/>
      <c r="BHX150" s="6"/>
      <c r="BHY150" s="6"/>
      <c r="BHZ150" s="6"/>
      <c r="BIA150" s="6"/>
      <c r="BIB150" s="6"/>
      <c r="BIC150" s="6"/>
      <c r="BID150" s="6"/>
      <c r="BIE150" s="6"/>
      <c r="BIF150" s="6"/>
      <c r="BIG150" s="6"/>
      <c r="BIH150" s="6"/>
      <c r="BII150" s="6"/>
      <c r="BIJ150" s="6"/>
      <c r="BIK150" s="6"/>
      <c r="BIL150" s="6"/>
      <c r="BIM150" s="6"/>
      <c r="BIN150" s="6"/>
      <c r="BIO150" s="6"/>
      <c r="BIP150" s="6"/>
      <c r="BIQ150" s="6"/>
      <c r="BIR150" s="6"/>
      <c r="BIS150" s="6"/>
      <c r="BIT150" s="6"/>
      <c r="BIU150" s="6"/>
      <c r="BIV150" s="6"/>
      <c r="BIW150" s="6"/>
      <c r="BIX150" s="6"/>
      <c r="BIY150" s="6"/>
      <c r="BIZ150" s="6"/>
      <c r="BJA150" s="6"/>
      <c r="BJB150" s="6"/>
      <c r="BJC150" s="6"/>
      <c r="BJD150" s="6"/>
      <c r="BJE150" s="6"/>
      <c r="BJF150" s="6"/>
      <c r="BJG150" s="6"/>
      <c r="BJH150" s="6"/>
      <c r="BJI150" s="6"/>
      <c r="BJJ150" s="6"/>
      <c r="BJK150" s="6"/>
      <c r="BJL150" s="6"/>
      <c r="BJM150" s="6"/>
      <c r="BJN150" s="6"/>
      <c r="BJO150" s="6"/>
      <c r="BJP150" s="6"/>
      <c r="BJQ150" s="6"/>
      <c r="BJR150" s="6"/>
      <c r="BJS150" s="6"/>
      <c r="BJT150" s="6"/>
      <c r="BJU150" s="6"/>
      <c r="BJV150" s="6"/>
      <c r="BJW150" s="6"/>
      <c r="BJX150" s="6"/>
      <c r="BJY150" s="6"/>
      <c r="BJZ150" s="6"/>
      <c r="BKA150" s="6"/>
      <c r="BKB150" s="6"/>
      <c r="BKC150" s="6"/>
      <c r="BKD150" s="6"/>
      <c r="BKE150" s="6"/>
      <c r="BKF150" s="6"/>
      <c r="BKG150" s="6"/>
      <c r="BKH150" s="6"/>
      <c r="BKI150" s="6"/>
      <c r="BKJ150" s="6"/>
      <c r="BKK150" s="6"/>
      <c r="BKL150" s="6"/>
      <c r="BKM150" s="6"/>
      <c r="BKN150" s="6"/>
      <c r="BKO150" s="6"/>
      <c r="BKP150" s="6"/>
      <c r="BKQ150" s="6"/>
      <c r="BKR150" s="6"/>
      <c r="BKS150" s="6"/>
      <c r="BKT150" s="6"/>
      <c r="BKU150" s="6"/>
      <c r="BKV150" s="6"/>
      <c r="BKW150" s="6"/>
      <c r="BKX150" s="6"/>
      <c r="BKY150" s="6"/>
      <c r="BKZ150" s="6"/>
      <c r="BLA150" s="6"/>
      <c r="BLB150" s="6"/>
      <c r="BLC150" s="6"/>
      <c r="BLD150" s="6"/>
      <c r="BLE150" s="6"/>
      <c r="BLF150" s="6"/>
      <c r="BLG150" s="6"/>
      <c r="BLH150" s="6"/>
      <c r="BLI150" s="6"/>
      <c r="BLJ150" s="6"/>
      <c r="BLK150" s="6"/>
      <c r="BLL150" s="6"/>
      <c r="BLM150" s="6"/>
      <c r="BLN150" s="6"/>
      <c r="BLO150" s="6"/>
      <c r="BLP150" s="6"/>
      <c r="BLQ150" s="6"/>
      <c r="BLR150" s="6"/>
      <c r="BLS150" s="6"/>
      <c r="BLT150" s="6"/>
      <c r="BLU150" s="6"/>
      <c r="BLV150" s="6"/>
      <c r="BLW150" s="6"/>
      <c r="BLX150" s="6"/>
      <c r="BLY150" s="6"/>
      <c r="BLZ150" s="6"/>
      <c r="BMA150" s="6"/>
      <c r="BMB150" s="6"/>
      <c r="BMC150" s="6"/>
      <c r="BMD150" s="6"/>
      <c r="BME150" s="6"/>
      <c r="BMF150" s="6"/>
      <c r="BMG150" s="6"/>
      <c r="BMH150" s="6"/>
      <c r="BMI150" s="6"/>
      <c r="BMJ150" s="6"/>
      <c r="BMK150" s="6"/>
      <c r="BML150" s="6"/>
      <c r="BMM150" s="6"/>
      <c r="BMN150" s="6"/>
      <c r="BMO150" s="6"/>
      <c r="BMP150" s="6"/>
      <c r="BMQ150" s="6"/>
      <c r="BMR150" s="6"/>
      <c r="BMS150" s="6"/>
      <c r="BMT150" s="6"/>
      <c r="BMU150" s="6"/>
      <c r="BMV150" s="6"/>
      <c r="BMW150" s="6"/>
      <c r="BMX150" s="6"/>
      <c r="BMY150" s="6"/>
      <c r="BMZ150" s="6"/>
      <c r="BNA150" s="6"/>
      <c r="BNB150" s="6"/>
      <c r="BNC150" s="6"/>
      <c r="BND150" s="6"/>
      <c r="BNE150" s="6"/>
      <c r="BNF150" s="6"/>
      <c r="BNG150" s="6"/>
      <c r="BNH150" s="6"/>
      <c r="BNI150" s="6"/>
      <c r="BNJ150" s="6"/>
      <c r="BNK150" s="6"/>
      <c r="BNL150" s="6"/>
      <c r="BNM150" s="6"/>
      <c r="BNN150" s="6"/>
      <c r="BNO150" s="6"/>
      <c r="BNP150" s="6"/>
      <c r="BNQ150" s="6"/>
      <c r="BNR150" s="6"/>
      <c r="BNS150" s="6"/>
      <c r="BNT150" s="6"/>
      <c r="BNU150" s="6"/>
      <c r="BNV150" s="6"/>
      <c r="BNW150" s="6"/>
      <c r="BNX150" s="6"/>
      <c r="BNY150" s="6"/>
      <c r="BNZ150" s="6"/>
      <c r="BOA150" s="6"/>
      <c r="BOB150" s="6"/>
      <c r="BOC150" s="6"/>
      <c r="BOD150" s="6"/>
      <c r="BOE150" s="6"/>
      <c r="BOF150" s="6"/>
      <c r="BOG150" s="6"/>
      <c r="BOH150" s="6"/>
      <c r="BOI150" s="6"/>
      <c r="BOJ150" s="6"/>
      <c r="BOK150" s="6"/>
      <c r="BOL150" s="6"/>
      <c r="BOM150" s="6"/>
      <c r="BON150" s="6"/>
      <c r="BOO150" s="6"/>
      <c r="BOP150" s="6"/>
      <c r="BOQ150" s="6"/>
      <c r="BOR150" s="6"/>
      <c r="BOS150" s="6"/>
      <c r="BOT150" s="6"/>
      <c r="BOU150" s="6"/>
      <c r="BOV150" s="6"/>
      <c r="BOW150" s="6"/>
      <c r="BOX150" s="6"/>
      <c r="BOY150" s="6"/>
      <c r="BOZ150" s="6"/>
      <c r="BPA150" s="6"/>
      <c r="BPB150" s="6"/>
      <c r="BPC150" s="6"/>
      <c r="BPD150" s="6"/>
      <c r="BPE150" s="6"/>
      <c r="BPF150" s="6"/>
      <c r="BPG150" s="6"/>
      <c r="BPH150" s="6"/>
      <c r="BPI150" s="6"/>
      <c r="BPJ150" s="6"/>
      <c r="BPK150" s="6"/>
      <c r="BPL150" s="6"/>
      <c r="BPM150" s="6"/>
      <c r="BPN150" s="6"/>
      <c r="BPO150" s="6"/>
      <c r="BPP150" s="6"/>
      <c r="BPQ150" s="6"/>
      <c r="BPR150" s="6"/>
      <c r="BPS150" s="6"/>
      <c r="BPT150" s="6"/>
      <c r="BPU150" s="6"/>
      <c r="BPV150" s="6"/>
      <c r="BPW150" s="6"/>
      <c r="BPX150" s="6"/>
      <c r="BPY150" s="6"/>
      <c r="BPZ150" s="6"/>
      <c r="BQA150" s="6"/>
      <c r="BQB150" s="6"/>
      <c r="BQC150" s="6"/>
      <c r="BQD150" s="6"/>
      <c r="BQE150" s="6"/>
      <c r="BQF150" s="6"/>
      <c r="BQG150" s="6"/>
      <c r="BQH150" s="6"/>
      <c r="BQI150" s="6"/>
      <c r="BQJ150" s="6"/>
      <c r="BQK150" s="6"/>
      <c r="BQL150" s="6"/>
      <c r="BQM150" s="6"/>
      <c r="BQN150" s="6"/>
      <c r="BQO150" s="6"/>
      <c r="BQP150" s="6"/>
      <c r="BQQ150" s="6"/>
      <c r="BQR150" s="6"/>
      <c r="BQS150" s="6"/>
      <c r="BQT150" s="6"/>
      <c r="BQU150" s="6"/>
      <c r="BQV150" s="6"/>
      <c r="BQW150" s="6"/>
      <c r="BQX150" s="6"/>
      <c r="BQY150" s="6"/>
      <c r="BQZ150" s="6"/>
      <c r="BRA150" s="6"/>
      <c r="BRB150" s="6"/>
      <c r="BRC150" s="6"/>
      <c r="BRD150" s="6"/>
      <c r="BRE150" s="6"/>
      <c r="BRF150" s="6"/>
      <c r="BRG150" s="6"/>
      <c r="BRH150" s="6"/>
      <c r="BRI150" s="6"/>
      <c r="BRJ150" s="6"/>
      <c r="BRK150" s="6"/>
      <c r="BRL150" s="6"/>
      <c r="BRM150" s="6"/>
      <c r="BRN150" s="6"/>
      <c r="BRO150" s="6"/>
      <c r="BRP150" s="6"/>
      <c r="BRQ150" s="6"/>
      <c r="BRR150" s="6"/>
      <c r="BRS150" s="6"/>
      <c r="BRT150" s="6"/>
      <c r="BRU150" s="6"/>
      <c r="BRV150" s="6"/>
      <c r="BRW150" s="6"/>
      <c r="BRX150" s="6"/>
      <c r="BRY150" s="6"/>
      <c r="BRZ150" s="6"/>
      <c r="BSA150" s="6"/>
      <c r="BSB150" s="6"/>
      <c r="BSC150" s="6"/>
      <c r="BSD150" s="6"/>
      <c r="BSE150" s="6"/>
      <c r="BSF150" s="6"/>
      <c r="BSG150" s="6"/>
      <c r="BSH150" s="6"/>
      <c r="BSI150" s="6"/>
      <c r="BSJ150" s="6"/>
      <c r="BSK150" s="6"/>
      <c r="BSL150" s="6"/>
      <c r="BSM150" s="6"/>
      <c r="BSN150" s="6"/>
      <c r="BSO150" s="6"/>
      <c r="BSP150" s="6"/>
      <c r="BSQ150" s="6"/>
      <c r="BSR150" s="6"/>
      <c r="BSS150" s="6"/>
      <c r="BST150" s="6"/>
      <c r="BSU150" s="6"/>
      <c r="BSV150" s="6"/>
      <c r="BSW150" s="6"/>
      <c r="BSX150" s="6"/>
      <c r="BSY150" s="6"/>
      <c r="BSZ150" s="6"/>
      <c r="BTA150" s="6"/>
      <c r="BTB150" s="6"/>
      <c r="BTC150" s="6"/>
      <c r="BTD150" s="6"/>
      <c r="BTE150" s="6"/>
      <c r="BTF150" s="6"/>
      <c r="BTG150" s="6"/>
      <c r="BTH150" s="6"/>
      <c r="BTI150" s="6"/>
      <c r="BTJ150" s="6"/>
      <c r="BTK150" s="6"/>
      <c r="BTL150" s="6"/>
      <c r="BTM150" s="6"/>
      <c r="BTN150" s="6"/>
      <c r="BTO150" s="6"/>
      <c r="BTP150" s="6"/>
      <c r="BTQ150" s="6"/>
      <c r="BTR150" s="6"/>
      <c r="BTS150" s="6"/>
      <c r="BTT150" s="6"/>
      <c r="BTU150" s="6"/>
      <c r="BTV150" s="6"/>
      <c r="BTW150" s="6"/>
      <c r="BTX150" s="6"/>
      <c r="BTY150" s="6"/>
      <c r="BTZ150" s="6"/>
      <c r="BUA150" s="6"/>
      <c r="BUB150" s="6"/>
      <c r="BUC150" s="6"/>
      <c r="BUD150" s="6"/>
      <c r="BUE150" s="6"/>
      <c r="BUF150" s="6"/>
      <c r="BUG150" s="6"/>
      <c r="BUH150" s="6"/>
      <c r="BUI150" s="6"/>
      <c r="BUJ150" s="6"/>
      <c r="BUK150" s="6"/>
      <c r="BUL150" s="6"/>
      <c r="BUM150" s="6"/>
      <c r="BUN150" s="6"/>
      <c r="BUO150" s="6"/>
      <c r="BUP150" s="6"/>
      <c r="BUQ150" s="6"/>
      <c r="BUR150" s="6"/>
      <c r="BUS150" s="6"/>
      <c r="BUT150" s="6"/>
      <c r="BUU150" s="6"/>
      <c r="BUV150" s="6"/>
      <c r="BUW150" s="6"/>
      <c r="BUX150" s="6"/>
      <c r="BUY150" s="6"/>
      <c r="BUZ150" s="6"/>
      <c r="BVA150" s="6"/>
      <c r="BVB150" s="6"/>
      <c r="BVC150" s="6"/>
      <c r="BVD150" s="6"/>
      <c r="BVE150" s="6"/>
      <c r="BVF150" s="6"/>
      <c r="BVG150" s="6"/>
      <c r="BVH150" s="6"/>
      <c r="BVI150" s="6"/>
      <c r="BVJ150" s="6"/>
      <c r="BVK150" s="6"/>
      <c r="BVL150" s="6"/>
      <c r="BVM150" s="6"/>
      <c r="BVN150" s="6"/>
      <c r="BVO150" s="6"/>
      <c r="BVP150" s="6"/>
      <c r="BVQ150" s="6"/>
      <c r="BVR150" s="6"/>
      <c r="BVS150" s="6"/>
      <c r="BVT150" s="6"/>
      <c r="BVU150" s="6"/>
      <c r="BVV150" s="6"/>
      <c r="BVW150" s="6"/>
      <c r="BVX150" s="6"/>
      <c r="BVY150" s="6"/>
      <c r="BVZ150" s="6"/>
      <c r="BWA150" s="6"/>
      <c r="BWB150" s="6"/>
      <c r="BWC150" s="6"/>
      <c r="BWD150" s="6"/>
      <c r="BWE150" s="6"/>
      <c r="BWF150" s="6"/>
      <c r="BWG150" s="6"/>
      <c r="BWH150" s="6"/>
      <c r="BWI150" s="6"/>
      <c r="BWJ150" s="6"/>
      <c r="BWK150" s="6"/>
      <c r="BWL150" s="6"/>
      <c r="BWM150" s="6"/>
      <c r="BWN150" s="6"/>
      <c r="BWO150" s="6"/>
      <c r="BWP150" s="6"/>
      <c r="BWQ150" s="6"/>
      <c r="BWR150" s="6"/>
      <c r="BWS150" s="6"/>
      <c r="BWT150" s="6"/>
      <c r="BWU150" s="6"/>
      <c r="BWV150" s="6"/>
      <c r="BWW150" s="6"/>
      <c r="BWX150" s="6"/>
      <c r="BWY150" s="6"/>
      <c r="BWZ150" s="6"/>
      <c r="BXA150" s="6"/>
      <c r="BXB150" s="6"/>
      <c r="BXC150" s="6"/>
      <c r="BXD150" s="6"/>
      <c r="BXE150" s="6"/>
      <c r="BXF150" s="6"/>
      <c r="BXG150" s="6"/>
      <c r="BXH150" s="6"/>
      <c r="BXI150" s="6"/>
      <c r="BXJ150" s="6"/>
      <c r="BXK150" s="6"/>
      <c r="BXL150" s="6"/>
      <c r="BXM150" s="6"/>
      <c r="BXN150" s="6"/>
      <c r="BXO150" s="6"/>
      <c r="BXP150" s="6"/>
      <c r="BXQ150" s="6"/>
      <c r="BXR150" s="6"/>
      <c r="BXS150" s="6"/>
      <c r="BXT150" s="6"/>
      <c r="BXU150" s="6"/>
      <c r="BXV150" s="6"/>
      <c r="BXW150" s="6"/>
      <c r="BXX150" s="6"/>
      <c r="BXY150" s="6"/>
      <c r="BXZ150" s="6"/>
      <c r="BYA150" s="6"/>
      <c r="BYB150" s="6"/>
      <c r="BYC150" s="6"/>
      <c r="BYD150" s="6"/>
      <c r="BYE150" s="6"/>
      <c r="BYF150" s="6"/>
      <c r="BYG150" s="6"/>
      <c r="BYH150" s="6"/>
      <c r="BYI150" s="6"/>
      <c r="BYJ150" s="6"/>
      <c r="BYK150" s="6"/>
      <c r="BYL150" s="6"/>
      <c r="BYM150" s="6"/>
      <c r="BYN150" s="6"/>
      <c r="BYO150" s="6"/>
      <c r="BYP150" s="6"/>
      <c r="BYQ150" s="6"/>
      <c r="BYR150" s="6"/>
      <c r="BYS150" s="6"/>
      <c r="BYT150" s="6"/>
      <c r="BYU150" s="6"/>
      <c r="BYV150" s="6"/>
      <c r="BYW150" s="6"/>
      <c r="BYX150" s="6"/>
      <c r="BYY150" s="6"/>
      <c r="BYZ150" s="6"/>
      <c r="BZA150" s="6"/>
      <c r="BZB150" s="6"/>
      <c r="BZC150" s="6"/>
      <c r="BZD150" s="6"/>
      <c r="BZE150" s="6"/>
      <c r="BZF150" s="6"/>
      <c r="BZG150" s="6"/>
      <c r="BZH150" s="6"/>
      <c r="BZI150" s="6"/>
      <c r="BZJ150" s="6"/>
      <c r="BZK150" s="6"/>
      <c r="BZL150" s="6"/>
      <c r="BZM150" s="6"/>
      <c r="BZN150" s="6"/>
      <c r="BZO150" s="6"/>
      <c r="BZP150" s="6"/>
      <c r="BZQ150" s="6"/>
      <c r="BZR150" s="6"/>
      <c r="BZS150" s="6"/>
      <c r="BZT150" s="6"/>
      <c r="BZU150" s="6"/>
      <c r="BZV150" s="6"/>
      <c r="BZW150" s="6"/>
      <c r="BZX150" s="6"/>
      <c r="BZY150" s="6"/>
      <c r="BZZ150" s="6"/>
      <c r="CAA150" s="6"/>
      <c r="CAB150" s="6"/>
      <c r="CAC150" s="6"/>
      <c r="CAD150" s="6"/>
      <c r="CAE150" s="6"/>
      <c r="CAF150" s="6"/>
      <c r="CAG150" s="6"/>
      <c r="CAH150" s="6"/>
      <c r="CAI150" s="6"/>
      <c r="CAJ150" s="6"/>
      <c r="CAK150" s="6"/>
      <c r="CAL150" s="6"/>
      <c r="CAM150" s="6"/>
      <c r="CAN150" s="6"/>
      <c r="CAO150" s="6"/>
      <c r="CAP150" s="6"/>
      <c r="CAQ150" s="6"/>
      <c r="CAR150" s="6"/>
      <c r="CAS150" s="6"/>
      <c r="CAT150" s="6"/>
      <c r="CAU150" s="6"/>
      <c r="CAV150" s="6"/>
      <c r="CAW150" s="6"/>
      <c r="CAX150" s="6"/>
      <c r="CAY150" s="6"/>
      <c r="CAZ150" s="6"/>
      <c r="CBA150" s="6"/>
      <c r="CBB150" s="6"/>
      <c r="CBC150" s="6"/>
      <c r="CBD150" s="6"/>
      <c r="CBE150" s="6"/>
      <c r="CBF150" s="6"/>
      <c r="CBG150" s="6"/>
      <c r="CBH150" s="6"/>
      <c r="CBI150" s="6"/>
      <c r="CBJ150" s="6"/>
      <c r="CBK150" s="6"/>
      <c r="CBL150" s="6"/>
      <c r="CBM150" s="6"/>
      <c r="CBN150" s="6"/>
      <c r="CBO150" s="6"/>
      <c r="CBP150" s="6"/>
      <c r="CBQ150" s="6"/>
      <c r="CBR150" s="6"/>
      <c r="CBS150" s="6"/>
      <c r="CBT150" s="6"/>
      <c r="CBU150" s="6"/>
      <c r="CBV150" s="6"/>
      <c r="CBW150" s="6"/>
      <c r="CBX150" s="6"/>
      <c r="CBY150" s="6"/>
      <c r="CBZ150" s="6"/>
      <c r="CCA150" s="6"/>
      <c r="CCB150" s="6"/>
      <c r="CCC150" s="6"/>
      <c r="CCD150" s="6"/>
      <c r="CCE150" s="6"/>
      <c r="CCF150" s="6"/>
      <c r="CCG150" s="6"/>
      <c r="CCH150" s="6"/>
      <c r="CCI150" s="6"/>
      <c r="CCJ150" s="6"/>
      <c r="CCK150" s="6"/>
      <c r="CCL150" s="6"/>
      <c r="CCM150" s="6"/>
      <c r="CCN150" s="6"/>
      <c r="CCO150" s="6"/>
      <c r="CCP150" s="6"/>
      <c r="CCQ150" s="6"/>
      <c r="CCR150" s="6"/>
      <c r="CCS150" s="6"/>
      <c r="CCT150" s="6"/>
      <c r="CCU150" s="6"/>
      <c r="CCV150" s="6"/>
      <c r="CCW150" s="6"/>
      <c r="CCX150" s="6"/>
      <c r="CCY150" s="6"/>
      <c r="CCZ150" s="6"/>
      <c r="CDA150" s="6"/>
      <c r="CDB150" s="6"/>
      <c r="CDC150" s="6"/>
      <c r="CDD150" s="6"/>
      <c r="CDE150" s="6"/>
      <c r="CDF150" s="6"/>
      <c r="CDG150" s="6"/>
      <c r="CDH150" s="6"/>
      <c r="CDI150" s="6"/>
      <c r="CDJ150" s="6"/>
      <c r="CDK150" s="6"/>
      <c r="CDL150" s="6"/>
      <c r="CDM150" s="6"/>
      <c r="CDN150" s="6"/>
      <c r="CDO150" s="6"/>
      <c r="CDP150" s="6"/>
      <c r="CDQ150" s="6"/>
      <c r="CDR150" s="6"/>
      <c r="CDS150" s="6"/>
      <c r="CDT150" s="6"/>
      <c r="CDU150" s="6"/>
      <c r="CDV150" s="6"/>
      <c r="CDW150" s="6"/>
      <c r="CDX150" s="6"/>
      <c r="CDY150" s="6"/>
      <c r="CDZ150" s="6"/>
      <c r="CEA150" s="6"/>
      <c r="CEB150" s="6"/>
      <c r="CEC150" s="6"/>
      <c r="CED150" s="6"/>
      <c r="CEE150" s="6"/>
      <c r="CEF150" s="6"/>
      <c r="CEG150" s="6"/>
      <c r="CEH150" s="6"/>
      <c r="CEI150" s="6"/>
      <c r="CEJ150" s="6"/>
      <c r="CEK150" s="6"/>
      <c r="CEL150" s="6"/>
      <c r="CEM150" s="6"/>
      <c r="CEN150" s="6"/>
      <c r="CEO150" s="6"/>
      <c r="CEP150" s="6"/>
      <c r="CEQ150" s="6"/>
      <c r="CER150" s="6"/>
      <c r="CES150" s="6"/>
      <c r="CET150" s="6"/>
      <c r="CEU150" s="6"/>
      <c r="CEV150" s="6"/>
      <c r="CEW150" s="6"/>
      <c r="CEX150" s="6"/>
      <c r="CEY150" s="6"/>
      <c r="CEZ150" s="6"/>
      <c r="CFA150" s="6"/>
      <c r="CFB150" s="6"/>
      <c r="CFC150" s="6"/>
      <c r="CFD150" s="6"/>
      <c r="CFE150" s="6"/>
      <c r="CFF150" s="6"/>
      <c r="CFG150" s="6"/>
      <c r="CFH150" s="6"/>
      <c r="CFI150" s="6"/>
      <c r="CFJ150" s="6"/>
      <c r="CFK150" s="6"/>
      <c r="CFL150" s="6"/>
      <c r="CFM150" s="6"/>
      <c r="CFN150" s="6"/>
      <c r="CFO150" s="6"/>
      <c r="CFP150" s="6"/>
      <c r="CFQ150" s="6"/>
      <c r="CFR150" s="6"/>
      <c r="CFS150" s="6"/>
      <c r="CFT150" s="6"/>
      <c r="CFU150" s="6"/>
      <c r="CFV150" s="6"/>
      <c r="CFW150" s="6"/>
      <c r="CFX150" s="6"/>
      <c r="CFY150" s="6"/>
      <c r="CFZ150" s="6"/>
      <c r="CGA150" s="6"/>
      <c r="CGB150" s="6"/>
      <c r="CGC150" s="6"/>
      <c r="CGD150" s="6"/>
      <c r="CGE150" s="6"/>
      <c r="CGF150" s="6"/>
      <c r="CGG150" s="6"/>
      <c r="CGH150" s="6"/>
      <c r="CGI150" s="6"/>
      <c r="CGJ150" s="6"/>
      <c r="CGK150" s="6"/>
      <c r="CGL150" s="6"/>
      <c r="CGM150" s="6"/>
      <c r="CGN150" s="6"/>
      <c r="CGO150" s="6"/>
      <c r="CGP150" s="6"/>
      <c r="CGQ150" s="6"/>
      <c r="CGR150" s="6"/>
      <c r="CGS150" s="6"/>
      <c r="CGT150" s="6"/>
      <c r="CGU150" s="6"/>
      <c r="CGV150" s="6"/>
      <c r="CGW150" s="6"/>
      <c r="CGX150" s="6"/>
      <c r="CGY150" s="6"/>
      <c r="CGZ150" s="6"/>
      <c r="CHA150" s="6"/>
      <c r="CHB150" s="6"/>
      <c r="CHC150" s="6"/>
      <c r="CHD150" s="6"/>
      <c r="CHE150" s="6"/>
      <c r="CHF150" s="6"/>
      <c r="CHG150" s="6"/>
      <c r="CHH150" s="6"/>
      <c r="CHI150" s="6"/>
      <c r="CHJ150" s="6"/>
      <c r="CHK150" s="6"/>
      <c r="CHL150" s="6"/>
      <c r="CHM150" s="6"/>
      <c r="CHN150" s="6"/>
      <c r="CHO150" s="6"/>
      <c r="CHP150" s="6"/>
      <c r="CHQ150" s="6"/>
      <c r="CHR150" s="6"/>
      <c r="CHS150" s="6"/>
      <c r="CHT150" s="6"/>
      <c r="CHU150" s="6"/>
      <c r="CHV150" s="6"/>
      <c r="CHW150" s="6"/>
      <c r="CHX150" s="6"/>
      <c r="CHY150" s="6"/>
      <c r="CHZ150" s="6"/>
      <c r="CIA150" s="6"/>
      <c r="CIB150" s="6"/>
      <c r="CIC150" s="6"/>
      <c r="CID150" s="6"/>
      <c r="CIE150" s="6"/>
      <c r="CIF150" s="6"/>
      <c r="CIG150" s="6"/>
      <c r="CIH150" s="6"/>
      <c r="CII150" s="6"/>
      <c r="CIJ150" s="6"/>
      <c r="CIK150" s="6"/>
      <c r="CIL150" s="6"/>
      <c r="CIM150" s="6"/>
      <c r="CIN150" s="6"/>
      <c r="CIO150" s="6"/>
      <c r="CIP150" s="6"/>
      <c r="CIQ150" s="6"/>
      <c r="CIR150" s="6"/>
      <c r="CIS150" s="6"/>
      <c r="CIT150" s="6"/>
      <c r="CIU150" s="6"/>
      <c r="CIV150" s="6"/>
      <c r="CIW150" s="6"/>
      <c r="CIX150" s="6"/>
      <c r="CIY150" s="6"/>
      <c r="CIZ150" s="6"/>
      <c r="CJA150" s="6"/>
      <c r="CJB150" s="6"/>
      <c r="CJC150" s="6"/>
      <c r="CJD150" s="6"/>
      <c r="CJE150" s="6"/>
      <c r="CJF150" s="6"/>
      <c r="CJG150" s="6"/>
      <c r="CJH150" s="6"/>
      <c r="CJI150" s="6"/>
      <c r="CJJ150" s="6"/>
      <c r="CJK150" s="6"/>
      <c r="CJL150" s="6"/>
      <c r="CJM150" s="6"/>
      <c r="CJN150" s="6"/>
      <c r="CJO150" s="6"/>
      <c r="CJP150" s="6"/>
      <c r="CJQ150" s="6"/>
      <c r="CJR150" s="6"/>
      <c r="CJS150" s="6"/>
      <c r="CJT150" s="6"/>
      <c r="CJU150" s="6"/>
      <c r="CJV150" s="6"/>
      <c r="CJW150" s="6"/>
      <c r="CJX150" s="6"/>
      <c r="CJY150" s="6"/>
      <c r="CJZ150" s="6"/>
      <c r="CKA150" s="6"/>
      <c r="CKB150" s="6"/>
      <c r="CKC150" s="6"/>
      <c r="CKD150" s="6"/>
      <c r="CKE150" s="6"/>
      <c r="CKF150" s="6"/>
      <c r="CKG150" s="6"/>
      <c r="CKH150" s="6"/>
      <c r="CKI150" s="6"/>
      <c r="CKJ150" s="6"/>
      <c r="CKK150" s="6"/>
      <c r="CKL150" s="6"/>
      <c r="CKM150" s="6"/>
      <c r="CKN150" s="6"/>
      <c r="CKO150" s="6"/>
      <c r="CKP150" s="6"/>
      <c r="CKQ150" s="6"/>
      <c r="CKR150" s="6"/>
      <c r="CKS150" s="6"/>
      <c r="CKT150" s="6"/>
      <c r="CKU150" s="6"/>
      <c r="CKV150" s="6"/>
      <c r="CKW150" s="6"/>
      <c r="CKX150" s="6"/>
      <c r="CKY150" s="6"/>
      <c r="CKZ150" s="6"/>
      <c r="CLA150" s="6"/>
      <c r="CLB150" s="6"/>
      <c r="CLC150" s="6"/>
      <c r="CLD150" s="6"/>
      <c r="CLE150" s="6"/>
      <c r="CLF150" s="6"/>
      <c r="CLG150" s="6"/>
      <c r="CLH150" s="6"/>
      <c r="CLI150" s="6"/>
      <c r="CLJ150" s="6"/>
      <c r="CLK150" s="6"/>
      <c r="CLL150" s="6"/>
      <c r="CLM150" s="6"/>
      <c r="CLN150" s="6"/>
      <c r="CLO150" s="6"/>
      <c r="CLP150" s="6"/>
      <c r="CLQ150" s="6"/>
      <c r="CLR150" s="6"/>
      <c r="CLS150" s="6"/>
      <c r="CLT150" s="6"/>
      <c r="CLU150" s="6"/>
      <c r="CLV150" s="6"/>
      <c r="CLW150" s="6"/>
      <c r="CLX150" s="6"/>
      <c r="CLY150" s="6"/>
      <c r="CLZ150" s="6"/>
      <c r="CMA150" s="6"/>
      <c r="CMB150" s="6"/>
      <c r="CMC150" s="6"/>
      <c r="CMD150" s="6"/>
      <c r="CME150" s="6"/>
      <c r="CMF150" s="6"/>
      <c r="CMG150" s="6"/>
      <c r="CMH150" s="6"/>
      <c r="CMI150" s="6"/>
      <c r="CMJ150" s="6"/>
      <c r="CMK150" s="6"/>
      <c r="CML150" s="6"/>
      <c r="CMM150" s="6"/>
      <c r="CMN150" s="6"/>
      <c r="CMO150" s="6"/>
      <c r="CMP150" s="6"/>
      <c r="CMQ150" s="6"/>
      <c r="CMR150" s="6"/>
      <c r="CMS150" s="6"/>
      <c r="CMT150" s="6"/>
      <c r="CMU150" s="6"/>
      <c r="CMV150" s="6"/>
      <c r="CMW150" s="6"/>
      <c r="CMX150" s="6"/>
      <c r="CMY150" s="6"/>
      <c r="CMZ150" s="6"/>
      <c r="CNA150" s="6"/>
      <c r="CNB150" s="6"/>
      <c r="CNC150" s="6"/>
      <c r="CND150" s="6"/>
      <c r="CNE150" s="6"/>
      <c r="CNF150" s="6"/>
      <c r="CNG150" s="6"/>
      <c r="CNH150" s="6"/>
      <c r="CNI150" s="6"/>
      <c r="CNJ150" s="6"/>
      <c r="CNK150" s="6"/>
      <c r="CNL150" s="6"/>
      <c r="CNM150" s="6"/>
      <c r="CNN150" s="6"/>
      <c r="CNO150" s="6"/>
      <c r="CNP150" s="6"/>
      <c r="CNQ150" s="6"/>
      <c r="CNR150" s="6"/>
      <c r="CNS150" s="6"/>
      <c r="CNT150" s="6"/>
      <c r="CNU150" s="6"/>
      <c r="CNV150" s="6"/>
      <c r="CNW150" s="6"/>
      <c r="CNX150" s="6"/>
      <c r="CNY150" s="6"/>
      <c r="CNZ150" s="6"/>
      <c r="COA150" s="6"/>
      <c r="COB150" s="6"/>
      <c r="COC150" s="6"/>
      <c r="COD150" s="6"/>
      <c r="COE150" s="6"/>
      <c r="COF150" s="6"/>
      <c r="COG150" s="6"/>
      <c r="COH150" s="6"/>
      <c r="COI150" s="6"/>
      <c r="COJ150" s="6"/>
      <c r="COK150" s="6"/>
      <c r="COL150" s="6"/>
      <c r="COM150" s="6"/>
      <c r="CON150" s="6"/>
      <c r="COO150" s="6"/>
      <c r="COP150" s="6"/>
      <c r="COQ150" s="6"/>
      <c r="COR150" s="6"/>
      <c r="COS150" s="6"/>
      <c r="COT150" s="6"/>
      <c r="COU150" s="6"/>
      <c r="COV150" s="6"/>
      <c r="COW150" s="6"/>
      <c r="COX150" s="6"/>
      <c r="COY150" s="6"/>
      <c r="COZ150" s="6"/>
      <c r="CPA150" s="6"/>
      <c r="CPB150" s="6"/>
      <c r="CPC150" s="6"/>
      <c r="CPD150" s="6"/>
      <c r="CPE150" s="6"/>
      <c r="CPF150" s="6"/>
      <c r="CPG150" s="6"/>
      <c r="CPH150" s="6"/>
      <c r="CPI150" s="6"/>
      <c r="CPJ150" s="6"/>
      <c r="CPK150" s="6"/>
      <c r="CPL150" s="6"/>
      <c r="CPM150" s="6"/>
      <c r="CPN150" s="6"/>
      <c r="CPO150" s="6"/>
      <c r="CPP150" s="6"/>
      <c r="CPQ150" s="6"/>
      <c r="CPR150" s="6"/>
      <c r="CPS150" s="6"/>
      <c r="CPT150" s="6"/>
      <c r="CPU150" s="6"/>
      <c r="CPV150" s="6"/>
      <c r="CPW150" s="6"/>
      <c r="CPX150" s="6"/>
      <c r="CPY150" s="6"/>
      <c r="CPZ150" s="6"/>
      <c r="CQA150" s="6"/>
      <c r="CQB150" s="6"/>
      <c r="CQC150" s="6"/>
      <c r="CQD150" s="6"/>
      <c r="CQE150" s="6"/>
      <c r="CQF150" s="6"/>
      <c r="CQG150" s="6"/>
      <c r="CQH150" s="6"/>
      <c r="CQI150" s="6"/>
      <c r="CQJ150" s="6"/>
      <c r="CQK150" s="6"/>
      <c r="CQL150" s="6"/>
      <c r="CQM150" s="6"/>
      <c r="CQN150" s="6"/>
      <c r="CQO150" s="6"/>
      <c r="CQP150" s="6"/>
      <c r="CQQ150" s="6"/>
      <c r="CQR150" s="6"/>
      <c r="CQS150" s="6"/>
      <c r="CQT150" s="6"/>
      <c r="CQU150" s="6"/>
      <c r="CQV150" s="6"/>
      <c r="CQW150" s="6"/>
      <c r="CQX150" s="6"/>
      <c r="CQY150" s="6"/>
      <c r="CQZ150" s="6"/>
      <c r="CRA150" s="6"/>
      <c r="CRB150" s="6"/>
      <c r="CRC150" s="6"/>
      <c r="CRD150" s="6"/>
      <c r="CRE150" s="6"/>
      <c r="CRF150" s="6"/>
      <c r="CRG150" s="6"/>
      <c r="CRH150" s="6"/>
      <c r="CRI150" s="6"/>
      <c r="CRJ150" s="6"/>
      <c r="CRK150" s="6"/>
      <c r="CRL150" s="6"/>
      <c r="CRM150" s="6"/>
      <c r="CRN150" s="6"/>
      <c r="CRO150" s="6"/>
      <c r="CRP150" s="6"/>
      <c r="CRQ150" s="6"/>
      <c r="CRR150" s="6"/>
      <c r="CRS150" s="6"/>
      <c r="CRT150" s="6"/>
      <c r="CRU150" s="6"/>
      <c r="CRV150" s="6"/>
      <c r="CRW150" s="6"/>
      <c r="CRX150" s="6"/>
      <c r="CRY150" s="6"/>
      <c r="CRZ150" s="6"/>
      <c r="CSA150" s="6"/>
      <c r="CSB150" s="6"/>
      <c r="CSC150" s="6"/>
      <c r="CSD150" s="6"/>
      <c r="CSE150" s="6"/>
      <c r="CSF150" s="6"/>
      <c r="CSG150" s="6"/>
      <c r="CSH150" s="6"/>
      <c r="CSI150" s="6"/>
      <c r="CSJ150" s="6"/>
      <c r="CSK150" s="6"/>
      <c r="CSL150" s="6"/>
      <c r="CSM150" s="6"/>
      <c r="CSN150" s="6"/>
      <c r="CSO150" s="6"/>
      <c r="CSP150" s="6"/>
      <c r="CSQ150" s="6"/>
      <c r="CSR150" s="6"/>
      <c r="CSS150" s="6"/>
      <c r="CST150" s="6"/>
      <c r="CSU150" s="6"/>
      <c r="CSV150" s="6"/>
      <c r="CSW150" s="6"/>
      <c r="CSX150" s="6"/>
      <c r="CSY150" s="6"/>
      <c r="CSZ150" s="6"/>
      <c r="CTA150" s="6"/>
      <c r="CTB150" s="6"/>
      <c r="CTC150" s="6"/>
      <c r="CTD150" s="6"/>
      <c r="CTE150" s="6"/>
      <c r="CTF150" s="6"/>
      <c r="CTG150" s="6"/>
      <c r="CTH150" s="6"/>
      <c r="CTI150" s="6"/>
      <c r="CTJ150" s="6"/>
      <c r="CTK150" s="6"/>
      <c r="CTL150" s="6"/>
      <c r="CTM150" s="6"/>
      <c r="CTN150" s="6"/>
      <c r="CTO150" s="6"/>
      <c r="CTP150" s="6"/>
      <c r="CTQ150" s="6"/>
      <c r="CTR150" s="6"/>
      <c r="CTS150" s="6"/>
      <c r="CTT150" s="6"/>
      <c r="CTU150" s="6"/>
      <c r="CTV150" s="6"/>
      <c r="CTW150" s="6"/>
      <c r="CTX150" s="6"/>
      <c r="CTY150" s="6"/>
      <c r="CTZ150" s="6"/>
      <c r="CUA150" s="6"/>
      <c r="CUB150" s="6"/>
      <c r="CUC150" s="6"/>
      <c r="CUD150" s="6"/>
      <c r="CUE150" s="6"/>
      <c r="CUF150" s="6"/>
      <c r="CUG150" s="6"/>
      <c r="CUH150" s="6"/>
      <c r="CUI150" s="6"/>
      <c r="CUJ150" s="6"/>
      <c r="CUK150" s="6"/>
      <c r="CUL150" s="6"/>
      <c r="CUM150" s="6"/>
      <c r="CUN150" s="6"/>
      <c r="CUO150" s="6"/>
      <c r="CUP150" s="6"/>
      <c r="CUQ150" s="6"/>
      <c r="CUR150" s="6"/>
      <c r="CUS150" s="6"/>
      <c r="CUT150" s="6"/>
      <c r="CUU150" s="6"/>
      <c r="CUV150" s="6"/>
      <c r="CUW150" s="6"/>
      <c r="CUX150" s="6"/>
      <c r="CUY150" s="6"/>
      <c r="CUZ150" s="6"/>
      <c r="CVA150" s="6"/>
      <c r="CVB150" s="6"/>
      <c r="CVC150" s="6"/>
      <c r="CVD150" s="6"/>
      <c r="CVE150" s="6"/>
      <c r="CVF150" s="6"/>
      <c r="CVG150" s="6"/>
      <c r="CVH150" s="6"/>
      <c r="CVI150" s="6"/>
      <c r="CVJ150" s="6"/>
      <c r="CVK150" s="6"/>
      <c r="CVL150" s="6"/>
      <c r="CVM150" s="6"/>
      <c r="CVN150" s="6"/>
      <c r="CVO150" s="6"/>
      <c r="CVP150" s="6"/>
      <c r="CVQ150" s="6"/>
      <c r="CVR150" s="6"/>
      <c r="CVS150" s="6"/>
      <c r="CVT150" s="6"/>
      <c r="CVU150" s="6"/>
      <c r="CVV150" s="6"/>
      <c r="CVW150" s="6"/>
      <c r="CVX150" s="6"/>
      <c r="CVY150" s="6"/>
      <c r="CVZ150" s="6"/>
      <c r="CWA150" s="6"/>
      <c r="CWB150" s="6"/>
      <c r="CWC150" s="6"/>
      <c r="CWD150" s="6"/>
      <c r="CWE150" s="6"/>
      <c r="CWF150" s="6"/>
      <c r="CWG150" s="6"/>
      <c r="CWH150" s="6"/>
      <c r="CWI150" s="6"/>
      <c r="CWJ150" s="6"/>
      <c r="CWK150" s="6"/>
      <c r="CWL150" s="6"/>
      <c r="CWM150" s="6"/>
      <c r="CWN150" s="6"/>
      <c r="CWO150" s="6"/>
      <c r="CWP150" s="6"/>
      <c r="CWQ150" s="6"/>
      <c r="CWR150" s="6"/>
      <c r="CWS150" s="6"/>
      <c r="CWT150" s="6"/>
      <c r="CWU150" s="6"/>
      <c r="CWV150" s="6"/>
      <c r="CWW150" s="6"/>
      <c r="CWX150" s="6"/>
      <c r="CWY150" s="6"/>
      <c r="CWZ150" s="6"/>
      <c r="CXA150" s="6"/>
      <c r="CXB150" s="6"/>
      <c r="CXC150" s="6"/>
      <c r="CXD150" s="6"/>
      <c r="CXE150" s="6"/>
      <c r="CXF150" s="6"/>
      <c r="CXG150" s="6"/>
      <c r="CXH150" s="6"/>
      <c r="CXI150" s="6"/>
      <c r="CXJ150" s="6"/>
      <c r="CXK150" s="6"/>
      <c r="CXL150" s="6"/>
      <c r="CXM150" s="6"/>
      <c r="CXN150" s="6"/>
      <c r="CXO150" s="6"/>
      <c r="CXP150" s="6"/>
      <c r="CXQ150" s="6"/>
      <c r="CXR150" s="6"/>
      <c r="CXS150" s="6"/>
      <c r="CXT150" s="6"/>
      <c r="CXU150" s="6"/>
      <c r="CXV150" s="6"/>
      <c r="CXW150" s="6"/>
      <c r="CXX150" s="6"/>
      <c r="CXY150" s="6"/>
      <c r="CXZ150" s="6"/>
      <c r="CYA150" s="6"/>
      <c r="CYB150" s="6"/>
      <c r="CYC150" s="6"/>
      <c r="CYD150" s="6"/>
      <c r="CYE150" s="6"/>
      <c r="CYF150" s="6"/>
      <c r="CYG150" s="6"/>
      <c r="CYH150" s="6"/>
      <c r="CYI150" s="6"/>
      <c r="CYJ150" s="6"/>
      <c r="CYK150" s="6"/>
      <c r="CYL150" s="6"/>
      <c r="CYM150" s="6"/>
      <c r="CYN150" s="6"/>
      <c r="CYO150" s="6"/>
      <c r="CYP150" s="6"/>
      <c r="CYQ150" s="6"/>
      <c r="CYR150" s="6"/>
      <c r="CYS150" s="6"/>
      <c r="CYT150" s="6"/>
      <c r="CYU150" s="6"/>
      <c r="CYV150" s="6"/>
      <c r="CYW150" s="6"/>
      <c r="CYX150" s="6"/>
      <c r="CYY150" s="6"/>
      <c r="CYZ150" s="6"/>
      <c r="CZA150" s="6"/>
      <c r="CZB150" s="6"/>
      <c r="CZC150" s="6"/>
      <c r="CZD150" s="6"/>
      <c r="CZE150" s="6"/>
      <c r="CZF150" s="6"/>
      <c r="CZG150" s="6"/>
      <c r="CZH150" s="6"/>
      <c r="CZI150" s="6"/>
      <c r="CZJ150" s="6"/>
      <c r="CZK150" s="6"/>
      <c r="CZL150" s="6"/>
      <c r="CZM150" s="6"/>
      <c r="CZN150" s="6"/>
      <c r="CZO150" s="6"/>
      <c r="CZP150" s="6"/>
      <c r="CZQ150" s="6"/>
      <c r="CZR150" s="6"/>
      <c r="CZS150" s="6"/>
      <c r="CZT150" s="6"/>
      <c r="CZU150" s="6"/>
      <c r="CZV150" s="6"/>
      <c r="CZW150" s="6"/>
      <c r="CZX150" s="6"/>
      <c r="CZY150" s="6"/>
      <c r="CZZ150" s="6"/>
      <c r="DAA150" s="6"/>
      <c r="DAB150" s="6"/>
      <c r="DAC150" s="6"/>
      <c r="DAD150" s="6"/>
      <c r="DAE150" s="6"/>
      <c r="DAF150" s="6"/>
      <c r="DAG150" s="6"/>
      <c r="DAH150" s="6"/>
      <c r="DAI150" s="6"/>
      <c r="DAJ150" s="6"/>
      <c r="DAK150" s="6"/>
      <c r="DAL150" s="6"/>
      <c r="DAM150" s="6"/>
      <c r="DAN150" s="6"/>
      <c r="DAO150" s="6"/>
      <c r="DAP150" s="6"/>
      <c r="DAQ150" s="6"/>
      <c r="DAR150" s="6"/>
      <c r="DAS150" s="6"/>
      <c r="DAT150" s="6"/>
      <c r="DAU150" s="6"/>
      <c r="DAV150" s="6"/>
      <c r="DAW150" s="6"/>
      <c r="DAX150" s="6"/>
      <c r="DAY150" s="6"/>
      <c r="DAZ150" s="6"/>
      <c r="DBA150" s="6"/>
      <c r="DBB150" s="6"/>
      <c r="DBC150" s="6"/>
      <c r="DBD150" s="6"/>
      <c r="DBE150" s="6"/>
      <c r="DBF150" s="6"/>
      <c r="DBG150" s="6"/>
      <c r="DBH150" s="6"/>
      <c r="DBI150" s="6"/>
      <c r="DBJ150" s="6"/>
      <c r="DBK150" s="6"/>
      <c r="DBL150" s="6"/>
      <c r="DBM150" s="6"/>
      <c r="DBN150" s="6"/>
      <c r="DBO150" s="6"/>
      <c r="DBP150" s="6"/>
      <c r="DBQ150" s="6"/>
      <c r="DBR150" s="6"/>
      <c r="DBS150" s="6"/>
      <c r="DBT150" s="6"/>
      <c r="DBU150" s="6"/>
      <c r="DBV150" s="6"/>
      <c r="DBW150" s="6"/>
      <c r="DBX150" s="6"/>
      <c r="DBY150" s="6"/>
      <c r="DBZ150" s="6"/>
      <c r="DCA150" s="6"/>
      <c r="DCB150" s="6"/>
      <c r="DCC150" s="6"/>
      <c r="DCD150" s="6"/>
      <c r="DCE150" s="6"/>
      <c r="DCF150" s="6"/>
      <c r="DCG150" s="6"/>
      <c r="DCH150" s="6"/>
      <c r="DCI150" s="6"/>
      <c r="DCJ150" s="6"/>
      <c r="DCK150" s="6"/>
      <c r="DCL150" s="6"/>
      <c r="DCM150" s="6"/>
      <c r="DCN150" s="6"/>
      <c r="DCO150" s="6"/>
      <c r="DCP150" s="6"/>
      <c r="DCQ150" s="6"/>
      <c r="DCR150" s="6"/>
      <c r="DCS150" s="6"/>
      <c r="DCT150" s="6"/>
      <c r="DCU150" s="6"/>
      <c r="DCV150" s="6"/>
      <c r="DCW150" s="6"/>
      <c r="DCX150" s="6"/>
      <c r="DCY150" s="6"/>
      <c r="DCZ150" s="6"/>
      <c r="DDA150" s="6"/>
      <c r="DDB150" s="6"/>
      <c r="DDC150" s="6"/>
      <c r="DDD150" s="6"/>
      <c r="DDE150" s="6"/>
      <c r="DDF150" s="6"/>
      <c r="DDG150" s="6"/>
      <c r="DDH150" s="6"/>
      <c r="DDI150" s="6"/>
      <c r="DDJ150" s="6"/>
      <c r="DDK150" s="6"/>
      <c r="DDL150" s="6"/>
      <c r="DDM150" s="6"/>
      <c r="DDN150" s="6"/>
      <c r="DDO150" s="6"/>
      <c r="DDP150" s="6"/>
      <c r="DDQ150" s="6"/>
      <c r="DDR150" s="6"/>
      <c r="DDS150" s="6"/>
      <c r="DDT150" s="6"/>
      <c r="DDU150" s="6"/>
      <c r="DDV150" s="6"/>
      <c r="DDW150" s="6"/>
      <c r="DDX150" s="6"/>
      <c r="DDY150" s="6"/>
      <c r="DDZ150" s="6"/>
      <c r="DEA150" s="6"/>
      <c r="DEB150" s="6"/>
      <c r="DEC150" s="6"/>
      <c r="DED150" s="6"/>
      <c r="DEE150" s="6"/>
      <c r="DEF150" s="6"/>
      <c r="DEG150" s="6"/>
      <c r="DEH150" s="6"/>
      <c r="DEI150" s="6"/>
      <c r="DEJ150" s="6"/>
      <c r="DEK150" s="6"/>
      <c r="DEL150" s="6"/>
      <c r="DEM150" s="6"/>
      <c r="DEN150" s="6"/>
      <c r="DEO150" s="6"/>
      <c r="DEP150" s="6"/>
      <c r="DEQ150" s="6"/>
      <c r="DER150" s="6"/>
      <c r="DES150" s="6"/>
      <c r="DET150" s="6"/>
      <c r="DEU150" s="6"/>
      <c r="DEV150" s="6"/>
      <c r="DEW150" s="6"/>
      <c r="DEX150" s="6"/>
      <c r="DEY150" s="6"/>
      <c r="DEZ150" s="6"/>
      <c r="DFA150" s="6"/>
      <c r="DFB150" s="6"/>
      <c r="DFC150" s="6"/>
      <c r="DFD150" s="6"/>
      <c r="DFE150" s="6"/>
      <c r="DFF150" s="6"/>
      <c r="DFG150" s="6"/>
      <c r="DFH150" s="6"/>
      <c r="DFI150" s="6"/>
      <c r="DFJ150" s="6"/>
      <c r="DFK150" s="6"/>
      <c r="DFL150" s="6"/>
      <c r="DFM150" s="6"/>
      <c r="DFN150" s="6"/>
      <c r="DFO150" s="6"/>
      <c r="DFP150" s="6"/>
      <c r="DFQ150" s="6"/>
      <c r="DFR150" s="6"/>
      <c r="DFS150" s="6"/>
      <c r="DFT150" s="6"/>
      <c r="DFU150" s="6"/>
      <c r="DFV150" s="6"/>
      <c r="DFW150" s="6"/>
      <c r="DFX150" s="6"/>
      <c r="DFY150" s="6"/>
      <c r="DFZ150" s="6"/>
      <c r="DGA150" s="6"/>
      <c r="DGB150" s="6"/>
      <c r="DGC150" s="6"/>
      <c r="DGD150" s="6"/>
      <c r="DGE150" s="6"/>
      <c r="DGF150" s="6"/>
      <c r="DGG150" s="6"/>
      <c r="DGH150" s="6"/>
      <c r="DGI150" s="6"/>
      <c r="DGJ150" s="6"/>
      <c r="DGK150" s="6"/>
      <c r="DGL150" s="6"/>
      <c r="DGM150" s="6"/>
      <c r="DGN150" s="6"/>
      <c r="DGO150" s="6"/>
      <c r="DGP150" s="6"/>
      <c r="DGQ150" s="6"/>
      <c r="DGR150" s="6"/>
      <c r="DGS150" s="6"/>
      <c r="DGT150" s="6"/>
      <c r="DGU150" s="6"/>
      <c r="DGV150" s="6"/>
      <c r="DGW150" s="6"/>
      <c r="DGX150" s="6"/>
      <c r="DGY150" s="6"/>
      <c r="DGZ150" s="6"/>
      <c r="DHA150" s="6"/>
      <c r="DHB150" s="6"/>
      <c r="DHC150" s="6"/>
      <c r="DHD150" s="6"/>
      <c r="DHE150" s="6"/>
      <c r="DHF150" s="6"/>
      <c r="DHG150" s="6"/>
      <c r="DHH150" s="6"/>
      <c r="DHI150" s="6"/>
      <c r="DHJ150" s="6"/>
      <c r="DHK150" s="6"/>
      <c r="DHL150" s="6"/>
      <c r="DHM150" s="6"/>
      <c r="DHN150" s="6"/>
      <c r="DHO150" s="6"/>
      <c r="DHP150" s="6"/>
      <c r="DHQ150" s="6"/>
      <c r="DHR150" s="6"/>
      <c r="DHS150" s="6"/>
      <c r="DHT150" s="6"/>
      <c r="DHU150" s="6"/>
      <c r="DHV150" s="6"/>
      <c r="DHW150" s="6"/>
      <c r="DHX150" s="6"/>
      <c r="DHY150" s="6"/>
      <c r="DHZ150" s="6"/>
      <c r="DIA150" s="6"/>
      <c r="DIB150" s="6"/>
      <c r="DIC150" s="6"/>
      <c r="DID150" s="6"/>
      <c r="DIE150" s="6"/>
      <c r="DIF150" s="6"/>
      <c r="DIG150" s="6"/>
      <c r="DIH150" s="6"/>
      <c r="DII150" s="6"/>
      <c r="DIJ150" s="6"/>
      <c r="DIK150" s="6"/>
      <c r="DIL150" s="6"/>
      <c r="DIM150" s="6"/>
      <c r="DIN150" s="6"/>
      <c r="DIO150" s="6"/>
      <c r="DIP150" s="6"/>
      <c r="DIQ150" s="6"/>
      <c r="DIR150" s="6"/>
      <c r="DIS150" s="6"/>
      <c r="DIT150" s="6"/>
      <c r="DIU150" s="6"/>
      <c r="DIV150" s="6"/>
      <c r="DIW150" s="6"/>
      <c r="DIX150" s="6"/>
      <c r="DIY150" s="6"/>
      <c r="DIZ150" s="6"/>
      <c r="DJA150" s="6"/>
      <c r="DJB150" s="6"/>
      <c r="DJC150" s="6"/>
      <c r="DJD150" s="6"/>
      <c r="DJE150" s="6"/>
      <c r="DJF150" s="6"/>
      <c r="DJG150" s="6"/>
      <c r="DJH150" s="6"/>
      <c r="DJI150" s="6"/>
      <c r="DJJ150" s="6"/>
      <c r="DJK150" s="6"/>
      <c r="DJL150" s="6"/>
      <c r="DJM150" s="6"/>
      <c r="DJN150" s="6"/>
      <c r="DJO150" s="6"/>
      <c r="DJP150" s="6"/>
      <c r="DJQ150" s="6"/>
      <c r="DJR150" s="6"/>
      <c r="DJS150" s="6"/>
      <c r="DJT150" s="6"/>
      <c r="DJU150" s="6"/>
      <c r="DJV150" s="6"/>
      <c r="DJW150" s="6"/>
      <c r="DJX150" s="6"/>
      <c r="DJY150" s="6"/>
      <c r="DJZ150" s="6"/>
      <c r="DKA150" s="6"/>
      <c r="DKB150" s="6"/>
      <c r="DKC150" s="6"/>
      <c r="DKD150" s="6"/>
      <c r="DKE150" s="6"/>
      <c r="DKF150" s="6"/>
      <c r="DKG150" s="6"/>
      <c r="DKH150" s="6"/>
      <c r="DKI150" s="6"/>
      <c r="DKJ150" s="6"/>
      <c r="DKK150" s="6"/>
      <c r="DKL150" s="6"/>
      <c r="DKM150" s="6"/>
      <c r="DKN150" s="6"/>
      <c r="DKO150" s="6"/>
      <c r="DKP150" s="6"/>
      <c r="DKQ150" s="6"/>
      <c r="DKR150" s="6"/>
      <c r="DKS150" s="6"/>
      <c r="DKT150" s="6"/>
      <c r="DKU150" s="6"/>
      <c r="DKV150" s="6"/>
      <c r="DKW150" s="6"/>
      <c r="DKX150" s="6"/>
      <c r="DKY150" s="6"/>
      <c r="DKZ150" s="6"/>
      <c r="DLA150" s="6"/>
      <c r="DLB150" s="6"/>
      <c r="DLC150" s="6"/>
      <c r="DLD150" s="6"/>
      <c r="DLE150" s="6"/>
      <c r="DLF150" s="6"/>
      <c r="DLG150" s="6"/>
      <c r="DLH150" s="6"/>
      <c r="DLI150" s="6"/>
      <c r="DLJ150" s="6"/>
      <c r="DLK150" s="6"/>
      <c r="DLL150" s="6"/>
      <c r="DLM150" s="6"/>
      <c r="DLN150" s="6"/>
      <c r="DLO150" s="6"/>
      <c r="DLP150" s="6"/>
      <c r="DLQ150" s="6"/>
      <c r="DLR150" s="6"/>
      <c r="DLS150" s="6"/>
      <c r="DLT150" s="6"/>
      <c r="DLU150" s="6"/>
      <c r="DLV150" s="6"/>
      <c r="DLW150" s="6"/>
      <c r="DLX150" s="6"/>
      <c r="DLY150" s="6"/>
      <c r="DLZ150" s="6"/>
      <c r="DMA150" s="6"/>
      <c r="DMB150" s="6"/>
      <c r="DMC150" s="6"/>
      <c r="DMD150" s="6"/>
      <c r="DME150" s="6"/>
      <c r="DMF150" s="6"/>
      <c r="DMG150" s="6"/>
      <c r="DMH150" s="6"/>
      <c r="DMI150" s="6"/>
      <c r="DMJ150" s="6"/>
      <c r="DMK150" s="6"/>
      <c r="DML150" s="6"/>
      <c r="DMM150" s="6"/>
      <c r="DMN150" s="6"/>
      <c r="DMO150" s="6"/>
      <c r="DMP150" s="6"/>
      <c r="DMQ150" s="6"/>
      <c r="DMR150" s="6"/>
      <c r="DMS150" s="6"/>
      <c r="DMT150" s="6"/>
      <c r="DMU150" s="6"/>
      <c r="DMV150" s="6"/>
      <c r="DMW150" s="6"/>
      <c r="DMX150" s="6"/>
      <c r="DMY150" s="6"/>
      <c r="DMZ150" s="6"/>
      <c r="DNA150" s="6"/>
      <c r="DNB150" s="6"/>
      <c r="DNC150" s="6"/>
      <c r="DND150" s="6"/>
      <c r="DNE150" s="6"/>
      <c r="DNF150" s="6"/>
      <c r="DNG150" s="6"/>
      <c r="DNH150" s="6"/>
      <c r="DNI150" s="6"/>
      <c r="DNJ150" s="6"/>
      <c r="DNK150" s="6"/>
      <c r="DNL150" s="6"/>
      <c r="DNM150" s="6"/>
      <c r="DNN150" s="6"/>
      <c r="DNO150" s="6"/>
      <c r="DNP150" s="6"/>
      <c r="DNQ150" s="6"/>
      <c r="DNR150" s="6"/>
      <c r="DNS150" s="6"/>
      <c r="DNT150" s="6"/>
      <c r="DNU150" s="6"/>
      <c r="DNV150" s="6"/>
      <c r="DNW150" s="6"/>
      <c r="DNX150" s="6"/>
      <c r="DNY150" s="6"/>
      <c r="DNZ150" s="6"/>
      <c r="DOA150" s="6"/>
      <c r="DOB150" s="6"/>
      <c r="DOC150" s="6"/>
      <c r="DOD150" s="6"/>
      <c r="DOE150" s="6"/>
      <c r="DOF150" s="6"/>
      <c r="DOG150" s="6"/>
      <c r="DOH150" s="6"/>
      <c r="DOI150" s="6"/>
      <c r="DOJ150" s="6"/>
      <c r="DOK150" s="6"/>
      <c r="DOL150" s="6"/>
      <c r="DOM150" s="6"/>
      <c r="DON150" s="6"/>
      <c r="DOO150" s="6"/>
      <c r="DOP150" s="6"/>
      <c r="DOQ150" s="6"/>
      <c r="DOR150" s="6"/>
      <c r="DOS150" s="6"/>
      <c r="DOT150" s="6"/>
      <c r="DOU150" s="6"/>
      <c r="DOV150" s="6"/>
      <c r="DOW150" s="6"/>
      <c r="DOX150" s="6"/>
      <c r="DOY150" s="6"/>
      <c r="DOZ150" s="6"/>
      <c r="DPA150" s="6"/>
      <c r="DPB150" s="6"/>
      <c r="DPC150" s="6"/>
      <c r="DPD150" s="6"/>
      <c r="DPE150" s="6"/>
      <c r="DPF150" s="6"/>
      <c r="DPG150" s="6"/>
      <c r="DPH150" s="6"/>
      <c r="DPI150" s="6"/>
      <c r="DPJ150" s="6"/>
      <c r="DPK150" s="6"/>
      <c r="DPL150" s="6"/>
      <c r="DPM150" s="6"/>
      <c r="DPN150" s="6"/>
      <c r="DPO150" s="6"/>
      <c r="DPP150" s="6"/>
      <c r="DPQ150" s="6"/>
      <c r="DPR150" s="6"/>
      <c r="DPS150" s="6"/>
      <c r="DPT150" s="6"/>
      <c r="DPU150" s="6"/>
      <c r="DPV150" s="6"/>
      <c r="DPW150" s="6"/>
      <c r="DPX150" s="6"/>
      <c r="DPY150" s="6"/>
      <c r="DPZ150" s="6"/>
      <c r="DQA150" s="6"/>
      <c r="DQB150" s="6"/>
      <c r="DQC150" s="6"/>
      <c r="DQD150" s="6"/>
      <c r="DQE150" s="6"/>
      <c r="DQF150" s="6"/>
      <c r="DQG150" s="6"/>
      <c r="DQH150" s="6"/>
      <c r="DQI150" s="6"/>
      <c r="DQJ150" s="6"/>
      <c r="DQK150" s="6"/>
      <c r="DQL150" s="6"/>
      <c r="DQM150" s="6"/>
      <c r="DQN150" s="6"/>
      <c r="DQO150" s="6"/>
      <c r="DQP150" s="6"/>
      <c r="DQQ150" s="6"/>
      <c r="DQR150" s="6"/>
      <c r="DQS150" s="6"/>
      <c r="DQT150" s="6"/>
      <c r="DQU150" s="6"/>
      <c r="DQV150" s="6"/>
      <c r="DQW150" s="6"/>
      <c r="DQX150" s="6"/>
      <c r="DQY150" s="6"/>
      <c r="DQZ150" s="6"/>
      <c r="DRA150" s="6"/>
      <c r="DRB150" s="6"/>
      <c r="DRC150" s="6"/>
      <c r="DRD150" s="6"/>
      <c r="DRE150" s="6"/>
      <c r="DRF150" s="6"/>
      <c r="DRG150" s="6"/>
      <c r="DRH150" s="6"/>
      <c r="DRI150" s="6"/>
      <c r="DRJ150" s="6"/>
      <c r="DRK150" s="6"/>
      <c r="DRL150" s="6"/>
      <c r="DRM150" s="6"/>
      <c r="DRN150" s="6"/>
      <c r="DRO150" s="6"/>
      <c r="DRP150" s="6"/>
      <c r="DRQ150" s="6"/>
      <c r="DRR150" s="6"/>
      <c r="DRS150" s="6"/>
      <c r="DRT150" s="6"/>
      <c r="DRU150" s="6"/>
      <c r="DRV150" s="6"/>
      <c r="DRW150" s="6"/>
      <c r="DRX150" s="6"/>
      <c r="DRY150" s="6"/>
      <c r="DRZ150" s="6"/>
      <c r="DSA150" s="6"/>
      <c r="DSB150" s="6"/>
      <c r="DSC150" s="6"/>
      <c r="DSD150" s="6"/>
      <c r="DSE150" s="6"/>
      <c r="DSF150" s="6"/>
      <c r="DSG150" s="6"/>
      <c r="DSH150" s="6"/>
      <c r="DSI150" s="6"/>
      <c r="DSJ150" s="6"/>
      <c r="DSK150" s="6"/>
      <c r="DSL150" s="6"/>
      <c r="DSM150" s="6"/>
      <c r="DSN150" s="6"/>
      <c r="DSO150" s="6"/>
      <c r="DSP150" s="6"/>
      <c r="DSQ150" s="6"/>
      <c r="DSR150" s="6"/>
      <c r="DSS150" s="6"/>
      <c r="DST150" s="6"/>
      <c r="DSU150" s="6"/>
      <c r="DSV150" s="6"/>
      <c r="DSW150" s="6"/>
      <c r="DSX150" s="6"/>
      <c r="DSY150" s="6"/>
      <c r="DSZ150" s="6"/>
      <c r="DTA150" s="6"/>
      <c r="DTB150" s="6"/>
      <c r="DTC150" s="6"/>
      <c r="DTD150" s="6"/>
      <c r="DTE150" s="6"/>
      <c r="DTF150" s="6"/>
      <c r="DTG150" s="6"/>
      <c r="DTH150" s="6"/>
      <c r="DTI150" s="6"/>
      <c r="DTJ150" s="6"/>
      <c r="DTK150" s="6"/>
      <c r="DTL150" s="6"/>
      <c r="DTM150" s="6"/>
      <c r="DTN150" s="6"/>
      <c r="DTO150" s="6"/>
      <c r="DTP150" s="6"/>
      <c r="DTQ150" s="6"/>
      <c r="DTR150" s="6"/>
      <c r="DTS150" s="6"/>
      <c r="DTT150" s="6"/>
      <c r="DTU150" s="6"/>
      <c r="DTV150" s="6"/>
      <c r="DTW150" s="6"/>
      <c r="DTX150" s="6"/>
      <c r="DTY150" s="6"/>
      <c r="DTZ150" s="6"/>
      <c r="DUA150" s="6"/>
      <c r="DUB150" s="6"/>
      <c r="DUC150" s="6"/>
      <c r="DUD150" s="6"/>
      <c r="DUE150" s="6"/>
      <c r="DUF150" s="6"/>
      <c r="DUG150" s="6"/>
      <c r="DUH150" s="6"/>
      <c r="DUI150" s="6"/>
      <c r="DUJ150" s="6"/>
      <c r="DUK150" s="6"/>
      <c r="DUL150" s="6"/>
      <c r="DUM150" s="6"/>
      <c r="DUN150" s="6"/>
      <c r="DUO150" s="6"/>
      <c r="DUP150" s="6"/>
      <c r="DUQ150" s="6"/>
      <c r="DUR150" s="6"/>
      <c r="DUS150" s="6"/>
      <c r="DUT150" s="6"/>
      <c r="DUU150" s="6"/>
      <c r="DUV150" s="6"/>
      <c r="DUW150" s="6"/>
      <c r="DUX150" s="6"/>
      <c r="DUY150" s="6"/>
      <c r="DUZ150" s="6"/>
      <c r="DVA150" s="6"/>
      <c r="DVB150" s="6"/>
      <c r="DVC150" s="6"/>
      <c r="DVD150" s="6"/>
      <c r="DVE150" s="6"/>
      <c r="DVF150" s="6"/>
      <c r="DVG150" s="6"/>
      <c r="DVH150" s="6"/>
      <c r="DVI150" s="6"/>
      <c r="DVJ150" s="6"/>
      <c r="DVK150" s="6"/>
      <c r="DVL150" s="6"/>
      <c r="DVM150" s="6"/>
      <c r="DVN150" s="6"/>
      <c r="DVO150" s="6"/>
      <c r="DVP150" s="6"/>
      <c r="DVQ150" s="6"/>
      <c r="DVR150" s="6"/>
      <c r="DVS150" s="6"/>
      <c r="DVT150" s="6"/>
      <c r="DVU150" s="6"/>
      <c r="DVV150" s="6"/>
      <c r="DVW150" s="6"/>
      <c r="DVX150" s="6"/>
      <c r="DVY150" s="6"/>
      <c r="DVZ150" s="6"/>
      <c r="DWA150" s="6"/>
      <c r="DWB150" s="6"/>
      <c r="DWC150" s="6"/>
      <c r="DWD150" s="6"/>
      <c r="DWE150" s="6"/>
      <c r="DWF150" s="6"/>
      <c r="DWG150" s="6"/>
      <c r="DWH150" s="6"/>
      <c r="DWI150" s="6"/>
      <c r="DWJ150" s="6"/>
      <c r="DWK150" s="6"/>
      <c r="DWL150" s="6"/>
      <c r="DWM150" s="6"/>
      <c r="DWN150" s="6"/>
      <c r="DWO150" s="6"/>
      <c r="DWP150" s="6"/>
      <c r="DWQ150" s="6"/>
      <c r="DWR150" s="6"/>
      <c r="DWS150" s="6"/>
      <c r="DWT150" s="6"/>
      <c r="DWU150" s="6"/>
      <c r="DWV150" s="6"/>
      <c r="DWW150" s="6"/>
      <c r="DWX150" s="6"/>
      <c r="DWY150" s="6"/>
      <c r="DWZ150" s="6"/>
      <c r="DXA150" s="6"/>
      <c r="DXB150" s="6"/>
      <c r="DXC150" s="6"/>
      <c r="DXD150" s="6"/>
      <c r="DXE150" s="6"/>
      <c r="DXF150" s="6"/>
      <c r="DXG150" s="6"/>
      <c r="DXH150" s="6"/>
      <c r="DXI150" s="6"/>
      <c r="DXJ150" s="6"/>
      <c r="DXK150" s="6"/>
      <c r="DXL150" s="6"/>
      <c r="DXM150" s="6"/>
      <c r="DXN150" s="6"/>
      <c r="DXO150" s="6"/>
      <c r="DXP150" s="6"/>
      <c r="DXQ150" s="6"/>
      <c r="DXR150" s="6"/>
      <c r="DXS150" s="6"/>
      <c r="DXT150" s="6"/>
      <c r="DXU150" s="6"/>
      <c r="DXV150" s="6"/>
      <c r="DXW150" s="6"/>
      <c r="DXX150" s="6"/>
      <c r="DXY150" s="6"/>
      <c r="DXZ150" s="6"/>
      <c r="DYA150" s="6"/>
      <c r="DYB150" s="6"/>
      <c r="DYC150" s="6"/>
      <c r="DYD150" s="6"/>
      <c r="DYE150" s="6"/>
      <c r="DYF150" s="6"/>
      <c r="DYG150" s="6"/>
      <c r="DYH150" s="6"/>
      <c r="DYI150" s="6"/>
      <c r="DYJ150" s="6"/>
      <c r="DYK150" s="6"/>
      <c r="DYL150" s="6"/>
      <c r="DYM150" s="6"/>
      <c r="DYN150" s="6"/>
      <c r="DYO150" s="6"/>
      <c r="DYP150" s="6"/>
      <c r="DYQ150" s="6"/>
      <c r="DYR150" s="6"/>
      <c r="DYS150" s="6"/>
      <c r="DYT150" s="6"/>
      <c r="DYU150" s="6"/>
      <c r="DYV150" s="6"/>
      <c r="DYW150" s="6"/>
      <c r="DYX150" s="6"/>
      <c r="DYY150" s="6"/>
      <c r="DYZ150" s="6"/>
      <c r="DZA150" s="6"/>
      <c r="DZB150" s="6"/>
      <c r="DZC150" s="6"/>
      <c r="DZD150" s="6"/>
      <c r="DZE150" s="6"/>
      <c r="DZF150" s="6"/>
      <c r="DZG150" s="6"/>
      <c r="DZH150" s="6"/>
      <c r="DZI150" s="6"/>
      <c r="DZJ150" s="6"/>
      <c r="DZK150" s="6"/>
      <c r="DZL150" s="6"/>
      <c r="DZM150" s="6"/>
      <c r="DZN150" s="6"/>
      <c r="DZO150" s="6"/>
      <c r="DZP150" s="6"/>
      <c r="DZQ150" s="6"/>
      <c r="DZR150" s="6"/>
      <c r="DZS150" s="6"/>
      <c r="DZT150" s="6"/>
      <c r="DZU150" s="6"/>
      <c r="DZV150" s="6"/>
      <c r="DZW150" s="6"/>
      <c r="DZX150" s="6"/>
      <c r="DZY150" s="6"/>
      <c r="DZZ150" s="6"/>
      <c r="EAA150" s="6"/>
      <c r="EAB150" s="6"/>
      <c r="EAC150" s="6"/>
      <c r="EAD150" s="6"/>
      <c r="EAE150" s="6"/>
      <c r="EAF150" s="6"/>
      <c r="EAG150" s="6"/>
      <c r="EAH150" s="6"/>
      <c r="EAI150" s="6"/>
      <c r="EAJ150" s="6"/>
      <c r="EAK150" s="6"/>
      <c r="EAL150" s="6"/>
      <c r="EAM150" s="6"/>
      <c r="EAN150" s="6"/>
      <c r="EAO150" s="6"/>
      <c r="EAP150" s="6"/>
      <c r="EAQ150" s="6"/>
      <c r="EAR150" s="6"/>
      <c r="EAS150" s="6"/>
      <c r="EAT150" s="6"/>
      <c r="EAU150" s="6"/>
      <c r="EAV150" s="6"/>
      <c r="EAW150" s="6"/>
      <c r="EAX150" s="6"/>
      <c r="EAY150" s="6"/>
      <c r="EAZ150" s="6"/>
      <c r="EBA150" s="6"/>
      <c r="EBB150" s="6"/>
      <c r="EBC150" s="6"/>
      <c r="EBD150" s="6"/>
      <c r="EBE150" s="6"/>
      <c r="EBF150" s="6"/>
      <c r="EBG150" s="6"/>
      <c r="EBH150" s="6"/>
      <c r="EBI150" s="6"/>
      <c r="EBJ150" s="6"/>
      <c r="EBK150" s="6"/>
      <c r="EBL150" s="6"/>
      <c r="EBM150" s="6"/>
      <c r="EBN150" s="6"/>
      <c r="EBO150" s="6"/>
      <c r="EBP150" s="6"/>
      <c r="EBQ150" s="6"/>
      <c r="EBR150" s="6"/>
      <c r="EBS150" s="6"/>
      <c r="EBT150" s="6"/>
      <c r="EBU150" s="6"/>
      <c r="EBV150" s="6"/>
      <c r="EBW150" s="6"/>
      <c r="EBX150" s="6"/>
      <c r="EBY150" s="6"/>
      <c r="EBZ150" s="6"/>
      <c r="ECA150" s="6"/>
      <c r="ECB150" s="6"/>
      <c r="ECC150" s="6"/>
      <c r="ECD150" s="6"/>
      <c r="ECE150" s="6"/>
      <c r="ECF150" s="6"/>
      <c r="ECG150" s="6"/>
      <c r="ECH150" s="6"/>
      <c r="ECI150" s="6"/>
      <c r="ECJ150" s="6"/>
      <c r="ECK150" s="6"/>
      <c r="ECL150" s="6"/>
      <c r="ECM150" s="6"/>
      <c r="ECN150" s="6"/>
      <c r="ECO150" s="6"/>
      <c r="ECP150" s="6"/>
      <c r="ECQ150" s="6"/>
      <c r="ECR150" s="6"/>
      <c r="ECS150" s="6"/>
      <c r="ECT150" s="6"/>
      <c r="ECU150" s="6"/>
      <c r="ECV150" s="6"/>
      <c r="ECW150" s="6"/>
      <c r="ECX150" s="6"/>
      <c r="ECY150" s="6"/>
      <c r="ECZ150" s="6"/>
      <c r="EDA150" s="6"/>
      <c r="EDB150" s="6"/>
      <c r="EDC150" s="6"/>
      <c r="EDD150" s="6"/>
      <c r="EDE150" s="6"/>
      <c r="EDF150" s="6"/>
      <c r="EDG150" s="6"/>
      <c r="EDH150" s="6"/>
      <c r="EDI150" s="6"/>
      <c r="EDJ150" s="6"/>
      <c r="EDK150" s="6"/>
      <c r="EDL150" s="6"/>
      <c r="EDM150" s="6"/>
      <c r="EDN150" s="6"/>
      <c r="EDO150" s="6"/>
      <c r="EDP150" s="6"/>
      <c r="EDQ150" s="6"/>
      <c r="EDR150" s="6"/>
      <c r="EDS150" s="6"/>
      <c r="EDT150" s="6"/>
      <c r="EDU150" s="6"/>
      <c r="EDV150" s="6"/>
      <c r="EDW150" s="6"/>
      <c r="EDX150" s="6"/>
      <c r="EDY150" s="6"/>
      <c r="EDZ150" s="6"/>
      <c r="EEA150" s="6"/>
      <c r="EEB150" s="6"/>
      <c r="EEC150" s="6"/>
      <c r="EED150" s="6"/>
      <c r="EEE150" s="6"/>
      <c r="EEF150" s="6"/>
      <c r="EEG150" s="6"/>
      <c r="EEH150" s="6"/>
      <c r="EEI150" s="6"/>
      <c r="EEJ150" s="6"/>
      <c r="EEK150" s="6"/>
      <c r="EEL150" s="6"/>
      <c r="EEM150" s="6"/>
      <c r="EEN150" s="6"/>
      <c r="EEO150" s="6"/>
      <c r="EEP150" s="6"/>
      <c r="EEQ150" s="6"/>
      <c r="EER150" s="6"/>
      <c r="EES150" s="6"/>
      <c r="EET150" s="6"/>
      <c r="EEU150" s="6"/>
      <c r="EEV150" s="6"/>
      <c r="EEW150" s="6"/>
      <c r="EEX150" s="6"/>
      <c r="EEY150" s="6"/>
      <c r="EEZ150" s="6"/>
      <c r="EFA150" s="6"/>
      <c r="EFB150" s="6"/>
      <c r="EFC150" s="6"/>
      <c r="EFD150" s="6"/>
      <c r="EFE150" s="6"/>
      <c r="EFF150" s="6"/>
      <c r="EFG150" s="6"/>
      <c r="EFH150" s="6"/>
      <c r="EFI150" s="6"/>
      <c r="EFJ150" s="6"/>
      <c r="EFK150" s="6"/>
      <c r="EFL150" s="6"/>
      <c r="EFM150" s="6"/>
      <c r="EFN150" s="6"/>
      <c r="EFO150" s="6"/>
      <c r="EFP150" s="6"/>
      <c r="EFQ150" s="6"/>
      <c r="EFR150" s="6"/>
      <c r="EFS150" s="6"/>
      <c r="EFT150" s="6"/>
      <c r="EFU150" s="6"/>
      <c r="EFV150" s="6"/>
      <c r="EFW150" s="6"/>
      <c r="EFX150" s="6"/>
      <c r="EFY150" s="6"/>
      <c r="EFZ150" s="6"/>
      <c r="EGA150" s="6"/>
      <c r="EGB150" s="6"/>
      <c r="EGC150" s="6"/>
      <c r="EGD150" s="6"/>
      <c r="EGE150" s="6"/>
      <c r="EGF150" s="6"/>
      <c r="EGG150" s="6"/>
      <c r="EGH150" s="6"/>
      <c r="EGI150" s="6"/>
      <c r="EGJ150" s="6"/>
      <c r="EGK150" s="6"/>
      <c r="EGL150" s="6"/>
      <c r="EGM150" s="6"/>
      <c r="EGN150" s="6"/>
      <c r="EGO150" s="6"/>
      <c r="EGP150" s="6"/>
      <c r="EGQ150" s="6"/>
      <c r="EGR150" s="6"/>
      <c r="EGS150" s="6"/>
      <c r="EGT150" s="6"/>
      <c r="EGU150" s="6"/>
      <c r="EGV150" s="6"/>
      <c r="EGW150" s="6"/>
      <c r="EGX150" s="6"/>
      <c r="EGY150" s="6"/>
      <c r="EGZ150" s="6"/>
      <c r="EHA150" s="6"/>
      <c r="EHB150" s="6"/>
      <c r="EHC150" s="6"/>
      <c r="EHD150" s="6"/>
      <c r="EHE150" s="6"/>
      <c r="EHF150" s="6"/>
      <c r="EHG150" s="6"/>
      <c r="EHH150" s="6"/>
      <c r="EHI150" s="6"/>
      <c r="EHJ150" s="6"/>
      <c r="EHK150" s="6"/>
      <c r="EHL150" s="6"/>
      <c r="EHM150" s="6"/>
      <c r="EHN150" s="6"/>
      <c r="EHO150" s="6"/>
      <c r="EHP150" s="6"/>
      <c r="EHQ150" s="6"/>
      <c r="EHR150" s="6"/>
      <c r="EHS150" s="6"/>
      <c r="EHT150" s="6"/>
      <c r="EHU150" s="6"/>
      <c r="EHV150" s="6"/>
      <c r="EHW150" s="6"/>
      <c r="EHX150" s="6"/>
      <c r="EHY150" s="6"/>
      <c r="EHZ150" s="6"/>
      <c r="EIA150" s="6"/>
      <c r="EIB150" s="6"/>
      <c r="EIC150" s="6"/>
      <c r="EID150" s="6"/>
      <c r="EIE150" s="6"/>
      <c r="EIF150" s="6"/>
      <c r="EIG150" s="6"/>
      <c r="EIH150" s="6"/>
      <c r="EII150" s="6"/>
      <c r="EIJ150" s="6"/>
      <c r="EIK150" s="6"/>
      <c r="EIL150" s="6"/>
      <c r="EIM150" s="6"/>
      <c r="EIN150" s="6"/>
      <c r="EIO150" s="6"/>
      <c r="EIP150" s="6"/>
      <c r="EIQ150" s="6"/>
      <c r="EIR150" s="6"/>
      <c r="EIS150" s="6"/>
      <c r="EIT150" s="6"/>
      <c r="EIU150" s="6"/>
      <c r="EIV150" s="6"/>
      <c r="EIW150" s="6"/>
      <c r="EIX150" s="6"/>
      <c r="EIY150" s="6"/>
      <c r="EIZ150" s="6"/>
      <c r="EJA150" s="6"/>
      <c r="EJB150" s="6"/>
      <c r="EJC150" s="6"/>
      <c r="EJD150" s="6"/>
      <c r="EJE150" s="6"/>
      <c r="EJF150" s="6"/>
      <c r="EJG150" s="6"/>
      <c r="EJH150" s="6"/>
      <c r="EJI150" s="6"/>
      <c r="EJJ150" s="6"/>
      <c r="EJK150" s="6"/>
      <c r="EJL150" s="6"/>
      <c r="EJM150" s="6"/>
      <c r="EJN150" s="6"/>
      <c r="EJO150" s="6"/>
      <c r="EJP150" s="6"/>
      <c r="EJQ150" s="6"/>
      <c r="EJR150" s="6"/>
      <c r="EJS150" s="6"/>
      <c r="EJT150" s="6"/>
      <c r="EJU150" s="6"/>
      <c r="EJV150" s="6"/>
      <c r="EJW150" s="6"/>
      <c r="EJX150" s="6"/>
      <c r="EJY150" s="6"/>
      <c r="EJZ150" s="6"/>
      <c r="EKA150" s="6"/>
      <c r="EKB150" s="6"/>
      <c r="EKC150" s="6"/>
      <c r="EKD150" s="6"/>
      <c r="EKE150" s="6"/>
      <c r="EKF150" s="6"/>
      <c r="EKG150" s="6"/>
      <c r="EKH150" s="6"/>
      <c r="EKI150" s="6"/>
      <c r="EKJ150" s="6"/>
      <c r="EKK150" s="6"/>
      <c r="EKL150" s="6"/>
      <c r="EKM150" s="6"/>
      <c r="EKN150" s="6"/>
      <c r="EKO150" s="6"/>
      <c r="EKP150" s="6"/>
      <c r="EKQ150" s="6"/>
      <c r="EKR150" s="6"/>
      <c r="EKS150" s="6"/>
      <c r="EKT150" s="6"/>
      <c r="EKU150" s="6"/>
      <c r="EKV150" s="6"/>
      <c r="EKW150" s="6"/>
      <c r="EKX150" s="6"/>
      <c r="EKY150" s="6"/>
      <c r="EKZ150" s="6"/>
      <c r="ELA150" s="6"/>
      <c r="ELB150" s="6"/>
      <c r="ELC150" s="6"/>
      <c r="ELD150" s="6"/>
      <c r="ELE150" s="6"/>
      <c r="ELF150" s="6"/>
      <c r="ELG150" s="6"/>
      <c r="ELH150" s="6"/>
      <c r="ELI150" s="6"/>
      <c r="ELJ150" s="6"/>
      <c r="ELK150" s="6"/>
      <c r="ELL150" s="6"/>
      <c r="ELM150" s="6"/>
      <c r="ELN150" s="6"/>
      <c r="ELO150" s="6"/>
      <c r="ELP150" s="6"/>
      <c r="ELQ150" s="6"/>
      <c r="ELR150" s="6"/>
      <c r="ELS150" s="6"/>
      <c r="ELT150" s="6"/>
      <c r="ELU150" s="6"/>
      <c r="ELV150" s="6"/>
      <c r="ELW150" s="6"/>
      <c r="ELX150" s="6"/>
      <c r="ELY150" s="6"/>
      <c r="ELZ150" s="6"/>
      <c r="EMA150" s="6"/>
      <c r="EMB150" s="6"/>
      <c r="EMC150" s="6"/>
      <c r="EMD150" s="6"/>
      <c r="EME150" s="6"/>
      <c r="EMF150" s="6"/>
      <c r="EMG150" s="6"/>
      <c r="EMH150" s="6"/>
      <c r="EMI150" s="6"/>
      <c r="EMJ150" s="6"/>
      <c r="EMK150" s="6"/>
      <c r="EML150" s="6"/>
      <c r="EMM150" s="6"/>
      <c r="EMN150" s="6"/>
      <c r="EMO150" s="6"/>
      <c r="EMP150" s="6"/>
      <c r="EMQ150" s="6"/>
      <c r="EMR150" s="6"/>
      <c r="EMS150" s="6"/>
      <c r="EMT150" s="6"/>
      <c r="EMU150" s="6"/>
      <c r="EMV150" s="6"/>
      <c r="EMW150" s="6"/>
      <c r="EMX150" s="6"/>
      <c r="EMY150" s="6"/>
      <c r="EMZ150" s="6"/>
      <c r="ENA150" s="6"/>
      <c r="ENB150" s="6"/>
      <c r="ENC150" s="6"/>
      <c r="END150" s="6"/>
      <c r="ENE150" s="6"/>
      <c r="ENF150" s="6"/>
      <c r="ENG150" s="6"/>
      <c r="ENH150" s="6"/>
      <c r="ENI150" s="6"/>
      <c r="ENJ150" s="6"/>
      <c r="ENK150" s="6"/>
      <c r="ENL150" s="6"/>
      <c r="ENM150" s="6"/>
      <c r="ENN150" s="6"/>
      <c r="ENO150" s="6"/>
      <c r="ENP150" s="6"/>
      <c r="ENQ150" s="6"/>
      <c r="ENR150" s="6"/>
      <c r="ENS150" s="6"/>
      <c r="ENT150" s="6"/>
      <c r="ENU150" s="6"/>
      <c r="ENV150" s="6"/>
      <c r="ENW150" s="6"/>
      <c r="ENX150" s="6"/>
      <c r="ENY150" s="6"/>
      <c r="ENZ150" s="6"/>
      <c r="EOA150" s="6"/>
      <c r="EOB150" s="6"/>
      <c r="EOC150" s="6"/>
      <c r="EOD150" s="6"/>
      <c r="EOE150" s="6"/>
      <c r="EOF150" s="6"/>
      <c r="EOG150" s="6"/>
      <c r="EOH150" s="6"/>
      <c r="EOI150" s="6"/>
      <c r="EOJ150" s="6"/>
      <c r="EOK150" s="6"/>
      <c r="EOL150" s="6"/>
      <c r="EOM150" s="6"/>
      <c r="EON150" s="6"/>
      <c r="EOO150" s="6"/>
      <c r="EOP150" s="6"/>
      <c r="EOQ150" s="6"/>
      <c r="EOR150" s="6"/>
      <c r="EOS150" s="6"/>
      <c r="EOT150" s="6"/>
      <c r="EOU150" s="6"/>
      <c r="EOV150" s="6"/>
      <c r="EOW150" s="6"/>
      <c r="EOX150" s="6"/>
      <c r="EOY150" s="6"/>
      <c r="EOZ150" s="6"/>
      <c r="EPA150" s="6"/>
      <c r="EPB150" s="6"/>
      <c r="EPC150" s="6"/>
      <c r="EPD150" s="6"/>
      <c r="EPE150" s="6"/>
      <c r="EPF150" s="6"/>
      <c r="EPG150" s="6"/>
      <c r="EPH150" s="6"/>
      <c r="EPI150" s="6"/>
      <c r="EPJ150" s="6"/>
      <c r="EPK150" s="6"/>
      <c r="EPL150" s="6"/>
      <c r="EPM150" s="6"/>
      <c r="EPN150" s="6"/>
      <c r="EPO150" s="6"/>
      <c r="EPP150" s="6"/>
      <c r="EPQ150" s="6"/>
      <c r="EPR150" s="6"/>
      <c r="EPS150" s="6"/>
      <c r="EPT150" s="6"/>
      <c r="EPU150" s="6"/>
      <c r="EPV150" s="6"/>
      <c r="EPW150" s="6"/>
      <c r="EPX150" s="6"/>
      <c r="EPY150" s="6"/>
      <c r="EPZ150" s="6"/>
      <c r="EQA150" s="6"/>
      <c r="EQB150" s="6"/>
      <c r="EQC150" s="6"/>
      <c r="EQD150" s="6"/>
      <c r="EQE150" s="6"/>
      <c r="EQF150" s="6"/>
      <c r="EQG150" s="6"/>
      <c r="EQH150" s="6"/>
      <c r="EQI150" s="6"/>
      <c r="EQJ150" s="6"/>
      <c r="EQK150" s="6"/>
      <c r="EQL150" s="6"/>
      <c r="EQM150" s="6"/>
      <c r="EQN150" s="6"/>
      <c r="EQO150" s="6"/>
      <c r="EQP150" s="6"/>
      <c r="EQQ150" s="6"/>
      <c r="EQR150" s="6"/>
      <c r="EQS150" s="6"/>
      <c r="EQT150" s="6"/>
      <c r="EQU150" s="6"/>
      <c r="EQV150" s="6"/>
      <c r="EQW150" s="6"/>
      <c r="EQX150" s="6"/>
      <c r="EQY150" s="6"/>
      <c r="EQZ150" s="6"/>
      <c r="ERA150" s="6"/>
      <c r="ERB150" s="6"/>
      <c r="ERC150" s="6"/>
      <c r="ERD150" s="6"/>
      <c r="ERE150" s="6"/>
      <c r="ERF150" s="6"/>
      <c r="ERG150" s="6"/>
      <c r="ERH150" s="6"/>
      <c r="ERI150" s="6"/>
      <c r="ERJ150" s="6"/>
      <c r="ERK150" s="6"/>
      <c r="ERL150" s="6"/>
      <c r="ERM150" s="6"/>
      <c r="ERN150" s="6"/>
      <c r="ERO150" s="6"/>
      <c r="ERP150" s="6"/>
      <c r="ERQ150" s="6"/>
      <c r="ERR150" s="6"/>
      <c r="ERS150" s="6"/>
      <c r="ERT150" s="6"/>
      <c r="ERU150" s="6"/>
      <c r="ERV150" s="6"/>
      <c r="ERW150" s="6"/>
      <c r="ERX150" s="6"/>
      <c r="ERY150" s="6"/>
      <c r="ERZ150" s="6"/>
      <c r="ESA150" s="6"/>
      <c r="ESB150" s="6"/>
      <c r="ESC150" s="6"/>
      <c r="ESD150" s="6"/>
      <c r="ESE150" s="6"/>
      <c r="ESF150" s="6"/>
      <c r="ESG150" s="6"/>
      <c r="ESH150" s="6"/>
      <c r="ESI150" s="6"/>
      <c r="ESJ150" s="6"/>
      <c r="ESK150" s="6"/>
      <c r="ESL150" s="6"/>
      <c r="ESM150" s="6"/>
      <c r="ESN150" s="6"/>
      <c r="ESO150" s="6"/>
      <c r="ESP150" s="6"/>
      <c r="ESQ150" s="6"/>
      <c r="ESR150" s="6"/>
      <c r="ESS150" s="6"/>
      <c r="EST150" s="6"/>
      <c r="ESU150" s="6"/>
      <c r="ESV150" s="6"/>
      <c r="ESW150" s="6"/>
      <c r="ESX150" s="6"/>
      <c r="ESY150" s="6"/>
      <c r="ESZ150" s="6"/>
      <c r="ETA150" s="6"/>
      <c r="ETB150" s="6"/>
      <c r="ETC150" s="6"/>
      <c r="ETD150" s="6"/>
      <c r="ETE150" s="6"/>
      <c r="ETF150" s="6"/>
      <c r="ETG150" s="6"/>
      <c r="ETH150" s="6"/>
      <c r="ETI150" s="6"/>
      <c r="ETJ150" s="6"/>
      <c r="ETK150" s="6"/>
      <c r="ETL150" s="6"/>
      <c r="ETM150" s="6"/>
      <c r="ETN150" s="6"/>
      <c r="ETO150" s="6"/>
      <c r="ETP150" s="6"/>
      <c r="ETQ150" s="6"/>
      <c r="ETR150" s="6"/>
      <c r="ETS150" s="6"/>
      <c r="ETT150" s="6"/>
      <c r="ETU150" s="6"/>
      <c r="ETV150" s="6"/>
      <c r="ETW150" s="6"/>
      <c r="ETX150" s="6"/>
      <c r="ETY150" s="6"/>
      <c r="ETZ150" s="6"/>
      <c r="EUA150" s="6"/>
      <c r="EUB150" s="6"/>
      <c r="EUC150" s="6"/>
      <c r="EUD150" s="6"/>
      <c r="EUE150" s="6"/>
      <c r="EUF150" s="6"/>
      <c r="EUG150" s="6"/>
      <c r="EUH150" s="6"/>
      <c r="EUI150" s="6"/>
      <c r="EUJ150" s="6"/>
      <c r="EUK150" s="6"/>
      <c r="EUL150" s="6"/>
      <c r="EUM150" s="6"/>
      <c r="EUN150" s="6"/>
      <c r="EUO150" s="6"/>
      <c r="EUP150" s="6"/>
      <c r="EUQ150" s="6"/>
      <c r="EUR150" s="6"/>
      <c r="EUS150" s="6"/>
      <c r="EUT150" s="6"/>
      <c r="EUU150" s="6"/>
      <c r="EUV150" s="6"/>
      <c r="EUW150" s="6"/>
      <c r="EUX150" s="6"/>
      <c r="EUY150" s="6"/>
      <c r="EUZ150" s="6"/>
      <c r="EVA150" s="6"/>
      <c r="EVB150" s="6"/>
      <c r="EVC150" s="6"/>
      <c r="EVD150" s="6"/>
      <c r="EVE150" s="6"/>
      <c r="EVF150" s="6"/>
      <c r="EVG150" s="6"/>
      <c r="EVH150" s="6"/>
      <c r="EVI150" s="6"/>
      <c r="EVJ150" s="6"/>
      <c r="EVK150" s="6"/>
      <c r="EVL150" s="6"/>
      <c r="EVM150" s="6"/>
      <c r="EVN150" s="6"/>
      <c r="EVO150" s="6"/>
      <c r="EVP150" s="6"/>
      <c r="EVQ150" s="6"/>
      <c r="EVR150" s="6"/>
      <c r="EVS150" s="6"/>
      <c r="EVT150" s="6"/>
      <c r="EVU150" s="6"/>
      <c r="EVV150" s="6"/>
      <c r="EVW150" s="6"/>
      <c r="EVX150" s="6"/>
      <c r="EVY150" s="6"/>
      <c r="EVZ150" s="6"/>
      <c r="EWA150" s="6"/>
      <c r="EWB150" s="6"/>
      <c r="EWC150" s="6"/>
      <c r="EWD150" s="6"/>
      <c r="EWE150" s="6"/>
      <c r="EWF150" s="6"/>
      <c r="EWG150" s="6"/>
      <c r="EWH150" s="6"/>
      <c r="EWI150" s="6"/>
      <c r="EWJ150" s="6"/>
      <c r="EWK150" s="6"/>
      <c r="EWL150" s="6"/>
      <c r="EWM150" s="6"/>
      <c r="EWN150" s="6"/>
      <c r="EWO150" s="6"/>
      <c r="EWP150" s="6"/>
      <c r="EWQ150" s="6"/>
      <c r="EWR150" s="6"/>
      <c r="EWS150" s="6"/>
      <c r="EWT150" s="6"/>
      <c r="EWU150" s="6"/>
      <c r="EWV150" s="6"/>
      <c r="EWW150" s="6"/>
      <c r="EWX150" s="6"/>
      <c r="EWY150" s="6"/>
      <c r="EWZ150" s="6"/>
      <c r="EXA150" s="6"/>
      <c r="EXB150" s="6"/>
      <c r="EXC150" s="6"/>
      <c r="EXD150" s="6"/>
      <c r="EXE150" s="6"/>
      <c r="EXF150" s="6"/>
      <c r="EXG150" s="6"/>
      <c r="EXH150" s="6"/>
      <c r="EXI150" s="6"/>
      <c r="EXJ150" s="6"/>
      <c r="EXK150" s="6"/>
      <c r="EXL150" s="6"/>
      <c r="EXM150" s="6"/>
      <c r="EXN150" s="6"/>
      <c r="EXO150" s="6"/>
      <c r="EXP150" s="6"/>
      <c r="EXQ150" s="6"/>
      <c r="EXR150" s="6"/>
      <c r="EXS150" s="6"/>
      <c r="EXT150" s="6"/>
      <c r="EXU150" s="6"/>
      <c r="EXV150" s="6"/>
      <c r="EXW150" s="6"/>
      <c r="EXX150" s="6"/>
      <c r="EXY150" s="6"/>
      <c r="EXZ150" s="6"/>
      <c r="EYA150" s="6"/>
      <c r="EYB150" s="6"/>
      <c r="EYC150" s="6"/>
      <c r="EYD150" s="6"/>
      <c r="EYE150" s="6"/>
      <c r="EYF150" s="6"/>
      <c r="EYG150" s="6"/>
      <c r="EYH150" s="6"/>
      <c r="EYI150" s="6"/>
      <c r="EYJ150" s="6"/>
      <c r="EYK150" s="6"/>
      <c r="EYL150" s="6"/>
      <c r="EYM150" s="6"/>
      <c r="EYN150" s="6"/>
      <c r="EYO150" s="6"/>
      <c r="EYP150" s="6"/>
      <c r="EYQ150" s="6"/>
      <c r="EYR150" s="6"/>
      <c r="EYS150" s="6"/>
      <c r="EYT150" s="6"/>
      <c r="EYU150" s="6"/>
      <c r="EYV150" s="6"/>
      <c r="EYW150" s="6"/>
      <c r="EYX150" s="6"/>
      <c r="EYY150" s="6"/>
      <c r="EYZ150" s="6"/>
      <c r="EZA150" s="6"/>
      <c r="EZB150" s="6"/>
      <c r="EZC150" s="6"/>
      <c r="EZD150" s="6"/>
      <c r="EZE150" s="6"/>
      <c r="EZF150" s="6"/>
      <c r="EZG150" s="6"/>
      <c r="EZH150" s="6"/>
      <c r="EZI150" s="6"/>
      <c r="EZJ150" s="6"/>
      <c r="EZK150" s="6"/>
      <c r="EZL150" s="6"/>
      <c r="EZM150" s="6"/>
      <c r="EZN150" s="6"/>
      <c r="EZO150" s="6"/>
      <c r="EZP150" s="6"/>
      <c r="EZQ150" s="6"/>
      <c r="EZR150" s="6"/>
      <c r="EZS150" s="6"/>
      <c r="EZT150" s="6"/>
      <c r="EZU150" s="6"/>
      <c r="EZV150" s="6"/>
      <c r="EZW150" s="6"/>
      <c r="EZX150" s="6"/>
      <c r="EZY150" s="6"/>
      <c r="EZZ150" s="6"/>
      <c r="FAA150" s="6"/>
      <c r="FAB150" s="6"/>
      <c r="FAC150" s="6"/>
      <c r="FAD150" s="6"/>
      <c r="FAE150" s="6"/>
      <c r="FAF150" s="6"/>
      <c r="FAG150" s="6"/>
      <c r="FAH150" s="6"/>
      <c r="FAI150" s="6"/>
      <c r="FAJ150" s="6"/>
      <c r="FAK150" s="6"/>
      <c r="FAL150" s="6"/>
      <c r="FAM150" s="6"/>
      <c r="FAN150" s="6"/>
      <c r="FAO150" s="6"/>
      <c r="FAP150" s="6"/>
      <c r="FAQ150" s="6"/>
      <c r="FAR150" s="6"/>
      <c r="FAS150" s="6"/>
      <c r="FAT150" s="6"/>
      <c r="FAU150" s="6"/>
      <c r="FAV150" s="6"/>
      <c r="FAW150" s="6"/>
      <c r="FAX150" s="6"/>
      <c r="FAY150" s="6"/>
      <c r="FAZ150" s="6"/>
      <c r="FBA150" s="6"/>
      <c r="FBB150" s="6"/>
      <c r="FBC150" s="6"/>
      <c r="FBD150" s="6"/>
      <c r="FBE150" s="6"/>
      <c r="FBF150" s="6"/>
      <c r="FBG150" s="6"/>
      <c r="FBH150" s="6"/>
      <c r="FBI150" s="6"/>
      <c r="FBJ150" s="6"/>
      <c r="FBK150" s="6"/>
      <c r="FBL150" s="6"/>
      <c r="FBM150" s="6"/>
      <c r="FBN150" s="6"/>
      <c r="FBO150" s="6"/>
      <c r="FBP150" s="6"/>
      <c r="FBQ150" s="6"/>
      <c r="FBR150" s="6"/>
      <c r="FBS150" s="6"/>
      <c r="FBT150" s="6"/>
      <c r="FBU150" s="6"/>
      <c r="FBV150" s="6"/>
      <c r="FBW150" s="6"/>
      <c r="FBX150" s="6"/>
      <c r="FBY150" s="6"/>
      <c r="FBZ150" s="6"/>
      <c r="FCA150" s="6"/>
      <c r="FCB150" s="6"/>
      <c r="FCC150" s="6"/>
      <c r="FCD150" s="6"/>
      <c r="FCE150" s="6"/>
      <c r="FCF150" s="6"/>
      <c r="FCG150" s="6"/>
      <c r="FCH150" s="6"/>
      <c r="FCI150" s="6"/>
      <c r="FCJ150" s="6"/>
      <c r="FCK150" s="6"/>
      <c r="FCL150" s="6"/>
      <c r="FCM150" s="6"/>
      <c r="FCN150" s="6"/>
      <c r="FCO150" s="6"/>
      <c r="FCP150" s="6"/>
      <c r="FCQ150" s="6"/>
      <c r="FCR150" s="6"/>
      <c r="FCS150" s="6"/>
      <c r="FCT150" s="6"/>
      <c r="FCU150" s="6"/>
      <c r="FCV150" s="6"/>
      <c r="FCW150" s="6"/>
      <c r="FCX150" s="6"/>
      <c r="FCY150" s="6"/>
      <c r="FCZ150" s="6"/>
      <c r="FDA150" s="6"/>
      <c r="FDB150" s="6"/>
      <c r="FDC150" s="6"/>
      <c r="FDD150" s="6"/>
      <c r="FDE150" s="6"/>
      <c r="FDF150" s="6"/>
      <c r="FDG150" s="6"/>
      <c r="FDH150" s="6"/>
      <c r="FDI150" s="6"/>
      <c r="FDJ150" s="6"/>
      <c r="FDK150" s="6"/>
      <c r="FDL150" s="6"/>
      <c r="FDM150" s="6"/>
      <c r="FDN150" s="6"/>
      <c r="FDO150" s="6"/>
      <c r="FDP150" s="6"/>
      <c r="FDQ150" s="6"/>
      <c r="FDR150" s="6"/>
      <c r="FDS150" s="6"/>
      <c r="FDT150" s="6"/>
      <c r="FDU150" s="6"/>
      <c r="FDV150" s="6"/>
      <c r="FDW150" s="6"/>
      <c r="FDX150" s="6"/>
      <c r="FDY150" s="6"/>
      <c r="FDZ150" s="6"/>
      <c r="FEA150" s="6"/>
      <c r="FEB150" s="6"/>
      <c r="FEC150" s="6"/>
      <c r="FED150" s="6"/>
      <c r="FEE150" s="6"/>
      <c r="FEF150" s="6"/>
      <c r="FEG150" s="6"/>
      <c r="FEH150" s="6"/>
      <c r="FEI150" s="6"/>
      <c r="FEJ150" s="6"/>
      <c r="FEK150" s="6"/>
      <c r="FEL150" s="6"/>
      <c r="FEM150" s="6"/>
      <c r="FEN150" s="6"/>
      <c r="FEO150" s="6"/>
      <c r="FEP150" s="6"/>
      <c r="FEQ150" s="6"/>
      <c r="FER150" s="6"/>
      <c r="FES150" s="6"/>
      <c r="FET150" s="6"/>
      <c r="FEU150" s="6"/>
      <c r="FEV150" s="6"/>
      <c r="FEW150" s="6"/>
      <c r="FEX150" s="6"/>
      <c r="FEY150" s="6"/>
      <c r="FEZ150" s="6"/>
      <c r="FFA150" s="6"/>
      <c r="FFB150" s="6"/>
      <c r="FFC150" s="6"/>
      <c r="FFD150" s="6"/>
      <c r="FFE150" s="6"/>
      <c r="FFF150" s="6"/>
      <c r="FFG150" s="6"/>
      <c r="FFH150" s="6"/>
      <c r="FFI150" s="6"/>
      <c r="FFJ150" s="6"/>
      <c r="FFK150" s="6"/>
      <c r="FFL150" s="6"/>
      <c r="FFM150" s="6"/>
      <c r="FFN150" s="6"/>
      <c r="FFO150" s="6"/>
      <c r="FFP150" s="6"/>
      <c r="FFQ150" s="6"/>
      <c r="FFR150" s="6"/>
      <c r="FFS150" s="6"/>
      <c r="FFT150" s="6"/>
      <c r="FFU150" s="6"/>
      <c r="FFV150" s="6"/>
      <c r="FFW150" s="6"/>
      <c r="FFX150" s="6"/>
      <c r="FFY150" s="6"/>
      <c r="FFZ150" s="6"/>
      <c r="FGA150" s="6"/>
      <c r="FGB150" s="6"/>
      <c r="FGC150" s="6"/>
      <c r="FGD150" s="6"/>
      <c r="FGE150" s="6"/>
      <c r="FGF150" s="6"/>
      <c r="FGG150" s="6"/>
      <c r="FGH150" s="6"/>
      <c r="FGI150" s="6"/>
      <c r="FGJ150" s="6"/>
      <c r="FGK150" s="6"/>
      <c r="FGL150" s="6"/>
      <c r="FGM150" s="6"/>
      <c r="FGN150" s="6"/>
      <c r="FGO150" s="6"/>
      <c r="FGP150" s="6"/>
      <c r="FGQ150" s="6"/>
      <c r="FGR150" s="6"/>
      <c r="FGS150" s="6"/>
      <c r="FGT150" s="6"/>
      <c r="FGU150" s="6"/>
      <c r="FGV150" s="6"/>
      <c r="FGW150" s="6"/>
      <c r="FGX150" s="6"/>
      <c r="FGY150" s="6"/>
      <c r="FGZ150" s="6"/>
      <c r="FHA150" s="6"/>
      <c r="FHB150" s="6"/>
      <c r="FHC150" s="6"/>
      <c r="FHD150" s="6"/>
      <c r="FHE150" s="6"/>
      <c r="FHF150" s="6"/>
      <c r="FHG150" s="6"/>
      <c r="FHH150" s="6"/>
      <c r="FHI150" s="6"/>
      <c r="FHJ150" s="6"/>
      <c r="FHK150" s="6"/>
      <c r="FHL150" s="6"/>
      <c r="FHM150" s="6"/>
      <c r="FHN150" s="6"/>
      <c r="FHO150" s="6"/>
      <c r="FHP150" s="6"/>
      <c r="FHQ150" s="6"/>
      <c r="FHR150" s="6"/>
      <c r="FHS150" s="6"/>
      <c r="FHT150" s="6"/>
      <c r="FHU150" s="6"/>
      <c r="FHV150" s="6"/>
      <c r="FHW150" s="6"/>
      <c r="FHX150" s="6"/>
      <c r="FHY150" s="6"/>
      <c r="FHZ150" s="6"/>
      <c r="FIA150" s="6"/>
      <c r="FIB150" s="6"/>
      <c r="FIC150" s="6"/>
      <c r="FID150" s="6"/>
      <c r="FIE150" s="6"/>
      <c r="FIF150" s="6"/>
      <c r="FIG150" s="6"/>
      <c r="FIH150" s="6"/>
      <c r="FII150" s="6"/>
      <c r="FIJ150" s="6"/>
      <c r="FIK150" s="6"/>
      <c r="FIL150" s="6"/>
      <c r="FIM150" s="6"/>
      <c r="FIN150" s="6"/>
      <c r="FIO150" s="6"/>
      <c r="FIP150" s="6"/>
      <c r="FIQ150" s="6"/>
      <c r="FIR150" s="6"/>
      <c r="FIS150" s="6"/>
      <c r="FIT150" s="6"/>
      <c r="FIU150" s="6"/>
      <c r="FIV150" s="6"/>
      <c r="FIW150" s="6"/>
      <c r="FIX150" s="6"/>
      <c r="FIY150" s="6"/>
      <c r="FIZ150" s="6"/>
      <c r="FJA150" s="6"/>
      <c r="FJB150" s="6"/>
      <c r="FJC150" s="6"/>
      <c r="FJD150" s="6"/>
      <c r="FJE150" s="6"/>
      <c r="FJF150" s="6"/>
      <c r="FJG150" s="6"/>
      <c r="FJH150" s="6"/>
      <c r="FJI150" s="6"/>
      <c r="FJJ150" s="6"/>
      <c r="FJK150" s="6"/>
      <c r="FJL150" s="6"/>
      <c r="FJM150" s="6"/>
      <c r="FJN150" s="6"/>
      <c r="FJO150" s="6"/>
      <c r="FJP150" s="6"/>
      <c r="FJQ150" s="6"/>
      <c r="FJR150" s="6"/>
      <c r="FJS150" s="6"/>
      <c r="FJT150" s="6"/>
      <c r="FJU150" s="6"/>
      <c r="FJV150" s="6"/>
      <c r="FJW150" s="6"/>
      <c r="FJX150" s="6"/>
      <c r="FJY150" s="6"/>
      <c r="FJZ150" s="6"/>
      <c r="FKA150" s="6"/>
      <c r="FKB150" s="6"/>
      <c r="FKC150" s="6"/>
      <c r="FKD150" s="6"/>
      <c r="FKE150" s="6"/>
      <c r="FKF150" s="6"/>
      <c r="FKG150" s="6"/>
      <c r="FKH150" s="6"/>
      <c r="FKI150" s="6"/>
      <c r="FKJ150" s="6"/>
      <c r="FKK150" s="6"/>
      <c r="FKL150" s="6"/>
      <c r="FKM150" s="6"/>
      <c r="FKN150" s="6"/>
      <c r="FKO150" s="6"/>
      <c r="FKP150" s="6"/>
      <c r="FKQ150" s="6"/>
      <c r="FKR150" s="6"/>
      <c r="FKS150" s="6"/>
      <c r="FKT150" s="6"/>
      <c r="FKU150" s="6"/>
      <c r="FKV150" s="6"/>
      <c r="FKW150" s="6"/>
      <c r="FKX150" s="6"/>
      <c r="FKY150" s="6"/>
      <c r="FKZ150" s="6"/>
      <c r="FLA150" s="6"/>
      <c r="FLB150" s="6"/>
      <c r="FLC150" s="6"/>
      <c r="FLD150" s="6"/>
      <c r="FLE150" s="6"/>
      <c r="FLF150" s="6"/>
      <c r="FLG150" s="6"/>
      <c r="FLH150" s="6"/>
      <c r="FLI150" s="6"/>
      <c r="FLJ150" s="6"/>
      <c r="FLK150" s="6"/>
      <c r="FLL150" s="6"/>
      <c r="FLM150" s="6"/>
      <c r="FLN150" s="6"/>
      <c r="FLO150" s="6"/>
      <c r="FLP150" s="6"/>
      <c r="FLQ150" s="6"/>
      <c r="FLR150" s="6"/>
      <c r="FLS150" s="6"/>
      <c r="FLT150" s="6"/>
      <c r="FLU150" s="6"/>
      <c r="FLV150" s="6"/>
      <c r="FLW150" s="6"/>
      <c r="FLX150" s="6"/>
      <c r="FLY150" s="6"/>
      <c r="FLZ150" s="6"/>
      <c r="FMA150" s="6"/>
      <c r="FMB150" s="6"/>
      <c r="FMC150" s="6"/>
      <c r="FMD150" s="6"/>
      <c r="FME150" s="6"/>
      <c r="FMF150" s="6"/>
      <c r="FMG150" s="6"/>
      <c r="FMH150" s="6"/>
      <c r="FMI150" s="6"/>
      <c r="FMJ150" s="6"/>
      <c r="FMK150" s="6"/>
      <c r="FML150" s="6"/>
      <c r="FMM150" s="6"/>
      <c r="FMN150" s="6"/>
      <c r="FMO150" s="6"/>
      <c r="FMP150" s="6"/>
      <c r="FMQ150" s="6"/>
      <c r="FMR150" s="6"/>
      <c r="FMS150" s="6"/>
      <c r="FMT150" s="6"/>
      <c r="FMU150" s="6"/>
      <c r="FMV150" s="6"/>
      <c r="FMW150" s="6"/>
      <c r="FMX150" s="6"/>
      <c r="FMY150" s="6"/>
      <c r="FMZ150" s="6"/>
      <c r="FNA150" s="6"/>
      <c r="FNB150" s="6"/>
      <c r="FNC150" s="6"/>
      <c r="FND150" s="6"/>
      <c r="FNE150" s="6"/>
      <c r="FNF150" s="6"/>
      <c r="FNG150" s="6"/>
      <c r="FNH150" s="6"/>
      <c r="FNI150" s="6"/>
      <c r="FNJ150" s="6"/>
      <c r="FNK150" s="6"/>
      <c r="FNL150" s="6"/>
      <c r="FNM150" s="6"/>
      <c r="FNN150" s="6"/>
      <c r="FNO150" s="6"/>
      <c r="FNP150" s="6"/>
      <c r="FNQ150" s="6"/>
      <c r="FNR150" s="6"/>
      <c r="FNS150" s="6"/>
      <c r="FNT150" s="6"/>
      <c r="FNU150" s="6"/>
      <c r="FNV150" s="6"/>
      <c r="FNW150" s="6"/>
      <c r="FNX150" s="6"/>
      <c r="FNY150" s="6"/>
      <c r="FNZ150" s="6"/>
      <c r="FOA150" s="6"/>
      <c r="FOB150" s="6"/>
      <c r="FOC150" s="6"/>
      <c r="FOD150" s="6"/>
      <c r="FOE150" s="6"/>
      <c r="FOF150" s="6"/>
      <c r="FOG150" s="6"/>
      <c r="FOH150" s="6"/>
      <c r="FOI150" s="6"/>
      <c r="FOJ150" s="6"/>
      <c r="FOK150" s="6"/>
      <c r="FOL150" s="6"/>
      <c r="FOM150" s="6"/>
      <c r="FON150" s="6"/>
      <c r="FOO150" s="6"/>
      <c r="FOP150" s="6"/>
      <c r="FOQ150" s="6"/>
      <c r="FOR150" s="6"/>
      <c r="FOS150" s="6"/>
      <c r="FOT150" s="6"/>
      <c r="FOU150" s="6"/>
      <c r="FOV150" s="6"/>
      <c r="FOW150" s="6"/>
      <c r="FOX150" s="6"/>
      <c r="FOY150" s="6"/>
      <c r="FOZ150" s="6"/>
      <c r="FPA150" s="6"/>
      <c r="FPB150" s="6"/>
      <c r="FPC150" s="6"/>
      <c r="FPD150" s="6"/>
      <c r="FPE150" s="6"/>
      <c r="FPF150" s="6"/>
      <c r="FPG150" s="6"/>
      <c r="FPH150" s="6"/>
      <c r="FPI150" s="6"/>
      <c r="FPJ150" s="6"/>
      <c r="FPK150" s="6"/>
      <c r="FPL150" s="6"/>
      <c r="FPM150" s="6"/>
      <c r="FPN150" s="6"/>
      <c r="FPO150" s="6"/>
      <c r="FPP150" s="6"/>
      <c r="FPQ150" s="6"/>
      <c r="FPR150" s="6"/>
      <c r="FPS150" s="6"/>
      <c r="FPT150" s="6"/>
      <c r="FPU150" s="6"/>
      <c r="FPV150" s="6"/>
      <c r="FPW150" s="6"/>
      <c r="FPX150" s="6"/>
      <c r="FPY150" s="6"/>
      <c r="FPZ150" s="6"/>
      <c r="FQA150" s="6"/>
      <c r="FQB150" s="6"/>
      <c r="FQC150" s="6"/>
      <c r="FQD150" s="6"/>
      <c r="FQE150" s="6"/>
      <c r="FQF150" s="6"/>
      <c r="FQG150" s="6"/>
      <c r="FQH150" s="6"/>
      <c r="FQI150" s="6"/>
      <c r="FQJ150" s="6"/>
      <c r="FQK150" s="6"/>
      <c r="FQL150" s="6"/>
      <c r="FQM150" s="6"/>
      <c r="FQN150" s="6"/>
      <c r="FQO150" s="6"/>
      <c r="FQP150" s="6"/>
      <c r="FQQ150" s="6"/>
      <c r="FQR150" s="6"/>
      <c r="FQS150" s="6"/>
      <c r="FQT150" s="6"/>
      <c r="FQU150" s="6"/>
      <c r="FQV150" s="6"/>
      <c r="FQW150" s="6"/>
      <c r="FQX150" s="6"/>
      <c r="FQY150" s="6"/>
      <c r="FQZ150" s="6"/>
      <c r="FRA150" s="6"/>
      <c r="FRB150" s="6"/>
      <c r="FRC150" s="6"/>
      <c r="FRD150" s="6"/>
      <c r="FRE150" s="6"/>
      <c r="FRF150" s="6"/>
      <c r="FRG150" s="6"/>
      <c r="FRH150" s="6"/>
      <c r="FRI150" s="6"/>
      <c r="FRJ150" s="6"/>
      <c r="FRK150" s="6"/>
      <c r="FRL150" s="6"/>
      <c r="FRM150" s="6"/>
      <c r="FRN150" s="6"/>
      <c r="FRO150" s="6"/>
      <c r="FRP150" s="6"/>
      <c r="FRQ150" s="6"/>
      <c r="FRR150" s="6"/>
      <c r="FRS150" s="6"/>
      <c r="FRT150" s="6"/>
      <c r="FRU150" s="6"/>
      <c r="FRV150" s="6"/>
      <c r="FRW150" s="6"/>
      <c r="FRX150" s="6"/>
      <c r="FRY150" s="6"/>
      <c r="FRZ150" s="6"/>
      <c r="FSA150" s="6"/>
      <c r="FSB150" s="6"/>
      <c r="FSC150" s="6"/>
      <c r="FSD150" s="6"/>
      <c r="FSE150" s="6"/>
      <c r="FSF150" s="6"/>
      <c r="FSG150" s="6"/>
      <c r="FSH150" s="6"/>
      <c r="FSI150" s="6"/>
      <c r="FSJ150" s="6"/>
      <c r="FSK150" s="6"/>
      <c r="FSL150" s="6"/>
      <c r="FSM150" s="6"/>
      <c r="FSN150" s="6"/>
      <c r="FSO150" s="6"/>
      <c r="FSP150" s="6"/>
      <c r="FSQ150" s="6"/>
      <c r="FSR150" s="6"/>
      <c r="FSS150" s="6"/>
      <c r="FST150" s="6"/>
      <c r="FSU150" s="6"/>
      <c r="FSV150" s="6"/>
      <c r="FSW150" s="6"/>
      <c r="FSX150" s="6"/>
      <c r="FSY150" s="6"/>
      <c r="FSZ150" s="6"/>
      <c r="FTA150" s="6"/>
      <c r="FTB150" s="6"/>
      <c r="FTC150" s="6"/>
      <c r="FTD150" s="6"/>
      <c r="FTE150" s="6"/>
      <c r="FTF150" s="6"/>
      <c r="FTG150" s="6"/>
      <c r="FTH150" s="6"/>
      <c r="FTI150" s="6"/>
      <c r="FTJ150" s="6"/>
      <c r="FTK150" s="6"/>
      <c r="FTL150" s="6"/>
      <c r="FTM150" s="6"/>
      <c r="FTN150" s="6"/>
      <c r="FTO150" s="6"/>
      <c r="FTP150" s="6"/>
      <c r="FTQ150" s="6"/>
      <c r="FTR150" s="6"/>
      <c r="FTS150" s="6"/>
      <c r="FTT150" s="6"/>
      <c r="FTU150" s="6"/>
      <c r="FTV150" s="6"/>
      <c r="FTW150" s="6"/>
      <c r="FTX150" s="6"/>
      <c r="FTY150" s="6"/>
      <c r="FTZ150" s="6"/>
      <c r="FUA150" s="6"/>
      <c r="FUB150" s="6"/>
      <c r="FUC150" s="6"/>
      <c r="FUD150" s="6"/>
      <c r="FUE150" s="6"/>
      <c r="FUF150" s="6"/>
      <c r="FUG150" s="6"/>
      <c r="FUH150" s="6"/>
      <c r="FUI150" s="6"/>
      <c r="FUJ150" s="6"/>
      <c r="FUK150" s="6"/>
      <c r="FUL150" s="6"/>
      <c r="FUM150" s="6"/>
      <c r="FUN150" s="6"/>
      <c r="FUO150" s="6"/>
      <c r="FUP150" s="6"/>
      <c r="FUQ150" s="6"/>
      <c r="FUR150" s="6"/>
      <c r="FUS150" s="6"/>
      <c r="FUT150" s="6"/>
      <c r="FUU150" s="6"/>
      <c r="FUV150" s="6"/>
      <c r="FUW150" s="6"/>
      <c r="FUX150" s="6"/>
      <c r="FUY150" s="6"/>
      <c r="FUZ150" s="6"/>
      <c r="FVA150" s="6"/>
      <c r="FVB150" s="6"/>
      <c r="FVC150" s="6"/>
      <c r="FVD150" s="6"/>
      <c r="FVE150" s="6"/>
      <c r="FVF150" s="6"/>
      <c r="FVG150" s="6"/>
      <c r="FVH150" s="6"/>
      <c r="FVI150" s="6"/>
      <c r="FVJ150" s="6"/>
      <c r="FVK150" s="6"/>
      <c r="FVL150" s="6"/>
      <c r="FVM150" s="6"/>
      <c r="FVN150" s="6"/>
      <c r="FVO150" s="6"/>
      <c r="FVP150" s="6"/>
      <c r="FVQ150" s="6"/>
      <c r="FVR150" s="6"/>
      <c r="FVS150" s="6"/>
      <c r="FVT150" s="6"/>
      <c r="FVU150" s="6"/>
      <c r="FVV150" s="6"/>
      <c r="FVW150" s="6"/>
      <c r="FVX150" s="6"/>
      <c r="FVY150" s="6"/>
      <c r="FVZ150" s="6"/>
      <c r="FWA150" s="6"/>
      <c r="FWB150" s="6"/>
      <c r="FWC150" s="6"/>
      <c r="FWD150" s="6"/>
      <c r="FWE150" s="6"/>
      <c r="FWF150" s="6"/>
      <c r="FWG150" s="6"/>
      <c r="FWH150" s="6"/>
      <c r="FWI150" s="6"/>
      <c r="FWJ150" s="6"/>
      <c r="FWK150" s="6"/>
      <c r="FWL150" s="6"/>
      <c r="FWM150" s="6"/>
      <c r="FWN150" s="6"/>
      <c r="FWO150" s="6"/>
      <c r="FWP150" s="6"/>
      <c r="FWQ150" s="6"/>
      <c r="FWR150" s="6"/>
      <c r="FWS150" s="6"/>
      <c r="FWT150" s="6"/>
      <c r="FWU150" s="6"/>
      <c r="FWV150" s="6"/>
      <c r="FWW150" s="6"/>
      <c r="FWX150" s="6"/>
      <c r="FWY150" s="6"/>
      <c r="FWZ150" s="6"/>
      <c r="FXA150" s="6"/>
      <c r="FXB150" s="6"/>
      <c r="FXC150" s="6"/>
      <c r="FXD150" s="6"/>
      <c r="FXE150" s="6"/>
      <c r="FXF150" s="6"/>
      <c r="FXG150" s="6"/>
      <c r="FXH150" s="6"/>
      <c r="FXI150" s="6"/>
      <c r="FXJ150" s="6"/>
      <c r="FXK150" s="6"/>
      <c r="FXL150" s="6"/>
      <c r="FXM150" s="6"/>
      <c r="FXN150" s="6"/>
      <c r="FXO150" s="6"/>
      <c r="FXP150" s="6"/>
      <c r="FXQ150" s="6"/>
      <c r="FXR150" s="6"/>
      <c r="FXS150" s="6"/>
      <c r="FXT150" s="6"/>
      <c r="FXU150" s="6"/>
      <c r="FXV150" s="6"/>
      <c r="FXW150" s="6"/>
      <c r="FXX150" s="6"/>
      <c r="FXY150" s="6"/>
      <c r="FXZ150" s="6"/>
      <c r="FYA150" s="6"/>
      <c r="FYB150" s="6"/>
      <c r="FYC150" s="6"/>
      <c r="FYD150" s="6"/>
      <c r="FYE150" s="6"/>
      <c r="FYF150" s="6"/>
      <c r="FYG150" s="6"/>
      <c r="FYH150" s="6"/>
      <c r="FYI150" s="6"/>
      <c r="FYJ150" s="6"/>
      <c r="FYK150" s="6"/>
      <c r="FYL150" s="6"/>
      <c r="FYM150" s="6"/>
      <c r="FYN150" s="6"/>
      <c r="FYO150" s="6"/>
      <c r="FYP150" s="6"/>
      <c r="FYQ150" s="6"/>
      <c r="FYR150" s="6"/>
      <c r="FYS150" s="6"/>
      <c r="FYT150" s="6"/>
      <c r="FYU150" s="6"/>
      <c r="FYV150" s="6"/>
      <c r="FYW150" s="6"/>
      <c r="FYX150" s="6"/>
      <c r="FYY150" s="6"/>
      <c r="FYZ150" s="6"/>
      <c r="FZA150" s="6"/>
      <c r="FZB150" s="6"/>
      <c r="FZC150" s="6"/>
      <c r="FZD150" s="6"/>
      <c r="FZE150" s="6"/>
      <c r="FZF150" s="6"/>
      <c r="FZG150" s="6"/>
      <c r="FZH150" s="6"/>
      <c r="FZI150" s="6"/>
      <c r="FZJ150" s="6"/>
      <c r="FZK150" s="6"/>
      <c r="FZL150" s="6"/>
      <c r="FZM150" s="6"/>
      <c r="FZN150" s="6"/>
      <c r="FZO150" s="6"/>
      <c r="FZP150" s="6"/>
      <c r="FZQ150" s="6"/>
      <c r="FZR150" s="6"/>
      <c r="FZS150" s="6"/>
      <c r="FZT150" s="6"/>
      <c r="FZU150" s="6"/>
      <c r="FZV150" s="6"/>
      <c r="FZW150" s="6"/>
      <c r="FZX150" s="6"/>
      <c r="FZY150" s="6"/>
      <c r="FZZ150" s="6"/>
      <c r="GAA150" s="6"/>
      <c r="GAB150" s="6"/>
      <c r="GAC150" s="6"/>
      <c r="GAD150" s="6"/>
      <c r="GAE150" s="6"/>
      <c r="GAF150" s="6"/>
      <c r="GAG150" s="6"/>
      <c r="GAH150" s="6"/>
      <c r="GAI150" s="6"/>
      <c r="GAJ150" s="6"/>
      <c r="GAK150" s="6"/>
      <c r="GAL150" s="6"/>
      <c r="GAM150" s="6"/>
      <c r="GAN150" s="6"/>
      <c r="GAO150" s="6"/>
      <c r="GAP150" s="6"/>
      <c r="GAQ150" s="6"/>
      <c r="GAR150" s="6"/>
      <c r="GAS150" s="6"/>
      <c r="GAT150" s="6"/>
      <c r="GAU150" s="6"/>
      <c r="GAV150" s="6"/>
      <c r="GAW150" s="6"/>
      <c r="GAX150" s="6"/>
      <c r="GAY150" s="6"/>
      <c r="GAZ150" s="6"/>
      <c r="GBA150" s="6"/>
      <c r="GBB150" s="6"/>
      <c r="GBC150" s="6"/>
      <c r="GBD150" s="6"/>
      <c r="GBE150" s="6"/>
      <c r="GBF150" s="6"/>
      <c r="GBG150" s="6"/>
      <c r="GBH150" s="6"/>
      <c r="GBI150" s="6"/>
      <c r="GBJ150" s="6"/>
      <c r="GBK150" s="6"/>
      <c r="GBL150" s="6"/>
      <c r="GBM150" s="6"/>
      <c r="GBN150" s="6"/>
      <c r="GBO150" s="6"/>
      <c r="GBP150" s="6"/>
      <c r="GBQ150" s="6"/>
      <c r="GBR150" s="6"/>
      <c r="GBS150" s="6"/>
      <c r="GBT150" s="6"/>
      <c r="GBU150" s="6"/>
      <c r="GBV150" s="6"/>
      <c r="GBW150" s="6"/>
      <c r="GBX150" s="6"/>
      <c r="GBY150" s="6"/>
      <c r="GBZ150" s="6"/>
      <c r="GCA150" s="6"/>
      <c r="GCB150" s="6"/>
      <c r="GCC150" s="6"/>
      <c r="GCD150" s="6"/>
      <c r="GCE150" s="6"/>
      <c r="GCF150" s="6"/>
      <c r="GCG150" s="6"/>
      <c r="GCH150" s="6"/>
      <c r="GCI150" s="6"/>
      <c r="GCJ150" s="6"/>
      <c r="GCK150" s="6"/>
      <c r="GCL150" s="6"/>
      <c r="GCM150" s="6"/>
      <c r="GCN150" s="6"/>
      <c r="GCO150" s="6"/>
      <c r="GCP150" s="6"/>
      <c r="GCQ150" s="6"/>
      <c r="GCR150" s="6"/>
      <c r="GCS150" s="6"/>
      <c r="GCT150" s="6"/>
      <c r="GCU150" s="6"/>
      <c r="GCV150" s="6"/>
      <c r="GCW150" s="6"/>
      <c r="GCX150" s="6"/>
      <c r="GCY150" s="6"/>
      <c r="GCZ150" s="6"/>
      <c r="GDA150" s="6"/>
      <c r="GDB150" s="6"/>
      <c r="GDC150" s="6"/>
      <c r="GDD150" s="6"/>
      <c r="GDE150" s="6"/>
      <c r="GDF150" s="6"/>
      <c r="GDG150" s="6"/>
      <c r="GDH150" s="6"/>
      <c r="GDI150" s="6"/>
      <c r="GDJ150" s="6"/>
      <c r="GDK150" s="6"/>
      <c r="GDL150" s="6"/>
      <c r="GDM150" s="6"/>
      <c r="GDN150" s="6"/>
      <c r="GDO150" s="6"/>
      <c r="GDP150" s="6"/>
      <c r="GDQ150" s="6"/>
      <c r="GDR150" s="6"/>
      <c r="GDS150" s="6"/>
      <c r="GDT150" s="6"/>
      <c r="GDU150" s="6"/>
      <c r="GDV150" s="6"/>
      <c r="GDW150" s="6"/>
      <c r="GDX150" s="6"/>
      <c r="GDY150" s="6"/>
      <c r="GDZ150" s="6"/>
      <c r="GEA150" s="6"/>
      <c r="GEB150" s="6"/>
      <c r="GEC150" s="6"/>
      <c r="GED150" s="6"/>
      <c r="GEE150" s="6"/>
      <c r="GEF150" s="6"/>
      <c r="GEG150" s="6"/>
      <c r="GEH150" s="6"/>
      <c r="GEI150" s="6"/>
      <c r="GEJ150" s="6"/>
      <c r="GEK150" s="6"/>
      <c r="GEL150" s="6"/>
      <c r="GEM150" s="6"/>
      <c r="GEN150" s="6"/>
      <c r="GEO150" s="6"/>
      <c r="GEP150" s="6"/>
      <c r="GEQ150" s="6"/>
      <c r="GER150" s="6"/>
      <c r="GES150" s="6"/>
      <c r="GET150" s="6"/>
      <c r="GEU150" s="6"/>
      <c r="GEV150" s="6"/>
      <c r="GEW150" s="6"/>
      <c r="GEX150" s="6"/>
      <c r="GEY150" s="6"/>
      <c r="GEZ150" s="6"/>
      <c r="GFA150" s="6"/>
      <c r="GFB150" s="6"/>
      <c r="GFC150" s="6"/>
      <c r="GFD150" s="6"/>
      <c r="GFE150" s="6"/>
      <c r="GFF150" s="6"/>
      <c r="GFG150" s="6"/>
      <c r="GFH150" s="6"/>
      <c r="GFI150" s="6"/>
      <c r="GFJ150" s="6"/>
      <c r="GFK150" s="6"/>
      <c r="GFL150" s="6"/>
      <c r="GFM150" s="6"/>
      <c r="GFN150" s="6"/>
      <c r="GFO150" s="6"/>
      <c r="GFP150" s="6"/>
      <c r="GFQ150" s="6"/>
      <c r="GFR150" s="6"/>
      <c r="GFS150" s="6"/>
      <c r="GFT150" s="6"/>
      <c r="GFU150" s="6"/>
      <c r="GFV150" s="6"/>
      <c r="GFW150" s="6"/>
      <c r="GFX150" s="6"/>
      <c r="GFY150" s="6"/>
      <c r="GFZ150" s="6"/>
      <c r="GGA150" s="6"/>
      <c r="GGB150" s="6"/>
      <c r="GGC150" s="6"/>
      <c r="GGD150" s="6"/>
      <c r="GGE150" s="6"/>
      <c r="GGF150" s="6"/>
      <c r="GGG150" s="6"/>
      <c r="GGH150" s="6"/>
      <c r="GGI150" s="6"/>
      <c r="GGJ150" s="6"/>
      <c r="GGK150" s="6"/>
      <c r="GGL150" s="6"/>
      <c r="GGM150" s="6"/>
      <c r="GGN150" s="6"/>
      <c r="GGO150" s="6"/>
      <c r="GGP150" s="6"/>
      <c r="GGQ150" s="6"/>
      <c r="GGR150" s="6"/>
      <c r="GGS150" s="6"/>
      <c r="GGT150" s="6"/>
      <c r="GGU150" s="6"/>
      <c r="GGV150" s="6"/>
      <c r="GGW150" s="6"/>
      <c r="GGX150" s="6"/>
      <c r="GGY150" s="6"/>
      <c r="GGZ150" s="6"/>
      <c r="GHA150" s="6"/>
      <c r="GHB150" s="6"/>
      <c r="GHC150" s="6"/>
      <c r="GHD150" s="6"/>
      <c r="GHE150" s="6"/>
      <c r="GHF150" s="6"/>
      <c r="GHG150" s="6"/>
      <c r="GHH150" s="6"/>
      <c r="GHI150" s="6"/>
      <c r="GHJ150" s="6"/>
      <c r="GHK150" s="6"/>
      <c r="GHL150" s="6"/>
      <c r="GHM150" s="6"/>
      <c r="GHN150" s="6"/>
      <c r="GHO150" s="6"/>
      <c r="GHP150" s="6"/>
      <c r="GHQ150" s="6"/>
      <c r="GHR150" s="6"/>
      <c r="GHS150" s="6"/>
      <c r="GHT150" s="6"/>
      <c r="GHU150" s="6"/>
      <c r="GHV150" s="6"/>
      <c r="GHW150" s="6"/>
      <c r="GHX150" s="6"/>
      <c r="GHY150" s="6"/>
      <c r="GHZ150" s="6"/>
      <c r="GIA150" s="6"/>
      <c r="GIB150" s="6"/>
      <c r="GIC150" s="6"/>
      <c r="GID150" s="6"/>
      <c r="GIE150" s="6"/>
      <c r="GIF150" s="6"/>
      <c r="GIG150" s="6"/>
      <c r="GIH150" s="6"/>
      <c r="GII150" s="6"/>
      <c r="GIJ150" s="6"/>
      <c r="GIK150" s="6"/>
      <c r="GIL150" s="6"/>
      <c r="GIM150" s="6"/>
      <c r="GIN150" s="6"/>
      <c r="GIO150" s="6"/>
      <c r="GIP150" s="6"/>
      <c r="GIQ150" s="6"/>
      <c r="GIR150" s="6"/>
      <c r="GIS150" s="6"/>
      <c r="GIT150" s="6"/>
      <c r="GIU150" s="6"/>
      <c r="GIV150" s="6"/>
      <c r="GIW150" s="6"/>
      <c r="GIX150" s="6"/>
      <c r="GIY150" s="6"/>
      <c r="GIZ150" s="6"/>
      <c r="GJA150" s="6"/>
      <c r="GJB150" s="6"/>
      <c r="GJC150" s="6"/>
      <c r="GJD150" s="6"/>
      <c r="GJE150" s="6"/>
      <c r="GJF150" s="6"/>
      <c r="GJG150" s="6"/>
      <c r="GJH150" s="6"/>
      <c r="GJI150" s="6"/>
      <c r="GJJ150" s="6"/>
      <c r="GJK150" s="6"/>
      <c r="GJL150" s="6"/>
      <c r="GJM150" s="6"/>
      <c r="GJN150" s="6"/>
      <c r="GJO150" s="6"/>
      <c r="GJP150" s="6"/>
      <c r="GJQ150" s="6"/>
      <c r="GJR150" s="6"/>
      <c r="GJS150" s="6"/>
      <c r="GJT150" s="6"/>
      <c r="GJU150" s="6"/>
      <c r="GJV150" s="6"/>
      <c r="GJW150" s="6"/>
      <c r="GJX150" s="6"/>
      <c r="GJY150" s="6"/>
      <c r="GJZ150" s="6"/>
      <c r="GKA150" s="6"/>
      <c r="GKB150" s="6"/>
      <c r="GKC150" s="6"/>
      <c r="GKD150" s="6"/>
      <c r="GKE150" s="6"/>
      <c r="GKF150" s="6"/>
      <c r="GKG150" s="6"/>
      <c r="GKH150" s="6"/>
      <c r="GKI150" s="6"/>
      <c r="GKJ150" s="6"/>
      <c r="GKK150" s="6"/>
      <c r="GKL150" s="6"/>
      <c r="GKM150" s="6"/>
      <c r="GKN150" s="6"/>
      <c r="GKO150" s="6"/>
      <c r="GKP150" s="6"/>
      <c r="GKQ150" s="6"/>
      <c r="GKR150" s="6"/>
      <c r="GKS150" s="6"/>
      <c r="GKT150" s="6"/>
      <c r="GKU150" s="6"/>
      <c r="GKV150" s="6"/>
      <c r="GKW150" s="6"/>
      <c r="GKX150" s="6"/>
      <c r="GKY150" s="6"/>
      <c r="GKZ150" s="6"/>
      <c r="GLA150" s="6"/>
      <c r="GLB150" s="6"/>
      <c r="GLC150" s="6"/>
      <c r="GLD150" s="6"/>
      <c r="GLE150" s="6"/>
      <c r="GLF150" s="6"/>
      <c r="GLG150" s="6"/>
      <c r="GLH150" s="6"/>
      <c r="GLI150" s="6"/>
      <c r="GLJ150" s="6"/>
      <c r="GLK150" s="6"/>
      <c r="GLL150" s="6"/>
      <c r="GLM150" s="6"/>
      <c r="GLN150" s="6"/>
      <c r="GLO150" s="6"/>
      <c r="GLP150" s="6"/>
      <c r="GLQ150" s="6"/>
      <c r="GLR150" s="6"/>
      <c r="GLS150" s="6"/>
      <c r="GLT150" s="6"/>
      <c r="GLU150" s="6"/>
      <c r="GLV150" s="6"/>
      <c r="GLW150" s="6"/>
      <c r="GLX150" s="6"/>
      <c r="GLY150" s="6"/>
      <c r="GLZ150" s="6"/>
      <c r="GMA150" s="6"/>
      <c r="GMB150" s="6"/>
      <c r="GMC150" s="6"/>
      <c r="GMD150" s="6"/>
      <c r="GME150" s="6"/>
      <c r="GMF150" s="6"/>
      <c r="GMG150" s="6"/>
      <c r="GMH150" s="6"/>
      <c r="GMI150" s="6"/>
      <c r="GMJ150" s="6"/>
      <c r="GMK150" s="6"/>
      <c r="GML150" s="6"/>
      <c r="GMM150" s="6"/>
      <c r="GMN150" s="6"/>
      <c r="GMO150" s="6"/>
      <c r="GMP150" s="6"/>
      <c r="GMQ150" s="6"/>
      <c r="GMR150" s="6"/>
      <c r="GMS150" s="6"/>
      <c r="GMT150" s="6"/>
      <c r="GMU150" s="6"/>
      <c r="GMV150" s="6"/>
      <c r="GMW150" s="6"/>
      <c r="GMX150" s="6"/>
      <c r="GMY150" s="6"/>
      <c r="GMZ150" s="6"/>
      <c r="GNA150" s="6"/>
      <c r="GNB150" s="6"/>
      <c r="GNC150" s="6"/>
      <c r="GND150" s="6"/>
      <c r="GNE150" s="6"/>
      <c r="GNF150" s="6"/>
      <c r="GNG150" s="6"/>
      <c r="GNH150" s="6"/>
      <c r="GNI150" s="6"/>
      <c r="GNJ150" s="6"/>
      <c r="GNK150" s="6"/>
      <c r="GNL150" s="6"/>
      <c r="GNM150" s="6"/>
      <c r="GNN150" s="6"/>
      <c r="GNO150" s="6"/>
      <c r="GNP150" s="6"/>
      <c r="GNQ150" s="6"/>
      <c r="GNR150" s="6"/>
      <c r="GNS150" s="6"/>
      <c r="GNT150" s="6"/>
      <c r="GNU150" s="6"/>
      <c r="GNV150" s="6"/>
      <c r="GNW150" s="6"/>
      <c r="GNX150" s="6"/>
      <c r="GNY150" s="6"/>
      <c r="GNZ150" s="6"/>
      <c r="GOA150" s="6"/>
      <c r="GOB150" s="6"/>
      <c r="GOC150" s="6"/>
      <c r="GOD150" s="6"/>
      <c r="GOE150" s="6"/>
      <c r="GOF150" s="6"/>
      <c r="GOG150" s="6"/>
      <c r="GOH150" s="6"/>
      <c r="GOI150" s="6"/>
      <c r="GOJ150" s="6"/>
      <c r="GOK150" s="6"/>
      <c r="GOL150" s="6"/>
      <c r="GOM150" s="6"/>
      <c r="GON150" s="6"/>
      <c r="GOO150" s="6"/>
      <c r="GOP150" s="6"/>
      <c r="GOQ150" s="6"/>
      <c r="GOR150" s="6"/>
      <c r="GOS150" s="6"/>
      <c r="GOT150" s="6"/>
      <c r="GOU150" s="6"/>
      <c r="GOV150" s="6"/>
      <c r="GOW150" s="6"/>
      <c r="GOX150" s="6"/>
      <c r="GOY150" s="6"/>
      <c r="GOZ150" s="6"/>
      <c r="GPA150" s="6"/>
      <c r="GPB150" s="6"/>
      <c r="GPC150" s="6"/>
      <c r="GPD150" s="6"/>
      <c r="GPE150" s="6"/>
      <c r="GPF150" s="6"/>
      <c r="GPG150" s="6"/>
      <c r="GPH150" s="6"/>
      <c r="GPI150" s="6"/>
      <c r="GPJ150" s="6"/>
      <c r="GPK150" s="6"/>
      <c r="GPL150" s="6"/>
      <c r="GPM150" s="6"/>
      <c r="GPN150" s="6"/>
      <c r="GPO150" s="6"/>
      <c r="GPP150" s="6"/>
      <c r="GPQ150" s="6"/>
      <c r="GPR150" s="6"/>
      <c r="GPS150" s="6"/>
      <c r="GPT150" s="6"/>
      <c r="GPU150" s="6"/>
      <c r="GPV150" s="6"/>
      <c r="GPW150" s="6"/>
      <c r="GPX150" s="6"/>
      <c r="GPY150" s="6"/>
      <c r="GPZ150" s="6"/>
      <c r="GQA150" s="6"/>
      <c r="GQB150" s="6"/>
      <c r="GQC150" s="6"/>
      <c r="GQD150" s="6"/>
      <c r="GQE150" s="6"/>
      <c r="GQF150" s="6"/>
      <c r="GQG150" s="6"/>
      <c r="GQH150" s="6"/>
      <c r="GQI150" s="6"/>
      <c r="GQJ150" s="6"/>
      <c r="GQK150" s="6"/>
      <c r="GQL150" s="6"/>
      <c r="GQM150" s="6"/>
      <c r="GQN150" s="6"/>
      <c r="GQO150" s="6"/>
      <c r="GQP150" s="6"/>
      <c r="GQQ150" s="6"/>
      <c r="GQR150" s="6"/>
      <c r="GQS150" s="6"/>
      <c r="GQT150" s="6"/>
      <c r="GQU150" s="6"/>
      <c r="GQV150" s="6"/>
      <c r="GQW150" s="6"/>
      <c r="GQX150" s="6"/>
      <c r="GQY150" s="6"/>
      <c r="GQZ150" s="6"/>
      <c r="GRA150" s="6"/>
      <c r="GRB150" s="6"/>
      <c r="GRC150" s="6"/>
      <c r="GRD150" s="6"/>
      <c r="GRE150" s="6"/>
      <c r="GRF150" s="6"/>
      <c r="GRG150" s="6"/>
      <c r="GRH150" s="6"/>
      <c r="GRI150" s="6"/>
      <c r="GRJ150" s="6"/>
      <c r="GRK150" s="6"/>
      <c r="GRL150" s="6"/>
      <c r="GRM150" s="6"/>
      <c r="GRN150" s="6"/>
      <c r="GRO150" s="6"/>
      <c r="GRP150" s="6"/>
      <c r="GRQ150" s="6"/>
      <c r="GRR150" s="6"/>
      <c r="GRS150" s="6"/>
      <c r="GRT150" s="6"/>
      <c r="GRU150" s="6"/>
      <c r="GRV150" s="6"/>
      <c r="GRW150" s="6"/>
      <c r="GRX150" s="6"/>
      <c r="GRY150" s="6"/>
      <c r="GRZ150" s="6"/>
      <c r="GSA150" s="6"/>
      <c r="GSB150" s="6"/>
      <c r="GSC150" s="6"/>
      <c r="GSD150" s="6"/>
      <c r="GSE150" s="6"/>
      <c r="GSF150" s="6"/>
      <c r="GSG150" s="6"/>
      <c r="GSH150" s="6"/>
      <c r="GSI150" s="6"/>
      <c r="GSJ150" s="6"/>
      <c r="GSK150" s="6"/>
      <c r="GSL150" s="6"/>
      <c r="GSM150" s="6"/>
      <c r="GSN150" s="6"/>
      <c r="GSO150" s="6"/>
      <c r="GSP150" s="6"/>
      <c r="GSQ150" s="6"/>
      <c r="GSR150" s="6"/>
      <c r="GSS150" s="6"/>
      <c r="GST150" s="6"/>
      <c r="GSU150" s="6"/>
      <c r="GSV150" s="6"/>
      <c r="GSW150" s="6"/>
      <c r="GSX150" s="6"/>
      <c r="GSY150" s="6"/>
      <c r="GSZ150" s="6"/>
      <c r="GTA150" s="6"/>
      <c r="GTB150" s="6"/>
      <c r="GTC150" s="6"/>
      <c r="GTD150" s="6"/>
      <c r="GTE150" s="6"/>
      <c r="GTF150" s="6"/>
      <c r="GTG150" s="6"/>
      <c r="GTH150" s="6"/>
      <c r="GTI150" s="6"/>
      <c r="GTJ150" s="6"/>
      <c r="GTK150" s="6"/>
      <c r="GTL150" s="6"/>
      <c r="GTM150" s="6"/>
      <c r="GTN150" s="6"/>
      <c r="GTO150" s="6"/>
      <c r="GTP150" s="6"/>
      <c r="GTQ150" s="6"/>
      <c r="GTR150" s="6"/>
      <c r="GTS150" s="6"/>
      <c r="GTT150" s="6"/>
      <c r="GTU150" s="6"/>
      <c r="GTV150" s="6"/>
      <c r="GTW150" s="6"/>
      <c r="GTX150" s="6"/>
      <c r="GTY150" s="6"/>
      <c r="GTZ150" s="6"/>
      <c r="GUA150" s="6"/>
      <c r="GUB150" s="6"/>
      <c r="GUC150" s="6"/>
      <c r="GUD150" s="6"/>
      <c r="GUE150" s="6"/>
      <c r="GUF150" s="6"/>
      <c r="GUG150" s="6"/>
      <c r="GUH150" s="6"/>
      <c r="GUI150" s="6"/>
      <c r="GUJ150" s="6"/>
      <c r="GUK150" s="6"/>
      <c r="GUL150" s="6"/>
      <c r="GUM150" s="6"/>
      <c r="GUN150" s="6"/>
      <c r="GUO150" s="6"/>
      <c r="GUP150" s="6"/>
      <c r="GUQ150" s="6"/>
      <c r="GUR150" s="6"/>
      <c r="GUS150" s="6"/>
      <c r="GUT150" s="6"/>
      <c r="GUU150" s="6"/>
      <c r="GUV150" s="6"/>
      <c r="GUW150" s="6"/>
      <c r="GUX150" s="6"/>
      <c r="GUY150" s="6"/>
      <c r="GUZ150" s="6"/>
      <c r="GVA150" s="6"/>
      <c r="GVB150" s="6"/>
      <c r="GVC150" s="6"/>
      <c r="GVD150" s="6"/>
      <c r="GVE150" s="6"/>
      <c r="GVF150" s="6"/>
      <c r="GVG150" s="6"/>
      <c r="GVH150" s="6"/>
      <c r="GVI150" s="6"/>
      <c r="GVJ150" s="6"/>
      <c r="GVK150" s="6"/>
      <c r="GVL150" s="6"/>
      <c r="GVM150" s="6"/>
      <c r="GVN150" s="6"/>
      <c r="GVO150" s="6"/>
      <c r="GVP150" s="6"/>
      <c r="GVQ150" s="6"/>
      <c r="GVR150" s="6"/>
      <c r="GVS150" s="6"/>
      <c r="GVT150" s="6"/>
      <c r="GVU150" s="6"/>
      <c r="GVV150" s="6"/>
      <c r="GVW150" s="6"/>
      <c r="GVX150" s="6"/>
      <c r="GVY150" s="6"/>
      <c r="GVZ150" s="6"/>
      <c r="GWA150" s="6"/>
      <c r="GWB150" s="6"/>
      <c r="GWC150" s="6"/>
      <c r="GWD150" s="6"/>
      <c r="GWE150" s="6"/>
      <c r="GWF150" s="6"/>
      <c r="GWG150" s="6"/>
      <c r="GWH150" s="6"/>
      <c r="GWI150" s="6"/>
      <c r="GWJ150" s="6"/>
      <c r="GWK150" s="6"/>
      <c r="GWL150" s="6"/>
      <c r="GWM150" s="6"/>
      <c r="GWN150" s="6"/>
      <c r="GWO150" s="6"/>
      <c r="GWP150" s="6"/>
      <c r="GWQ150" s="6"/>
      <c r="GWR150" s="6"/>
      <c r="GWS150" s="6"/>
      <c r="GWT150" s="6"/>
      <c r="GWU150" s="6"/>
      <c r="GWV150" s="6"/>
      <c r="GWW150" s="6"/>
      <c r="GWX150" s="6"/>
      <c r="GWY150" s="6"/>
      <c r="GWZ150" s="6"/>
      <c r="GXA150" s="6"/>
      <c r="GXB150" s="6"/>
      <c r="GXC150" s="6"/>
      <c r="GXD150" s="6"/>
      <c r="GXE150" s="6"/>
      <c r="GXF150" s="6"/>
      <c r="GXG150" s="6"/>
      <c r="GXH150" s="6"/>
      <c r="GXI150" s="6"/>
      <c r="GXJ150" s="6"/>
      <c r="GXK150" s="6"/>
      <c r="GXL150" s="6"/>
      <c r="GXM150" s="6"/>
      <c r="GXN150" s="6"/>
      <c r="GXO150" s="6"/>
      <c r="GXP150" s="6"/>
      <c r="GXQ150" s="6"/>
      <c r="GXR150" s="6"/>
      <c r="GXS150" s="6"/>
      <c r="GXT150" s="6"/>
      <c r="GXU150" s="6"/>
      <c r="GXV150" s="6"/>
      <c r="GXW150" s="6"/>
      <c r="GXX150" s="6"/>
      <c r="GXY150" s="6"/>
      <c r="GXZ150" s="6"/>
      <c r="GYA150" s="6"/>
      <c r="GYB150" s="6"/>
      <c r="GYC150" s="6"/>
      <c r="GYD150" s="6"/>
      <c r="GYE150" s="6"/>
      <c r="GYF150" s="6"/>
      <c r="GYG150" s="6"/>
      <c r="GYH150" s="6"/>
      <c r="GYI150" s="6"/>
      <c r="GYJ150" s="6"/>
      <c r="GYK150" s="6"/>
      <c r="GYL150" s="6"/>
      <c r="GYM150" s="6"/>
      <c r="GYN150" s="6"/>
      <c r="GYO150" s="6"/>
      <c r="GYP150" s="6"/>
      <c r="GYQ150" s="6"/>
      <c r="GYR150" s="6"/>
      <c r="GYS150" s="6"/>
      <c r="GYT150" s="6"/>
      <c r="GYU150" s="6"/>
      <c r="GYV150" s="6"/>
      <c r="GYW150" s="6"/>
      <c r="GYX150" s="6"/>
      <c r="GYY150" s="6"/>
      <c r="GYZ150" s="6"/>
      <c r="GZA150" s="6"/>
      <c r="GZB150" s="6"/>
      <c r="GZC150" s="6"/>
      <c r="GZD150" s="6"/>
      <c r="GZE150" s="6"/>
      <c r="GZF150" s="6"/>
      <c r="GZG150" s="6"/>
      <c r="GZH150" s="6"/>
      <c r="GZI150" s="6"/>
      <c r="GZJ150" s="6"/>
      <c r="GZK150" s="6"/>
      <c r="GZL150" s="6"/>
      <c r="GZM150" s="6"/>
      <c r="GZN150" s="6"/>
      <c r="GZO150" s="6"/>
      <c r="GZP150" s="6"/>
      <c r="GZQ150" s="6"/>
      <c r="GZR150" s="6"/>
      <c r="GZS150" s="6"/>
      <c r="GZT150" s="6"/>
      <c r="GZU150" s="6"/>
      <c r="GZV150" s="6"/>
      <c r="GZW150" s="6"/>
      <c r="GZX150" s="6"/>
      <c r="GZY150" s="6"/>
      <c r="GZZ150" s="6"/>
      <c r="HAA150" s="6"/>
      <c r="HAB150" s="6"/>
      <c r="HAC150" s="6"/>
      <c r="HAD150" s="6"/>
      <c r="HAE150" s="6"/>
      <c r="HAF150" s="6"/>
      <c r="HAG150" s="6"/>
      <c r="HAH150" s="6"/>
      <c r="HAI150" s="6"/>
      <c r="HAJ150" s="6"/>
      <c r="HAK150" s="6"/>
      <c r="HAL150" s="6"/>
      <c r="HAM150" s="6"/>
      <c r="HAN150" s="6"/>
      <c r="HAO150" s="6"/>
      <c r="HAP150" s="6"/>
      <c r="HAQ150" s="6"/>
      <c r="HAR150" s="6"/>
      <c r="HAS150" s="6"/>
      <c r="HAT150" s="6"/>
      <c r="HAU150" s="6"/>
      <c r="HAV150" s="6"/>
      <c r="HAW150" s="6"/>
      <c r="HAX150" s="6"/>
      <c r="HAY150" s="6"/>
      <c r="HAZ150" s="6"/>
      <c r="HBA150" s="6"/>
      <c r="HBB150" s="6"/>
      <c r="HBC150" s="6"/>
      <c r="HBD150" s="6"/>
      <c r="HBE150" s="6"/>
      <c r="HBF150" s="6"/>
      <c r="HBG150" s="6"/>
      <c r="HBH150" s="6"/>
      <c r="HBI150" s="6"/>
      <c r="HBJ150" s="6"/>
      <c r="HBK150" s="6"/>
      <c r="HBL150" s="6"/>
      <c r="HBM150" s="6"/>
      <c r="HBN150" s="6"/>
      <c r="HBO150" s="6"/>
      <c r="HBP150" s="6"/>
      <c r="HBQ150" s="6"/>
      <c r="HBR150" s="6"/>
      <c r="HBS150" s="6"/>
      <c r="HBT150" s="6"/>
      <c r="HBU150" s="6"/>
      <c r="HBV150" s="6"/>
      <c r="HBW150" s="6"/>
      <c r="HBX150" s="6"/>
      <c r="HBY150" s="6"/>
      <c r="HBZ150" s="6"/>
      <c r="HCA150" s="6"/>
      <c r="HCB150" s="6"/>
      <c r="HCC150" s="6"/>
      <c r="HCD150" s="6"/>
      <c r="HCE150" s="6"/>
      <c r="HCF150" s="6"/>
      <c r="HCG150" s="6"/>
      <c r="HCH150" s="6"/>
      <c r="HCI150" s="6"/>
      <c r="HCJ150" s="6"/>
      <c r="HCK150" s="6"/>
      <c r="HCL150" s="6"/>
      <c r="HCM150" s="6"/>
      <c r="HCN150" s="6"/>
      <c r="HCO150" s="6"/>
      <c r="HCP150" s="6"/>
      <c r="HCQ150" s="6"/>
      <c r="HCR150" s="6"/>
      <c r="HCS150" s="6"/>
      <c r="HCT150" s="6"/>
      <c r="HCU150" s="6"/>
      <c r="HCV150" s="6"/>
      <c r="HCW150" s="6"/>
      <c r="HCX150" s="6"/>
      <c r="HCY150" s="6"/>
      <c r="HCZ150" s="6"/>
      <c r="HDA150" s="6"/>
      <c r="HDB150" s="6"/>
      <c r="HDC150" s="6"/>
      <c r="HDD150" s="6"/>
      <c r="HDE150" s="6"/>
      <c r="HDF150" s="6"/>
      <c r="HDG150" s="6"/>
      <c r="HDH150" s="6"/>
      <c r="HDI150" s="6"/>
      <c r="HDJ150" s="6"/>
      <c r="HDK150" s="6"/>
      <c r="HDL150" s="6"/>
      <c r="HDM150" s="6"/>
      <c r="HDN150" s="6"/>
      <c r="HDO150" s="6"/>
      <c r="HDP150" s="6"/>
      <c r="HDQ150" s="6"/>
      <c r="HDR150" s="6"/>
      <c r="HDS150" s="6"/>
      <c r="HDT150" s="6"/>
      <c r="HDU150" s="6"/>
      <c r="HDV150" s="6"/>
      <c r="HDW150" s="6"/>
      <c r="HDX150" s="6"/>
      <c r="HDY150" s="6"/>
      <c r="HDZ150" s="6"/>
      <c r="HEA150" s="6"/>
      <c r="HEB150" s="6"/>
      <c r="HEC150" s="6"/>
      <c r="HED150" s="6"/>
      <c r="HEE150" s="6"/>
      <c r="HEF150" s="6"/>
      <c r="HEG150" s="6"/>
      <c r="HEH150" s="6"/>
      <c r="HEI150" s="6"/>
      <c r="HEJ150" s="6"/>
      <c r="HEK150" s="6"/>
      <c r="HEL150" s="6"/>
      <c r="HEM150" s="6"/>
      <c r="HEN150" s="6"/>
      <c r="HEO150" s="6"/>
      <c r="HEP150" s="6"/>
      <c r="HEQ150" s="6"/>
      <c r="HER150" s="6"/>
      <c r="HES150" s="6"/>
      <c r="HET150" s="6"/>
      <c r="HEU150" s="6"/>
      <c r="HEV150" s="6"/>
      <c r="HEW150" s="6"/>
      <c r="HEX150" s="6"/>
      <c r="HEY150" s="6"/>
      <c r="HEZ150" s="6"/>
      <c r="HFA150" s="6"/>
      <c r="HFB150" s="6"/>
      <c r="HFC150" s="6"/>
      <c r="HFD150" s="6"/>
      <c r="HFE150" s="6"/>
      <c r="HFF150" s="6"/>
      <c r="HFG150" s="6"/>
      <c r="HFH150" s="6"/>
      <c r="HFI150" s="6"/>
      <c r="HFJ150" s="6"/>
      <c r="HFK150" s="6"/>
      <c r="HFL150" s="6"/>
      <c r="HFM150" s="6"/>
      <c r="HFN150" s="6"/>
      <c r="HFO150" s="6"/>
      <c r="HFP150" s="6"/>
      <c r="HFQ150" s="6"/>
      <c r="HFR150" s="6"/>
      <c r="HFS150" s="6"/>
      <c r="HFT150" s="6"/>
      <c r="HFU150" s="6"/>
      <c r="HFV150" s="6"/>
      <c r="HFW150" s="6"/>
      <c r="HFX150" s="6"/>
      <c r="HFY150" s="6"/>
      <c r="HFZ150" s="6"/>
      <c r="HGA150" s="6"/>
      <c r="HGB150" s="6"/>
      <c r="HGC150" s="6"/>
      <c r="HGD150" s="6"/>
      <c r="HGE150" s="6"/>
      <c r="HGF150" s="6"/>
      <c r="HGG150" s="6"/>
      <c r="HGH150" s="6"/>
      <c r="HGI150" s="6"/>
      <c r="HGJ150" s="6"/>
      <c r="HGK150" s="6"/>
      <c r="HGL150" s="6"/>
      <c r="HGM150" s="6"/>
      <c r="HGN150" s="6"/>
      <c r="HGO150" s="6"/>
      <c r="HGP150" s="6"/>
      <c r="HGQ150" s="6"/>
      <c r="HGR150" s="6"/>
      <c r="HGS150" s="6"/>
      <c r="HGT150" s="6"/>
      <c r="HGU150" s="6"/>
      <c r="HGV150" s="6"/>
      <c r="HGW150" s="6"/>
      <c r="HGX150" s="6"/>
      <c r="HGY150" s="6"/>
      <c r="HGZ150" s="6"/>
      <c r="HHA150" s="6"/>
      <c r="HHB150" s="6"/>
      <c r="HHC150" s="6"/>
      <c r="HHD150" s="6"/>
      <c r="HHE150" s="6"/>
      <c r="HHF150" s="6"/>
      <c r="HHG150" s="6"/>
      <c r="HHH150" s="6"/>
      <c r="HHI150" s="6"/>
      <c r="HHJ150" s="6"/>
      <c r="HHK150" s="6"/>
      <c r="HHL150" s="6"/>
      <c r="HHM150" s="6"/>
      <c r="HHN150" s="6"/>
      <c r="HHO150" s="6"/>
      <c r="HHP150" s="6"/>
      <c r="HHQ150" s="6"/>
      <c r="HHR150" s="6"/>
      <c r="HHS150" s="6"/>
      <c r="HHT150" s="6"/>
      <c r="HHU150" s="6"/>
      <c r="HHV150" s="6"/>
      <c r="HHW150" s="6"/>
      <c r="HHX150" s="6"/>
      <c r="HHY150" s="6"/>
      <c r="HHZ150" s="6"/>
      <c r="HIA150" s="6"/>
      <c r="HIB150" s="6"/>
      <c r="HIC150" s="6"/>
      <c r="HID150" s="6"/>
      <c r="HIE150" s="6"/>
      <c r="HIF150" s="6"/>
      <c r="HIG150" s="6"/>
      <c r="HIH150" s="6"/>
      <c r="HII150" s="6"/>
      <c r="HIJ150" s="6"/>
      <c r="HIK150" s="6"/>
      <c r="HIL150" s="6"/>
      <c r="HIM150" s="6"/>
      <c r="HIN150" s="6"/>
      <c r="HIO150" s="6"/>
      <c r="HIP150" s="6"/>
      <c r="HIQ150" s="6"/>
      <c r="HIR150" s="6"/>
      <c r="HIS150" s="6"/>
      <c r="HIT150" s="6"/>
      <c r="HIU150" s="6"/>
      <c r="HIV150" s="6"/>
      <c r="HIW150" s="6"/>
      <c r="HIX150" s="6"/>
      <c r="HIY150" s="6"/>
      <c r="HIZ150" s="6"/>
      <c r="HJA150" s="6"/>
      <c r="HJB150" s="6"/>
      <c r="HJC150" s="6"/>
      <c r="HJD150" s="6"/>
      <c r="HJE150" s="6"/>
      <c r="HJF150" s="6"/>
      <c r="HJG150" s="6"/>
      <c r="HJH150" s="6"/>
      <c r="HJI150" s="6"/>
      <c r="HJJ150" s="6"/>
      <c r="HJK150" s="6"/>
      <c r="HJL150" s="6"/>
      <c r="HJM150" s="6"/>
      <c r="HJN150" s="6"/>
      <c r="HJO150" s="6"/>
      <c r="HJP150" s="6"/>
      <c r="HJQ150" s="6"/>
      <c r="HJR150" s="6"/>
      <c r="HJS150" s="6"/>
      <c r="HJT150" s="6"/>
      <c r="HJU150" s="6"/>
      <c r="HJV150" s="6"/>
      <c r="HJW150" s="6"/>
      <c r="HJX150" s="6"/>
      <c r="HJY150" s="6"/>
      <c r="HJZ150" s="6"/>
      <c r="HKA150" s="6"/>
      <c r="HKB150" s="6"/>
      <c r="HKC150" s="6"/>
      <c r="HKD150" s="6"/>
      <c r="HKE150" s="6"/>
      <c r="HKF150" s="6"/>
      <c r="HKG150" s="6"/>
      <c r="HKH150" s="6"/>
      <c r="HKI150" s="6"/>
      <c r="HKJ150" s="6"/>
      <c r="HKK150" s="6"/>
      <c r="HKL150" s="6"/>
      <c r="HKM150" s="6"/>
      <c r="HKN150" s="6"/>
      <c r="HKO150" s="6"/>
      <c r="HKP150" s="6"/>
      <c r="HKQ150" s="6"/>
      <c r="HKR150" s="6"/>
      <c r="HKS150" s="6"/>
      <c r="HKT150" s="6"/>
      <c r="HKU150" s="6"/>
      <c r="HKV150" s="6"/>
      <c r="HKW150" s="6"/>
      <c r="HKX150" s="6"/>
      <c r="HKY150" s="6"/>
      <c r="HKZ150" s="6"/>
      <c r="HLA150" s="6"/>
      <c r="HLB150" s="6"/>
      <c r="HLC150" s="6"/>
      <c r="HLD150" s="6"/>
      <c r="HLE150" s="6"/>
      <c r="HLF150" s="6"/>
      <c r="HLG150" s="6"/>
      <c r="HLH150" s="6"/>
      <c r="HLI150" s="6"/>
      <c r="HLJ150" s="6"/>
      <c r="HLK150" s="6"/>
      <c r="HLL150" s="6"/>
      <c r="HLM150" s="6"/>
      <c r="HLN150" s="6"/>
      <c r="HLO150" s="6"/>
      <c r="HLP150" s="6"/>
      <c r="HLQ150" s="6"/>
      <c r="HLR150" s="6"/>
      <c r="HLS150" s="6"/>
      <c r="HLT150" s="6"/>
      <c r="HLU150" s="6"/>
      <c r="HLV150" s="6"/>
      <c r="HLW150" s="6"/>
      <c r="HLX150" s="6"/>
      <c r="HLY150" s="6"/>
      <c r="HLZ150" s="6"/>
      <c r="HMA150" s="6"/>
      <c r="HMB150" s="6"/>
      <c r="HMC150" s="6"/>
      <c r="HMD150" s="6"/>
      <c r="HME150" s="6"/>
      <c r="HMF150" s="6"/>
      <c r="HMG150" s="6"/>
      <c r="HMH150" s="6"/>
      <c r="HMI150" s="6"/>
      <c r="HMJ150" s="6"/>
      <c r="HMK150" s="6"/>
      <c r="HML150" s="6"/>
      <c r="HMM150" s="6"/>
      <c r="HMN150" s="6"/>
      <c r="HMO150" s="6"/>
      <c r="HMP150" s="6"/>
      <c r="HMQ150" s="6"/>
      <c r="HMR150" s="6"/>
      <c r="HMS150" s="6"/>
      <c r="HMT150" s="6"/>
      <c r="HMU150" s="6"/>
      <c r="HMV150" s="6"/>
      <c r="HMW150" s="6"/>
      <c r="HMX150" s="6"/>
      <c r="HMY150" s="6"/>
      <c r="HMZ150" s="6"/>
      <c r="HNA150" s="6"/>
      <c r="HNB150" s="6"/>
      <c r="HNC150" s="6"/>
      <c r="HND150" s="6"/>
      <c r="HNE150" s="6"/>
      <c r="HNF150" s="6"/>
      <c r="HNG150" s="6"/>
      <c r="HNH150" s="6"/>
      <c r="HNI150" s="6"/>
      <c r="HNJ150" s="6"/>
      <c r="HNK150" s="6"/>
      <c r="HNL150" s="6"/>
      <c r="HNM150" s="6"/>
      <c r="HNN150" s="6"/>
      <c r="HNO150" s="6"/>
      <c r="HNP150" s="6"/>
      <c r="HNQ150" s="6"/>
      <c r="HNR150" s="6"/>
      <c r="HNS150" s="6"/>
      <c r="HNT150" s="6"/>
      <c r="HNU150" s="6"/>
      <c r="HNV150" s="6"/>
      <c r="HNW150" s="6"/>
      <c r="HNX150" s="6"/>
      <c r="HNY150" s="6"/>
      <c r="HNZ150" s="6"/>
      <c r="HOA150" s="6"/>
      <c r="HOB150" s="6"/>
      <c r="HOC150" s="6"/>
      <c r="HOD150" s="6"/>
      <c r="HOE150" s="6"/>
      <c r="HOF150" s="6"/>
      <c r="HOG150" s="6"/>
      <c r="HOH150" s="6"/>
      <c r="HOI150" s="6"/>
      <c r="HOJ150" s="6"/>
      <c r="HOK150" s="6"/>
      <c r="HOL150" s="6"/>
      <c r="HOM150" s="6"/>
      <c r="HON150" s="6"/>
      <c r="HOO150" s="6"/>
      <c r="HOP150" s="6"/>
      <c r="HOQ150" s="6"/>
      <c r="HOR150" s="6"/>
      <c r="HOS150" s="6"/>
      <c r="HOT150" s="6"/>
      <c r="HOU150" s="6"/>
      <c r="HOV150" s="6"/>
      <c r="HOW150" s="6"/>
      <c r="HOX150" s="6"/>
      <c r="HOY150" s="6"/>
      <c r="HOZ150" s="6"/>
      <c r="HPA150" s="6"/>
      <c r="HPB150" s="6"/>
      <c r="HPC150" s="6"/>
      <c r="HPD150" s="6"/>
      <c r="HPE150" s="6"/>
      <c r="HPF150" s="6"/>
      <c r="HPG150" s="6"/>
      <c r="HPH150" s="6"/>
      <c r="HPI150" s="6"/>
      <c r="HPJ150" s="6"/>
      <c r="HPK150" s="6"/>
      <c r="HPL150" s="6"/>
      <c r="HPM150" s="6"/>
      <c r="HPN150" s="6"/>
      <c r="HPO150" s="6"/>
      <c r="HPP150" s="6"/>
      <c r="HPQ150" s="6"/>
      <c r="HPR150" s="6"/>
      <c r="HPS150" s="6"/>
      <c r="HPT150" s="6"/>
      <c r="HPU150" s="6"/>
      <c r="HPV150" s="6"/>
      <c r="HPW150" s="6"/>
      <c r="HPX150" s="6"/>
      <c r="HPY150" s="6"/>
      <c r="HPZ150" s="6"/>
      <c r="HQA150" s="6"/>
      <c r="HQB150" s="6"/>
      <c r="HQC150" s="6"/>
      <c r="HQD150" s="6"/>
      <c r="HQE150" s="6"/>
      <c r="HQF150" s="6"/>
      <c r="HQG150" s="6"/>
      <c r="HQH150" s="6"/>
      <c r="HQI150" s="6"/>
      <c r="HQJ150" s="6"/>
      <c r="HQK150" s="6"/>
      <c r="HQL150" s="6"/>
      <c r="HQM150" s="6"/>
      <c r="HQN150" s="6"/>
      <c r="HQO150" s="6"/>
      <c r="HQP150" s="6"/>
      <c r="HQQ150" s="6"/>
      <c r="HQR150" s="6"/>
      <c r="HQS150" s="6"/>
      <c r="HQT150" s="6"/>
      <c r="HQU150" s="6"/>
      <c r="HQV150" s="6"/>
      <c r="HQW150" s="6"/>
      <c r="HQX150" s="6"/>
      <c r="HQY150" s="6"/>
      <c r="HQZ150" s="6"/>
      <c r="HRA150" s="6"/>
      <c r="HRB150" s="6"/>
      <c r="HRC150" s="6"/>
      <c r="HRD150" s="6"/>
      <c r="HRE150" s="6"/>
      <c r="HRF150" s="6"/>
      <c r="HRG150" s="6"/>
      <c r="HRH150" s="6"/>
      <c r="HRI150" s="6"/>
      <c r="HRJ150" s="6"/>
      <c r="HRK150" s="6"/>
      <c r="HRL150" s="6"/>
      <c r="HRM150" s="6"/>
      <c r="HRN150" s="6"/>
      <c r="HRO150" s="6"/>
      <c r="HRP150" s="6"/>
      <c r="HRQ150" s="6"/>
      <c r="HRR150" s="6"/>
      <c r="HRS150" s="6"/>
      <c r="HRT150" s="6"/>
      <c r="HRU150" s="6"/>
      <c r="HRV150" s="6"/>
      <c r="HRW150" s="6"/>
      <c r="HRX150" s="6"/>
      <c r="HRY150" s="6"/>
      <c r="HRZ150" s="6"/>
      <c r="HSA150" s="6"/>
      <c r="HSB150" s="6"/>
      <c r="HSC150" s="6"/>
      <c r="HSD150" s="6"/>
      <c r="HSE150" s="6"/>
      <c r="HSF150" s="6"/>
      <c r="HSG150" s="6"/>
      <c r="HSH150" s="6"/>
      <c r="HSI150" s="6"/>
      <c r="HSJ150" s="6"/>
      <c r="HSK150" s="6"/>
      <c r="HSL150" s="6"/>
      <c r="HSM150" s="6"/>
      <c r="HSN150" s="6"/>
      <c r="HSO150" s="6"/>
      <c r="HSP150" s="6"/>
      <c r="HSQ150" s="6"/>
      <c r="HSR150" s="6"/>
      <c r="HSS150" s="6"/>
      <c r="HST150" s="6"/>
      <c r="HSU150" s="6"/>
      <c r="HSV150" s="6"/>
      <c r="HSW150" s="6"/>
      <c r="HSX150" s="6"/>
      <c r="HSY150" s="6"/>
      <c r="HSZ150" s="6"/>
      <c r="HTA150" s="6"/>
      <c r="HTB150" s="6"/>
      <c r="HTC150" s="6"/>
      <c r="HTD150" s="6"/>
      <c r="HTE150" s="6"/>
      <c r="HTF150" s="6"/>
      <c r="HTG150" s="6"/>
      <c r="HTH150" s="6"/>
      <c r="HTI150" s="6"/>
      <c r="HTJ150" s="6"/>
      <c r="HTK150" s="6"/>
      <c r="HTL150" s="6"/>
      <c r="HTM150" s="6"/>
      <c r="HTN150" s="6"/>
      <c r="HTO150" s="6"/>
      <c r="HTP150" s="6"/>
      <c r="HTQ150" s="6"/>
      <c r="HTR150" s="6"/>
      <c r="HTS150" s="6"/>
      <c r="HTT150" s="6"/>
      <c r="HTU150" s="6"/>
      <c r="HTV150" s="6"/>
      <c r="HTW150" s="6"/>
      <c r="HTX150" s="6"/>
      <c r="HTY150" s="6"/>
      <c r="HTZ150" s="6"/>
      <c r="HUA150" s="6"/>
      <c r="HUB150" s="6"/>
      <c r="HUC150" s="6"/>
      <c r="HUD150" s="6"/>
      <c r="HUE150" s="6"/>
      <c r="HUF150" s="6"/>
      <c r="HUG150" s="6"/>
      <c r="HUH150" s="6"/>
      <c r="HUI150" s="6"/>
      <c r="HUJ150" s="6"/>
      <c r="HUK150" s="6"/>
      <c r="HUL150" s="6"/>
      <c r="HUM150" s="6"/>
      <c r="HUN150" s="6"/>
      <c r="HUO150" s="6"/>
      <c r="HUP150" s="6"/>
      <c r="HUQ150" s="6"/>
      <c r="HUR150" s="6"/>
      <c r="HUS150" s="6"/>
      <c r="HUT150" s="6"/>
      <c r="HUU150" s="6"/>
      <c r="HUV150" s="6"/>
      <c r="HUW150" s="6"/>
      <c r="HUX150" s="6"/>
      <c r="HUY150" s="6"/>
      <c r="HUZ150" s="6"/>
      <c r="HVA150" s="6"/>
      <c r="HVB150" s="6"/>
      <c r="HVC150" s="6"/>
      <c r="HVD150" s="6"/>
      <c r="HVE150" s="6"/>
      <c r="HVF150" s="6"/>
      <c r="HVG150" s="6"/>
      <c r="HVH150" s="6"/>
      <c r="HVI150" s="6"/>
      <c r="HVJ150" s="6"/>
      <c r="HVK150" s="6"/>
      <c r="HVL150" s="6"/>
      <c r="HVM150" s="6"/>
      <c r="HVN150" s="6"/>
      <c r="HVO150" s="6"/>
      <c r="HVP150" s="6"/>
      <c r="HVQ150" s="6"/>
      <c r="HVR150" s="6"/>
      <c r="HVS150" s="6"/>
      <c r="HVT150" s="6"/>
      <c r="HVU150" s="6"/>
      <c r="HVV150" s="6"/>
      <c r="HVW150" s="6"/>
      <c r="HVX150" s="6"/>
      <c r="HVY150" s="6"/>
      <c r="HVZ150" s="6"/>
      <c r="HWA150" s="6"/>
      <c r="HWB150" s="6"/>
      <c r="HWC150" s="6"/>
      <c r="HWD150" s="6"/>
      <c r="HWE150" s="6"/>
      <c r="HWF150" s="6"/>
      <c r="HWG150" s="6"/>
      <c r="HWH150" s="6"/>
      <c r="HWI150" s="6"/>
      <c r="HWJ150" s="6"/>
      <c r="HWK150" s="6"/>
      <c r="HWL150" s="6"/>
      <c r="HWM150" s="6"/>
      <c r="HWN150" s="6"/>
      <c r="HWO150" s="6"/>
      <c r="HWP150" s="6"/>
      <c r="HWQ150" s="6"/>
      <c r="HWR150" s="6"/>
      <c r="HWS150" s="6"/>
      <c r="HWT150" s="6"/>
      <c r="HWU150" s="6"/>
      <c r="HWV150" s="6"/>
      <c r="HWW150" s="6"/>
      <c r="HWX150" s="6"/>
      <c r="HWY150" s="6"/>
      <c r="HWZ150" s="6"/>
      <c r="HXA150" s="6"/>
      <c r="HXB150" s="6"/>
      <c r="HXC150" s="6"/>
      <c r="HXD150" s="6"/>
      <c r="HXE150" s="6"/>
      <c r="HXF150" s="6"/>
      <c r="HXG150" s="6"/>
      <c r="HXH150" s="6"/>
      <c r="HXI150" s="6"/>
      <c r="HXJ150" s="6"/>
      <c r="HXK150" s="6"/>
      <c r="HXL150" s="6"/>
      <c r="HXM150" s="6"/>
      <c r="HXN150" s="6"/>
      <c r="HXO150" s="6"/>
      <c r="HXP150" s="6"/>
      <c r="HXQ150" s="6"/>
      <c r="HXR150" s="6"/>
      <c r="HXS150" s="6"/>
      <c r="HXT150" s="6"/>
      <c r="HXU150" s="6"/>
      <c r="HXV150" s="6"/>
      <c r="HXW150" s="6"/>
      <c r="HXX150" s="6"/>
      <c r="HXY150" s="6"/>
      <c r="HXZ150" s="6"/>
      <c r="HYA150" s="6"/>
      <c r="HYB150" s="6"/>
      <c r="HYC150" s="6"/>
      <c r="HYD150" s="6"/>
      <c r="HYE150" s="6"/>
      <c r="HYF150" s="6"/>
      <c r="HYG150" s="6"/>
      <c r="HYH150" s="6"/>
      <c r="HYI150" s="6"/>
      <c r="HYJ150" s="6"/>
      <c r="HYK150" s="6"/>
      <c r="HYL150" s="6"/>
      <c r="HYM150" s="6"/>
      <c r="HYN150" s="6"/>
      <c r="HYO150" s="6"/>
      <c r="HYP150" s="6"/>
      <c r="HYQ150" s="6"/>
      <c r="HYR150" s="6"/>
      <c r="HYS150" s="6"/>
      <c r="HYT150" s="6"/>
      <c r="HYU150" s="6"/>
      <c r="HYV150" s="6"/>
      <c r="HYW150" s="6"/>
      <c r="HYX150" s="6"/>
      <c r="HYY150" s="6"/>
      <c r="HYZ150" s="6"/>
      <c r="HZA150" s="6"/>
      <c r="HZB150" s="6"/>
      <c r="HZC150" s="6"/>
      <c r="HZD150" s="6"/>
      <c r="HZE150" s="6"/>
      <c r="HZF150" s="6"/>
      <c r="HZG150" s="6"/>
      <c r="HZH150" s="6"/>
      <c r="HZI150" s="6"/>
      <c r="HZJ150" s="6"/>
      <c r="HZK150" s="6"/>
      <c r="HZL150" s="6"/>
      <c r="HZM150" s="6"/>
      <c r="HZN150" s="6"/>
      <c r="HZO150" s="6"/>
      <c r="HZP150" s="6"/>
      <c r="HZQ150" s="6"/>
      <c r="HZR150" s="6"/>
      <c r="HZS150" s="6"/>
      <c r="HZT150" s="6"/>
      <c r="HZU150" s="6"/>
      <c r="HZV150" s="6"/>
      <c r="HZW150" s="6"/>
      <c r="HZX150" s="6"/>
      <c r="HZY150" s="6"/>
      <c r="HZZ150" s="6"/>
      <c r="IAA150" s="6"/>
      <c r="IAB150" s="6"/>
      <c r="IAC150" s="6"/>
      <c r="IAD150" s="6"/>
      <c r="IAE150" s="6"/>
      <c r="IAF150" s="6"/>
      <c r="IAG150" s="6"/>
      <c r="IAH150" s="6"/>
      <c r="IAI150" s="6"/>
      <c r="IAJ150" s="6"/>
      <c r="IAK150" s="6"/>
      <c r="IAL150" s="6"/>
      <c r="IAM150" s="6"/>
      <c r="IAN150" s="6"/>
      <c r="IAO150" s="6"/>
      <c r="IAP150" s="6"/>
      <c r="IAQ150" s="6"/>
      <c r="IAR150" s="6"/>
      <c r="IAS150" s="6"/>
      <c r="IAT150" s="6"/>
      <c r="IAU150" s="6"/>
      <c r="IAV150" s="6"/>
      <c r="IAW150" s="6"/>
      <c r="IAX150" s="6"/>
      <c r="IAY150" s="6"/>
      <c r="IAZ150" s="6"/>
      <c r="IBA150" s="6"/>
      <c r="IBB150" s="6"/>
      <c r="IBC150" s="6"/>
      <c r="IBD150" s="6"/>
      <c r="IBE150" s="6"/>
      <c r="IBF150" s="6"/>
      <c r="IBG150" s="6"/>
      <c r="IBH150" s="6"/>
      <c r="IBI150" s="6"/>
      <c r="IBJ150" s="6"/>
      <c r="IBK150" s="6"/>
      <c r="IBL150" s="6"/>
      <c r="IBM150" s="6"/>
      <c r="IBN150" s="6"/>
      <c r="IBO150" s="6"/>
      <c r="IBP150" s="6"/>
      <c r="IBQ150" s="6"/>
      <c r="IBR150" s="6"/>
      <c r="IBS150" s="6"/>
      <c r="IBT150" s="6"/>
      <c r="IBU150" s="6"/>
      <c r="IBV150" s="6"/>
      <c r="IBW150" s="6"/>
      <c r="IBX150" s="6"/>
      <c r="IBY150" s="6"/>
      <c r="IBZ150" s="6"/>
      <c r="ICA150" s="6"/>
      <c r="ICB150" s="6"/>
      <c r="ICC150" s="6"/>
      <c r="ICD150" s="6"/>
      <c r="ICE150" s="6"/>
      <c r="ICF150" s="6"/>
      <c r="ICG150" s="6"/>
      <c r="ICH150" s="6"/>
      <c r="ICI150" s="6"/>
      <c r="ICJ150" s="6"/>
      <c r="ICK150" s="6"/>
      <c r="ICL150" s="6"/>
      <c r="ICM150" s="6"/>
      <c r="ICN150" s="6"/>
      <c r="ICO150" s="6"/>
      <c r="ICP150" s="6"/>
      <c r="ICQ150" s="6"/>
      <c r="ICR150" s="6"/>
      <c r="ICS150" s="6"/>
      <c r="ICT150" s="6"/>
      <c r="ICU150" s="6"/>
      <c r="ICV150" s="6"/>
      <c r="ICW150" s="6"/>
      <c r="ICX150" s="6"/>
      <c r="ICY150" s="6"/>
      <c r="ICZ150" s="6"/>
      <c r="IDA150" s="6"/>
      <c r="IDB150" s="6"/>
      <c r="IDC150" s="6"/>
      <c r="IDD150" s="6"/>
      <c r="IDE150" s="6"/>
      <c r="IDF150" s="6"/>
      <c r="IDG150" s="6"/>
      <c r="IDH150" s="6"/>
      <c r="IDI150" s="6"/>
      <c r="IDJ150" s="6"/>
      <c r="IDK150" s="6"/>
      <c r="IDL150" s="6"/>
      <c r="IDM150" s="6"/>
      <c r="IDN150" s="6"/>
      <c r="IDO150" s="6"/>
      <c r="IDP150" s="6"/>
      <c r="IDQ150" s="6"/>
      <c r="IDR150" s="6"/>
      <c r="IDS150" s="6"/>
      <c r="IDT150" s="6"/>
      <c r="IDU150" s="6"/>
      <c r="IDV150" s="6"/>
      <c r="IDW150" s="6"/>
      <c r="IDX150" s="6"/>
      <c r="IDY150" s="6"/>
      <c r="IDZ150" s="6"/>
      <c r="IEA150" s="6"/>
      <c r="IEB150" s="6"/>
      <c r="IEC150" s="6"/>
      <c r="IED150" s="6"/>
      <c r="IEE150" s="6"/>
      <c r="IEF150" s="6"/>
      <c r="IEG150" s="6"/>
      <c r="IEH150" s="6"/>
      <c r="IEI150" s="6"/>
      <c r="IEJ150" s="6"/>
      <c r="IEK150" s="6"/>
      <c r="IEL150" s="6"/>
      <c r="IEM150" s="6"/>
      <c r="IEN150" s="6"/>
      <c r="IEO150" s="6"/>
      <c r="IEP150" s="6"/>
      <c r="IEQ150" s="6"/>
      <c r="IER150" s="6"/>
      <c r="IES150" s="6"/>
      <c r="IET150" s="6"/>
      <c r="IEU150" s="6"/>
      <c r="IEV150" s="6"/>
      <c r="IEW150" s="6"/>
      <c r="IEX150" s="6"/>
      <c r="IEY150" s="6"/>
      <c r="IEZ150" s="6"/>
      <c r="IFA150" s="6"/>
      <c r="IFB150" s="6"/>
      <c r="IFC150" s="6"/>
      <c r="IFD150" s="6"/>
      <c r="IFE150" s="6"/>
      <c r="IFF150" s="6"/>
      <c r="IFG150" s="6"/>
      <c r="IFH150" s="6"/>
      <c r="IFI150" s="6"/>
      <c r="IFJ150" s="6"/>
      <c r="IFK150" s="6"/>
      <c r="IFL150" s="6"/>
      <c r="IFM150" s="6"/>
      <c r="IFN150" s="6"/>
      <c r="IFO150" s="6"/>
      <c r="IFP150" s="6"/>
      <c r="IFQ150" s="6"/>
      <c r="IFR150" s="6"/>
      <c r="IFS150" s="6"/>
      <c r="IFT150" s="6"/>
      <c r="IFU150" s="6"/>
      <c r="IFV150" s="6"/>
      <c r="IFW150" s="6"/>
      <c r="IFX150" s="6"/>
      <c r="IFY150" s="6"/>
      <c r="IFZ150" s="6"/>
      <c r="IGA150" s="6"/>
      <c r="IGB150" s="6"/>
      <c r="IGC150" s="6"/>
      <c r="IGD150" s="6"/>
      <c r="IGE150" s="6"/>
      <c r="IGF150" s="6"/>
      <c r="IGG150" s="6"/>
      <c r="IGH150" s="6"/>
      <c r="IGI150" s="6"/>
      <c r="IGJ150" s="6"/>
      <c r="IGK150" s="6"/>
      <c r="IGL150" s="6"/>
      <c r="IGM150" s="6"/>
      <c r="IGN150" s="6"/>
      <c r="IGO150" s="6"/>
      <c r="IGP150" s="6"/>
      <c r="IGQ150" s="6"/>
      <c r="IGR150" s="6"/>
      <c r="IGS150" s="6"/>
      <c r="IGT150" s="6"/>
      <c r="IGU150" s="6"/>
      <c r="IGV150" s="6"/>
      <c r="IGW150" s="6"/>
      <c r="IGX150" s="6"/>
      <c r="IGY150" s="6"/>
      <c r="IGZ150" s="6"/>
      <c r="IHA150" s="6"/>
      <c r="IHB150" s="6"/>
      <c r="IHC150" s="6"/>
      <c r="IHD150" s="6"/>
      <c r="IHE150" s="6"/>
      <c r="IHF150" s="6"/>
      <c r="IHG150" s="6"/>
      <c r="IHH150" s="6"/>
      <c r="IHI150" s="6"/>
      <c r="IHJ150" s="6"/>
      <c r="IHK150" s="6"/>
      <c r="IHL150" s="6"/>
      <c r="IHM150" s="6"/>
      <c r="IHN150" s="6"/>
      <c r="IHO150" s="6"/>
      <c r="IHP150" s="6"/>
      <c r="IHQ150" s="6"/>
      <c r="IHR150" s="6"/>
      <c r="IHS150" s="6"/>
      <c r="IHT150" s="6"/>
      <c r="IHU150" s="6"/>
      <c r="IHV150" s="6"/>
      <c r="IHW150" s="6"/>
      <c r="IHX150" s="6"/>
      <c r="IHY150" s="6"/>
      <c r="IHZ150" s="6"/>
      <c r="IIA150" s="6"/>
      <c r="IIB150" s="6"/>
      <c r="IIC150" s="6"/>
      <c r="IID150" s="6"/>
      <c r="IIE150" s="6"/>
      <c r="IIF150" s="6"/>
      <c r="IIG150" s="6"/>
      <c r="IIH150" s="6"/>
      <c r="III150" s="6"/>
      <c r="IIJ150" s="6"/>
      <c r="IIK150" s="6"/>
      <c r="IIL150" s="6"/>
      <c r="IIM150" s="6"/>
      <c r="IIN150" s="6"/>
      <c r="IIO150" s="6"/>
      <c r="IIP150" s="6"/>
      <c r="IIQ150" s="6"/>
      <c r="IIR150" s="6"/>
      <c r="IIS150" s="6"/>
      <c r="IIT150" s="6"/>
      <c r="IIU150" s="6"/>
      <c r="IIV150" s="6"/>
      <c r="IIW150" s="6"/>
      <c r="IIX150" s="6"/>
      <c r="IIY150" s="6"/>
      <c r="IIZ150" s="6"/>
      <c r="IJA150" s="6"/>
      <c r="IJB150" s="6"/>
      <c r="IJC150" s="6"/>
      <c r="IJD150" s="6"/>
      <c r="IJE150" s="6"/>
      <c r="IJF150" s="6"/>
      <c r="IJG150" s="6"/>
      <c r="IJH150" s="6"/>
      <c r="IJI150" s="6"/>
      <c r="IJJ150" s="6"/>
      <c r="IJK150" s="6"/>
      <c r="IJL150" s="6"/>
      <c r="IJM150" s="6"/>
      <c r="IJN150" s="6"/>
      <c r="IJO150" s="6"/>
      <c r="IJP150" s="6"/>
      <c r="IJQ150" s="6"/>
      <c r="IJR150" s="6"/>
      <c r="IJS150" s="6"/>
      <c r="IJT150" s="6"/>
      <c r="IJU150" s="6"/>
      <c r="IJV150" s="6"/>
      <c r="IJW150" s="6"/>
      <c r="IJX150" s="6"/>
      <c r="IJY150" s="6"/>
      <c r="IJZ150" s="6"/>
      <c r="IKA150" s="6"/>
      <c r="IKB150" s="6"/>
      <c r="IKC150" s="6"/>
      <c r="IKD150" s="6"/>
      <c r="IKE150" s="6"/>
      <c r="IKF150" s="6"/>
      <c r="IKG150" s="6"/>
      <c r="IKH150" s="6"/>
      <c r="IKI150" s="6"/>
      <c r="IKJ150" s="6"/>
      <c r="IKK150" s="6"/>
      <c r="IKL150" s="6"/>
      <c r="IKM150" s="6"/>
      <c r="IKN150" s="6"/>
      <c r="IKO150" s="6"/>
      <c r="IKP150" s="6"/>
      <c r="IKQ150" s="6"/>
      <c r="IKR150" s="6"/>
      <c r="IKS150" s="6"/>
      <c r="IKT150" s="6"/>
      <c r="IKU150" s="6"/>
      <c r="IKV150" s="6"/>
      <c r="IKW150" s="6"/>
      <c r="IKX150" s="6"/>
      <c r="IKY150" s="6"/>
      <c r="IKZ150" s="6"/>
      <c r="ILA150" s="6"/>
      <c r="ILB150" s="6"/>
      <c r="ILC150" s="6"/>
      <c r="ILD150" s="6"/>
      <c r="ILE150" s="6"/>
      <c r="ILF150" s="6"/>
      <c r="ILG150" s="6"/>
      <c r="ILH150" s="6"/>
      <c r="ILI150" s="6"/>
      <c r="ILJ150" s="6"/>
      <c r="ILK150" s="6"/>
      <c r="ILL150" s="6"/>
      <c r="ILM150" s="6"/>
      <c r="ILN150" s="6"/>
      <c r="ILO150" s="6"/>
      <c r="ILP150" s="6"/>
      <c r="ILQ150" s="6"/>
      <c r="ILR150" s="6"/>
      <c r="ILS150" s="6"/>
      <c r="ILT150" s="6"/>
      <c r="ILU150" s="6"/>
      <c r="ILV150" s="6"/>
      <c r="ILW150" s="6"/>
      <c r="ILX150" s="6"/>
      <c r="ILY150" s="6"/>
      <c r="ILZ150" s="6"/>
      <c r="IMA150" s="6"/>
      <c r="IMB150" s="6"/>
      <c r="IMC150" s="6"/>
      <c r="IMD150" s="6"/>
      <c r="IME150" s="6"/>
      <c r="IMF150" s="6"/>
      <c r="IMG150" s="6"/>
      <c r="IMH150" s="6"/>
      <c r="IMI150" s="6"/>
      <c r="IMJ150" s="6"/>
      <c r="IMK150" s="6"/>
      <c r="IML150" s="6"/>
      <c r="IMM150" s="6"/>
      <c r="IMN150" s="6"/>
      <c r="IMO150" s="6"/>
      <c r="IMP150" s="6"/>
      <c r="IMQ150" s="6"/>
      <c r="IMR150" s="6"/>
      <c r="IMS150" s="6"/>
      <c r="IMT150" s="6"/>
      <c r="IMU150" s="6"/>
      <c r="IMV150" s="6"/>
      <c r="IMW150" s="6"/>
      <c r="IMX150" s="6"/>
      <c r="IMY150" s="6"/>
      <c r="IMZ150" s="6"/>
      <c r="INA150" s="6"/>
      <c r="INB150" s="6"/>
      <c r="INC150" s="6"/>
      <c r="IND150" s="6"/>
      <c r="INE150" s="6"/>
      <c r="INF150" s="6"/>
      <c r="ING150" s="6"/>
      <c r="INH150" s="6"/>
      <c r="INI150" s="6"/>
      <c r="INJ150" s="6"/>
      <c r="INK150" s="6"/>
      <c r="INL150" s="6"/>
      <c r="INM150" s="6"/>
      <c r="INN150" s="6"/>
      <c r="INO150" s="6"/>
      <c r="INP150" s="6"/>
      <c r="INQ150" s="6"/>
      <c r="INR150" s="6"/>
      <c r="INS150" s="6"/>
      <c r="INT150" s="6"/>
      <c r="INU150" s="6"/>
      <c r="INV150" s="6"/>
      <c r="INW150" s="6"/>
      <c r="INX150" s="6"/>
      <c r="INY150" s="6"/>
      <c r="INZ150" s="6"/>
      <c r="IOA150" s="6"/>
      <c r="IOB150" s="6"/>
      <c r="IOC150" s="6"/>
      <c r="IOD150" s="6"/>
      <c r="IOE150" s="6"/>
      <c r="IOF150" s="6"/>
      <c r="IOG150" s="6"/>
      <c r="IOH150" s="6"/>
      <c r="IOI150" s="6"/>
      <c r="IOJ150" s="6"/>
      <c r="IOK150" s="6"/>
      <c r="IOL150" s="6"/>
      <c r="IOM150" s="6"/>
      <c r="ION150" s="6"/>
      <c r="IOO150" s="6"/>
      <c r="IOP150" s="6"/>
      <c r="IOQ150" s="6"/>
      <c r="IOR150" s="6"/>
      <c r="IOS150" s="6"/>
      <c r="IOT150" s="6"/>
      <c r="IOU150" s="6"/>
      <c r="IOV150" s="6"/>
      <c r="IOW150" s="6"/>
      <c r="IOX150" s="6"/>
      <c r="IOY150" s="6"/>
      <c r="IOZ150" s="6"/>
      <c r="IPA150" s="6"/>
      <c r="IPB150" s="6"/>
      <c r="IPC150" s="6"/>
      <c r="IPD150" s="6"/>
      <c r="IPE150" s="6"/>
      <c r="IPF150" s="6"/>
      <c r="IPG150" s="6"/>
      <c r="IPH150" s="6"/>
      <c r="IPI150" s="6"/>
      <c r="IPJ150" s="6"/>
      <c r="IPK150" s="6"/>
      <c r="IPL150" s="6"/>
      <c r="IPM150" s="6"/>
      <c r="IPN150" s="6"/>
      <c r="IPO150" s="6"/>
      <c r="IPP150" s="6"/>
      <c r="IPQ150" s="6"/>
      <c r="IPR150" s="6"/>
      <c r="IPS150" s="6"/>
      <c r="IPT150" s="6"/>
      <c r="IPU150" s="6"/>
      <c r="IPV150" s="6"/>
      <c r="IPW150" s="6"/>
      <c r="IPX150" s="6"/>
      <c r="IPY150" s="6"/>
      <c r="IPZ150" s="6"/>
      <c r="IQA150" s="6"/>
      <c r="IQB150" s="6"/>
      <c r="IQC150" s="6"/>
      <c r="IQD150" s="6"/>
      <c r="IQE150" s="6"/>
      <c r="IQF150" s="6"/>
      <c r="IQG150" s="6"/>
      <c r="IQH150" s="6"/>
      <c r="IQI150" s="6"/>
      <c r="IQJ150" s="6"/>
      <c r="IQK150" s="6"/>
      <c r="IQL150" s="6"/>
      <c r="IQM150" s="6"/>
      <c r="IQN150" s="6"/>
      <c r="IQO150" s="6"/>
      <c r="IQP150" s="6"/>
      <c r="IQQ150" s="6"/>
      <c r="IQR150" s="6"/>
      <c r="IQS150" s="6"/>
      <c r="IQT150" s="6"/>
      <c r="IQU150" s="6"/>
      <c r="IQV150" s="6"/>
      <c r="IQW150" s="6"/>
      <c r="IQX150" s="6"/>
      <c r="IQY150" s="6"/>
      <c r="IQZ150" s="6"/>
      <c r="IRA150" s="6"/>
      <c r="IRB150" s="6"/>
      <c r="IRC150" s="6"/>
      <c r="IRD150" s="6"/>
      <c r="IRE150" s="6"/>
      <c r="IRF150" s="6"/>
      <c r="IRG150" s="6"/>
      <c r="IRH150" s="6"/>
      <c r="IRI150" s="6"/>
      <c r="IRJ150" s="6"/>
      <c r="IRK150" s="6"/>
      <c r="IRL150" s="6"/>
      <c r="IRM150" s="6"/>
      <c r="IRN150" s="6"/>
      <c r="IRO150" s="6"/>
      <c r="IRP150" s="6"/>
      <c r="IRQ150" s="6"/>
      <c r="IRR150" s="6"/>
      <c r="IRS150" s="6"/>
      <c r="IRT150" s="6"/>
      <c r="IRU150" s="6"/>
      <c r="IRV150" s="6"/>
      <c r="IRW150" s="6"/>
      <c r="IRX150" s="6"/>
      <c r="IRY150" s="6"/>
      <c r="IRZ150" s="6"/>
      <c r="ISA150" s="6"/>
      <c r="ISB150" s="6"/>
      <c r="ISC150" s="6"/>
      <c r="ISD150" s="6"/>
      <c r="ISE150" s="6"/>
      <c r="ISF150" s="6"/>
      <c r="ISG150" s="6"/>
      <c r="ISH150" s="6"/>
      <c r="ISI150" s="6"/>
      <c r="ISJ150" s="6"/>
      <c r="ISK150" s="6"/>
      <c r="ISL150" s="6"/>
      <c r="ISM150" s="6"/>
      <c r="ISN150" s="6"/>
      <c r="ISO150" s="6"/>
      <c r="ISP150" s="6"/>
      <c r="ISQ150" s="6"/>
      <c r="ISR150" s="6"/>
      <c r="ISS150" s="6"/>
      <c r="IST150" s="6"/>
      <c r="ISU150" s="6"/>
      <c r="ISV150" s="6"/>
      <c r="ISW150" s="6"/>
      <c r="ISX150" s="6"/>
      <c r="ISY150" s="6"/>
      <c r="ISZ150" s="6"/>
      <c r="ITA150" s="6"/>
      <c r="ITB150" s="6"/>
      <c r="ITC150" s="6"/>
      <c r="ITD150" s="6"/>
      <c r="ITE150" s="6"/>
      <c r="ITF150" s="6"/>
      <c r="ITG150" s="6"/>
      <c r="ITH150" s="6"/>
      <c r="ITI150" s="6"/>
      <c r="ITJ150" s="6"/>
      <c r="ITK150" s="6"/>
      <c r="ITL150" s="6"/>
      <c r="ITM150" s="6"/>
      <c r="ITN150" s="6"/>
      <c r="ITO150" s="6"/>
      <c r="ITP150" s="6"/>
      <c r="ITQ150" s="6"/>
      <c r="ITR150" s="6"/>
      <c r="ITS150" s="6"/>
      <c r="ITT150" s="6"/>
      <c r="ITU150" s="6"/>
      <c r="ITV150" s="6"/>
      <c r="ITW150" s="6"/>
      <c r="ITX150" s="6"/>
      <c r="ITY150" s="6"/>
      <c r="ITZ150" s="6"/>
      <c r="IUA150" s="6"/>
      <c r="IUB150" s="6"/>
      <c r="IUC150" s="6"/>
      <c r="IUD150" s="6"/>
      <c r="IUE150" s="6"/>
      <c r="IUF150" s="6"/>
      <c r="IUG150" s="6"/>
      <c r="IUH150" s="6"/>
      <c r="IUI150" s="6"/>
      <c r="IUJ150" s="6"/>
      <c r="IUK150" s="6"/>
      <c r="IUL150" s="6"/>
      <c r="IUM150" s="6"/>
      <c r="IUN150" s="6"/>
      <c r="IUO150" s="6"/>
      <c r="IUP150" s="6"/>
      <c r="IUQ150" s="6"/>
      <c r="IUR150" s="6"/>
      <c r="IUS150" s="6"/>
      <c r="IUT150" s="6"/>
      <c r="IUU150" s="6"/>
      <c r="IUV150" s="6"/>
      <c r="IUW150" s="6"/>
      <c r="IUX150" s="6"/>
      <c r="IUY150" s="6"/>
      <c r="IUZ150" s="6"/>
      <c r="IVA150" s="6"/>
      <c r="IVB150" s="6"/>
      <c r="IVC150" s="6"/>
      <c r="IVD150" s="6"/>
      <c r="IVE150" s="6"/>
      <c r="IVF150" s="6"/>
      <c r="IVG150" s="6"/>
      <c r="IVH150" s="6"/>
      <c r="IVI150" s="6"/>
      <c r="IVJ150" s="6"/>
      <c r="IVK150" s="6"/>
      <c r="IVL150" s="6"/>
      <c r="IVM150" s="6"/>
      <c r="IVN150" s="6"/>
      <c r="IVO150" s="6"/>
      <c r="IVP150" s="6"/>
      <c r="IVQ150" s="6"/>
      <c r="IVR150" s="6"/>
      <c r="IVS150" s="6"/>
      <c r="IVT150" s="6"/>
      <c r="IVU150" s="6"/>
      <c r="IVV150" s="6"/>
      <c r="IVW150" s="6"/>
      <c r="IVX150" s="6"/>
      <c r="IVY150" s="6"/>
      <c r="IVZ150" s="6"/>
      <c r="IWA150" s="6"/>
      <c r="IWB150" s="6"/>
      <c r="IWC150" s="6"/>
      <c r="IWD150" s="6"/>
      <c r="IWE150" s="6"/>
      <c r="IWF150" s="6"/>
      <c r="IWG150" s="6"/>
      <c r="IWH150" s="6"/>
      <c r="IWI150" s="6"/>
      <c r="IWJ150" s="6"/>
      <c r="IWK150" s="6"/>
      <c r="IWL150" s="6"/>
      <c r="IWM150" s="6"/>
      <c r="IWN150" s="6"/>
      <c r="IWO150" s="6"/>
      <c r="IWP150" s="6"/>
      <c r="IWQ150" s="6"/>
      <c r="IWR150" s="6"/>
      <c r="IWS150" s="6"/>
      <c r="IWT150" s="6"/>
      <c r="IWU150" s="6"/>
      <c r="IWV150" s="6"/>
      <c r="IWW150" s="6"/>
      <c r="IWX150" s="6"/>
      <c r="IWY150" s="6"/>
      <c r="IWZ150" s="6"/>
      <c r="IXA150" s="6"/>
      <c r="IXB150" s="6"/>
      <c r="IXC150" s="6"/>
      <c r="IXD150" s="6"/>
      <c r="IXE150" s="6"/>
      <c r="IXF150" s="6"/>
      <c r="IXG150" s="6"/>
      <c r="IXH150" s="6"/>
      <c r="IXI150" s="6"/>
      <c r="IXJ150" s="6"/>
      <c r="IXK150" s="6"/>
      <c r="IXL150" s="6"/>
      <c r="IXM150" s="6"/>
      <c r="IXN150" s="6"/>
      <c r="IXO150" s="6"/>
      <c r="IXP150" s="6"/>
      <c r="IXQ150" s="6"/>
      <c r="IXR150" s="6"/>
      <c r="IXS150" s="6"/>
      <c r="IXT150" s="6"/>
      <c r="IXU150" s="6"/>
      <c r="IXV150" s="6"/>
      <c r="IXW150" s="6"/>
      <c r="IXX150" s="6"/>
      <c r="IXY150" s="6"/>
      <c r="IXZ150" s="6"/>
      <c r="IYA150" s="6"/>
      <c r="IYB150" s="6"/>
      <c r="IYC150" s="6"/>
      <c r="IYD150" s="6"/>
      <c r="IYE150" s="6"/>
      <c r="IYF150" s="6"/>
      <c r="IYG150" s="6"/>
      <c r="IYH150" s="6"/>
      <c r="IYI150" s="6"/>
      <c r="IYJ150" s="6"/>
      <c r="IYK150" s="6"/>
      <c r="IYL150" s="6"/>
      <c r="IYM150" s="6"/>
      <c r="IYN150" s="6"/>
      <c r="IYO150" s="6"/>
      <c r="IYP150" s="6"/>
      <c r="IYQ150" s="6"/>
      <c r="IYR150" s="6"/>
      <c r="IYS150" s="6"/>
      <c r="IYT150" s="6"/>
      <c r="IYU150" s="6"/>
      <c r="IYV150" s="6"/>
      <c r="IYW150" s="6"/>
      <c r="IYX150" s="6"/>
      <c r="IYY150" s="6"/>
      <c r="IYZ150" s="6"/>
      <c r="IZA150" s="6"/>
      <c r="IZB150" s="6"/>
      <c r="IZC150" s="6"/>
      <c r="IZD150" s="6"/>
      <c r="IZE150" s="6"/>
      <c r="IZF150" s="6"/>
      <c r="IZG150" s="6"/>
      <c r="IZH150" s="6"/>
      <c r="IZI150" s="6"/>
      <c r="IZJ150" s="6"/>
      <c r="IZK150" s="6"/>
      <c r="IZL150" s="6"/>
      <c r="IZM150" s="6"/>
      <c r="IZN150" s="6"/>
      <c r="IZO150" s="6"/>
      <c r="IZP150" s="6"/>
      <c r="IZQ150" s="6"/>
      <c r="IZR150" s="6"/>
      <c r="IZS150" s="6"/>
      <c r="IZT150" s="6"/>
      <c r="IZU150" s="6"/>
      <c r="IZV150" s="6"/>
      <c r="IZW150" s="6"/>
      <c r="IZX150" s="6"/>
      <c r="IZY150" s="6"/>
      <c r="IZZ150" s="6"/>
      <c r="JAA150" s="6"/>
      <c r="JAB150" s="6"/>
      <c r="JAC150" s="6"/>
      <c r="JAD150" s="6"/>
      <c r="JAE150" s="6"/>
      <c r="JAF150" s="6"/>
      <c r="JAG150" s="6"/>
      <c r="JAH150" s="6"/>
      <c r="JAI150" s="6"/>
      <c r="JAJ150" s="6"/>
      <c r="JAK150" s="6"/>
      <c r="JAL150" s="6"/>
      <c r="JAM150" s="6"/>
      <c r="JAN150" s="6"/>
      <c r="JAO150" s="6"/>
      <c r="JAP150" s="6"/>
      <c r="JAQ150" s="6"/>
      <c r="JAR150" s="6"/>
      <c r="JAS150" s="6"/>
      <c r="JAT150" s="6"/>
      <c r="JAU150" s="6"/>
      <c r="JAV150" s="6"/>
      <c r="JAW150" s="6"/>
      <c r="JAX150" s="6"/>
      <c r="JAY150" s="6"/>
      <c r="JAZ150" s="6"/>
      <c r="JBA150" s="6"/>
      <c r="JBB150" s="6"/>
      <c r="JBC150" s="6"/>
      <c r="JBD150" s="6"/>
      <c r="JBE150" s="6"/>
      <c r="JBF150" s="6"/>
      <c r="JBG150" s="6"/>
      <c r="JBH150" s="6"/>
      <c r="JBI150" s="6"/>
      <c r="JBJ150" s="6"/>
      <c r="JBK150" s="6"/>
      <c r="JBL150" s="6"/>
      <c r="JBM150" s="6"/>
      <c r="JBN150" s="6"/>
      <c r="JBO150" s="6"/>
      <c r="JBP150" s="6"/>
      <c r="JBQ150" s="6"/>
      <c r="JBR150" s="6"/>
      <c r="JBS150" s="6"/>
      <c r="JBT150" s="6"/>
      <c r="JBU150" s="6"/>
      <c r="JBV150" s="6"/>
      <c r="JBW150" s="6"/>
      <c r="JBX150" s="6"/>
      <c r="JBY150" s="6"/>
      <c r="JBZ150" s="6"/>
      <c r="JCA150" s="6"/>
      <c r="JCB150" s="6"/>
      <c r="JCC150" s="6"/>
      <c r="JCD150" s="6"/>
      <c r="JCE150" s="6"/>
      <c r="JCF150" s="6"/>
      <c r="JCG150" s="6"/>
      <c r="JCH150" s="6"/>
      <c r="JCI150" s="6"/>
      <c r="JCJ150" s="6"/>
      <c r="JCK150" s="6"/>
      <c r="JCL150" s="6"/>
      <c r="JCM150" s="6"/>
      <c r="JCN150" s="6"/>
      <c r="JCO150" s="6"/>
      <c r="JCP150" s="6"/>
      <c r="JCQ150" s="6"/>
      <c r="JCR150" s="6"/>
      <c r="JCS150" s="6"/>
      <c r="JCT150" s="6"/>
      <c r="JCU150" s="6"/>
      <c r="JCV150" s="6"/>
      <c r="JCW150" s="6"/>
      <c r="JCX150" s="6"/>
      <c r="JCY150" s="6"/>
      <c r="JCZ150" s="6"/>
      <c r="JDA150" s="6"/>
      <c r="JDB150" s="6"/>
      <c r="JDC150" s="6"/>
      <c r="JDD150" s="6"/>
      <c r="JDE150" s="6"/>
      <c r="JDF150" s="6"/>
      <c r="JDG150" s="6"/>
      <c r="JDH150" s="6"/>
      <c r="JDI150" s="6"/>
      <c r="JDJ150" s="6"/>
      <c r="JDK150" s="6"/>
      <c r="JDL150" s="6"/>
      <c r="JDM150" s="6"/>
      <c r="JDN150" s="6"/>
      <c r="JDO150" s="6"/>
      <c r="JDP150" s="6"/>
      <c r="JDQ150" s="6"/>
      <c r="JDR150" s="6"/>
      <c r="JDS150" s="6"/>
      <c r="JDT150" s="6"/>
      <c r="JDU150" s="6"/>
      <c r="JDV150" s="6"/>
      <c r="JDW150" s="6"/>
      <c r="JDX150" s="6"/>
      <c r="JDY150" s="6"/>
      <c r="JDZ150" s="6"/>
      <c r="JEA150" s="6"/>
      <c r="JEB150" s="6"/>
      <c r="JEC150" s="6"/>
      <c r="JED150" s="6"/>
      <c r="JEE150" s="6"/>
      <c r="JEF150" s="6"/>
      <c r="JEG150" s="6"/>
      <c r="JEH150" s="6"/>
      <c r="JEI150" s="6"/>
      <c r="JEJ150" s="6"/>
      <c r="JEK150" s="6"/>
      <c r="JEL150" s="6"/>
      <c r="JEM150" s="6"/>
      <c r="JEN150" s="6"/>
      <c r="JEO150" s="6"/>
      <c r="JEP150" s="6"/>
      <c r="JEQ150" s="6"/>
      <c r="JER150" s="6"/>
      <c r="JES150" s="6"/>
      <c r="JET150" s="6"/>
      <c r="JEU150" s="6"/>
      <c r="JEV150" s="6"/>
      <c r="JEW150" s="6"/>
      <c r="JEX150" s="6"/>
      <c r="JEY150" s="6"/>
      <c r="JEZ150" s="6"/>
      <c r="JFA150" s="6"/>
      <c r="JFB150" s="6"/>
      <c r="JFC150" s="6"/>
      <c r="JFD150" s="6"/>
      <c r="JFE150" s="6"/>
      <c r="JFF150" s="6"/>
      <c r="JFG150" s="6"/>
      <c r="JFH150" s="6"/>
      <c r="JFI150" s="6"/>
      <c r="JFJ150" s="6"/>
      <c r="JFK150" s="6"/>
      <c r="JFL150" s="6"/>
      <c r="JFM150" s="6"/>
      <c r="JFN150" s="6"/>
      <c r="JFO150" s="6"/>
      <c r="JFP150" s="6"/>
      <c r="JFQ150" s="6"/>
      <c r="JFR150" s="6"/>
      <c r="JFS150" s="6"/>
      <c r="JFT150" s="6"/>
      <c r="JFU150" s="6"/>
      <c r="JFV150" s="6"/>
      <c r="JFW150" s="6"/>
      <c r="JFX150" s="6"/>
      <c r="JFY150" s="6"/>
      <c r="JFZ150" s="6"/>
      <c r="JGA150" s="6"/>
      <c r="JGB150" s="6"/>
      <c r="JGC150" s="6"/>
      <c r="JGD150" s="6"/>
      <c r="JGE150" s="6"/>
      <c r="JGF150" s="6"/>
      <c r="JGG150" s="6"/>
      <c r="JGH150" s="6"/>
      <c r="JGI150" s="6"/>
      <c r="JGJ150" s="6"/>
      <c r="JGK150" s="6"/>
      <c r="JGL150" s="6"/>
      <c r="JGM150" s="6"/>
      <c r="JGN150" s="6"/>
      <c r="JGO150" s="6"/>
      <c r="JGP150" s="6"/>
      <c r="JGQ150" s="6"/>
      <c r="JGR150" s="6"/>
      <c r="JGS150" s="6"/>
      <c r="JGT150" s="6"/>
      <c r="JGU150" s="6"/>
      <c r="JGV150" s="6"/>
      <c r="JGW150" s="6"/>
      <c r="JGX150" s="6"/>
      <c r="JGY150" s="6"/>
      <c r="JGZ150" s="6"/>
      <c r="JHA150" s="6"/>
      <c r="JHB150" s="6"/>
      <c r="JHC150" s="6"/>
      <c r="JHD150" s="6"/>
      <c r="JHE150" s="6"/>
      <c r="JHF150" s="6"/>
      <c r="JHG150" s="6"/>
      <c r="JHH150" s="6"/>
      <c r="JHI150" s="6"/>
      <c r="JHJ150" s="6"/>
      <c r="JHK150" s="6"/>
      <c r="JHL150" s="6"/>
      <c r="JHM150" s="6"/>
      <c r="JHN150" s="6"/>
      <c r="JHO150" s="6"/>
      <c r="JHP150" s="6"/>
      <c r="JHQ150" s="6"/>
      <c r="JHR150" s="6"/>
      <c r="JHS150" s="6"/>
      <c r="JHT150" s="6"/>
      <c r="JHU150" s="6"/>
      <c r="JHV150" s="6"/>
      <c r="JHW150" s="6"/>
      <c r="JHX150" s="6"/>
      <c r="JHY150" s="6"/>
      <c r="JHZ150" s="6"/>
      <c r="JIA150" s="6"/>
      <c r="JIB150" s="6"/>
      <c r="JIC150" s="6"/>
      <c r="JID150" s="6"/>
      <c r="JIE150" s="6"/>
      <c r="JIF150" s="6"/>
      <c r="JIG150" s="6"/>
      <c r="JIH150" s="6"/>
      <c r="JII150" s="6"/>
      <c r="JIJ150" s="6"/>
      <c r="JIK150" s="6"/>
      <c r="JIL150" s="6"/>
      <c r="JIM150" s="6"/>
      <c r="JIN150" s="6"/>
      <c r="JIO150" s="6"/>
      <c r="JIP150" s="6"/>
      <c r="JIQ150" s="6"/>
      <c r="JIR150" s="6"/>
      <c r="JIS150" s="6"/>
      <c r="JIT150" s="6"/>
      <c r="JIU150" s="6"/>
      <c r="JIV150" s="6"/>
      <c r="JIW150" s="6"/>
      <c r="JIX150" s="6"/>
      <c r="JIY150" s="6"/>
      <c r="JIZ150" s="6"/>
      <c r="JJA150" s="6"/>
      <c r="JJB150" s="6"/>
      <c r="JJC150" s="6"/>
      <c r="JJD150" s="6"/>
      <c r="JJE150" s="6"/>
      <c r="JJF150" s="6"/>
      <c r="JJG150" s="6"/>
      <c r="JJH150" s="6"/>
      <c r="JJI150" s="6"/>
      <c r="JJJ150" s="6"/>
      <c r="JJK150" s="6"/>
      <c r="JJL150" s="6"/>
      <c r="JJM150" s="6"/>
      <c r="JJN150" s="6"/>
      <c r="JJO150" s="6"/>
      <c r="JJP150" s="6"/>
      <c r="JJQ150" s="6"/>
      <c r="JJR150" s="6"/>
      <c r="JJS150" s="6"/>
      <c r="JJT150" s="6"/>
      <c r="JJU150" s="6"/>
      <c r="JJV150" s="6"/>
      <c r="JJW150" s="6"/>
      <c r="JJX150" s="6"/>
      <c r="JJY150" s="6"/>
      <c r="JJZ150" s="6"/>
      <c r="JKA150" s="6"/>
      <c r="JKB150" s="6"/>
      <c r="JKC150" s="6"/>
      <c r="JKD150" s="6"/>
      <c r="JKE150" s="6"/>
      <c r="JKF150" s="6"/>
      <c r="JKG150" s="6"/>
      <c r="JKH150" s="6"/>
      <c r="JKI150" s="6"/>
      <c r="JKJ150" s="6"/>
      <c r="JKK150" s="6"/>
      <c r="JKL150" s="6"/>
      <c r="JKM150" s="6"/>
      <c r="JKN150" s="6"/>
      <c r="JKO150" s="6"/>
      <c r="JKP150" s="6"/>
      <c r="JKQ150" s="6"/>
      <c r="JKR150" s="6"/>
      <c r="JKS150" s="6"/>
      <c r="JKT150" s="6"/>
      <c r="JKU150" s="6"/>
      <c r="JKV150" s="6"/>
      <c r="JKW150" s="6"/>
      <c r="JKX150" s="6"/>
      <c r="JKY150" s="6"/>
      <c r="JKZ150" s="6"/>
      <c r="JLA150" s="6"/>
      <c r="JLB150" s="6"/>
      <c r="JLC150" s="6"/>
      <c r="JLD150" s="6"/>
      <c r="JLE150" s="6"/>
      <c r="JLF150" s="6"/>
      <c r="JLG150" s="6"/>
      <c r="JLH150" s="6"/>
      <c r="JLI150" s="6"/>
      <c r="JLJ150" s="6"/>
      <c r="JLK150" s="6"/>
      <c r="JLL150" s="6"/>
      <c r="JLM150" s="6"/>
      <c r="JLN150" s="6"/>
      <c r="JLO150" s="6"/>
      <c r="JLP150" s="6"/>
      <c r="JLQ150" s="6"/>
      <c r="JLR150" s="6"/>
      <c r="JLS150" s="6"/>
      <c r="JLT150" s="6"/>
      <c r="JLU150" s="6"/>
      <c r="JLV150" s="6"/>
      <c r="JLW150" s="6"/>
      <c r="JLX150" s="6"/>
      <c r="JLY150" s="6"/>
      <c r="JLZ150" s="6"/>
      <c r="JMA150" s="6"/>
      <c r="JMB150" s="6"/>
      <c r="JMC150" s="6"/>
      <c r="JMD150" s="6"/>
      <c r="JME150" s="6"/>
      <c r="JMF150" s="6"/>
      <c r="JMG150" s="6"/>
      <c r="JMH150" s="6"/>
      <c r="JMI150" s="6"/>
      <c r="JMJ150" s="6"/>
      <c r="JMK150" s="6"/>
      <c r="JML150" s="6"/>
      <c r="JMM150" s="6"/>
      <c r="JMN150" s="6"/>
      <c r="JMO150" s="6"/>
      <c r="JMP150" s="6"/>
      <c r="JMQ150" s="6"/>
      <c r="JMR150" s="6"/>
      <c r="JMS150" s="6"/>
      <c r="JMT150" s="6"/>
      <c r="JMU150" s="6"/>
      <c r="JMV150" s="6"/>
      <c r="JMW150" s="6"/>
      <c r="JMX150" s="6"/>
      <c r="JMY150" s="6"/>
      <c r="JMZ150" s="6"/>
      <c r="JNA150" s="6"/>
      <c r="JNB150" s="6"/>
      <c r="JNC150" s="6"/>
      <c r="JND150" s="6"/>
      <c r="JNE150" s="6"/>
      <c r="JNF150" s="6"/>
      <c r="JNG150" s="6"/>
      <c r="JNH150" s="6"/>
      <c r="JNI150" s="6"/>
      <c r="JNJ150" s="6"/>
      <c r="JNK150" s="6"/>
      <c r="JNL150" s="6"/>
      <c r="JNM150" s="6"/>
      <c r="JNN150" s="6"/>
      <c r="JNO150" s="6"/>
      <c r="JNP150" s="6"/>
      <c r="JNQ150" s="6"/>
      <c r="JNR150" s="6"/>
      <c r="JNS150" s="6"/>
      <c r="JNT150" s="6"/>
      <c r="JNU150" s="6"/>
      <c r="JNV150" s="6"/>
      <c r="JNW150" s="6"/>
      <c r="JNX150" s="6"/>
      <c r="JNY150" s="6"/>
      <c r="JNZ150" s="6"/>
      <c r="JOA150" s="6"/>
      <c r="JOB150" s="6"/>
      <c r="JOC150" s="6"/>
      <c r="JOD150" s="6"/>
      <c r="JOE150" s="6"/>
      <c r="JOF150" s="6"/>
      <c r="JOG150" s="6"/>
      <c r="JOH150" s="6"/>
      <c r="JOI150" s="6"/>
      <c r="JOJ150" s="6"/>
      <c r="JOK150" s="6"/>
      <c r="JOL150" s="6"/>
      <c r="JOM150" s="6"/>
      <c r="JON150" s="6"/>
      <c r="JOO150" s="6"/>
      <c r="JOP150" s="6"/>
      <c r="JOQ150" s="6"/>
      <c r="JOR150" s="6"/>
      <c r="JOS150" s="6"/>
      <c r="JOT150" s="6"/>
      <c r="JOU150" s="6"/>
      <c r="JOV150" s="6"/>
      <c r="JOW150" s="6"/>
      <c r="JOX150" s="6"/>
      <c r="JOY150" s="6"/>
      <c r="JOZ150" s="6"/>
      <c r="JPA150" s="6"/>
      <c r="JPB150" s="6"/>
      <c r="JPC150" s="6"/>
      <c r="JPD150" s="6"/>
      <c r="JPE150" s="6"/>
      <c r="JPF150" s="6"/>
      <c r="JPG150" s="6"/>
      <c r="JPH150" s="6"/>
      <c r="JPI150" s="6"/>
      <c r="JPJ150" s="6"/>
      <c r="JPK150" s="6"/>
      <c r="JPL150" s="6"/>
      <c r="JPM150" s="6"/>
      <c r="JPN150" s="6"/>
      <c r="JPO150" s="6"/>
      <c r="JPP150" s="6"/>
      <c r="JPQ150" s="6"/>
      <c r="JPR150" s="6"/>
      <c r="JPS150" s="6"/>
      <c r="JPT150" s="6"/>
      <c r="JPU150" s="6"/>
      <c r="JPV150" s="6"/>
      <c r="JPW150" s="6"/>
      <c r="JPX150" s="6"/>
      <c r="JPY150" s="6"/>
      <c r="JPZ150" s="6"/>
      <c r="JQA150" s="6"/>
      <c r="JQB150" s="6"/>
      <c r="JQC150" s="6"/>
      <c r="JQD150" s="6"/>
      <c r="JQE150" s="6"/>
      <c r="JQF150" s="6"/>
      <c r="JQG150" s="6"/>
      <c r="JQH150" s="6"/>
      <c r="JQI150" s="6"/>
      <c r="JQJ150" s="6"/>
      <c r="JQK150" s="6"/>
      <c r="JQL150" s="6"/>
      <c r="JQM150" s="6"/>
      <c r="JQN150" s="6"/>
      <c r="JQO150" s="6"/>
      <c r="JQP150" s="6"/>
      <c r="JQQ150" s="6"/>
      <c r="JQR150" s="6"/>
      <c r="JQS150" s="6"/>
      <c r="JQT150" s="6"/>
      <c r="JQU150" s="6"/>
      <c r="JQV150" s="6"/>
      <c r="JQW150" s="6"/>
      <c r="JQX150" s="6"/>
      <c r="JQY150" s="6"/>
      <c r="JQZ150" s="6"/>
      <c r="JRA150" s="6"/>
      <c r="JRB150" s="6"/>
      <c r="JRC150" s="6"/>
      <c r="JRD150" s="6"/>
      <c r="JRE150" s="6"/>
      <c r="JRF150" s="6"/>
      <c r="JRG150" s="6"/>
      <c r="JRH150" s="6"/>
      <c r="JRI150" s="6"/>
      <c r="JRJ150" s="6"/>
      <c r="JRK150" s="6"/>
      <c r="JRL150" s="6"/>
      <c r="JRM150" s="6"/>
      <c r="JRN150" s="6"/>
      <c r="JRO150" s="6"/>
      <c r="JRP150" s="6"/>
      <c r="JRQ150" s="6"/>
      <c r="JRR150" s="6"/>
      <c r="JRS150" s="6"/>
      <c r="JRT150" s="6"/>
      <c r="JRU150" s="6"/>
      <c r="JRV150" s="6"/>
      <c r="JRW150" s="6"/>
      <c r="JRX150" s="6"/>
      <c r="JRY150" s="6"/>
      <c r="JRZ150" s="6"/>
      <c r="JSA150" s="6"/>
      <c r="JSB150" s="6"/>
      <c r="JSC150" s="6"/>
      <c r="JSD150" s="6"/>
      <c r="JSE150" s="6"/>
      <c r="JSF150" s="6"/>
      <c r="JSG150" s="6"/>
      <c r="JSH150" s="6"/>
      <c r="JSI150" s="6"/>
      <c r="JSJ150" s="6"/>
      <c r="JSK150" s="6"/>
      <c r="JSL150" s="6"/>
      <c r="JSM150" s="6"/>
      <c r="JSN150" s="6"/>
      <c r="JSO150" s="6"/>
      <c r="JSP150" s="6"/>
      <c r="JSQ150" s="6"/>
      <c r="JSR150" s="6"/>
      <c r="JSS150" s="6"/>
      <c r="JST150" s="6"/>
      <c r="JSU150" s="6"/>
      <c r="JSV150" s="6"/>
      <c r="JSW150" s="6"/>
      <c r="JSX150" s="6"/>
      <c r="JSY150" s="6"/>
      <c r="JSZ150" s="6"/>
      <c r="JTA150" s="6"/>
      <c r="JTB150" s="6"/>
      <c r="JTC150" s="6"/>
      <c r="JTD150" s="6"/>
      <c r="JTE150" s="6"/>
      <c r="JTF150" s="6"/>
      <c r="JTG150" s="6"/>
      <c r="JTH150" s="6"/>
      <c r="JTI150" s="6"/>
      <c r="JTJ150" s="6"/>
      <c r="JTK150" s="6"/>
      <c r="JTL150" s="6"/>
      <c r="JTM150" s="6"/>
      <c r="JTN150" s="6"/>
      <c r="JTO150" s="6"/>
      <c r="JTP150" s="6"/>
      <c r="JTQ150" s="6"/>
      <c r="JTR150" s="6"/>
      <c r="JTS150" s="6"/>
      <c r="JTT150" s="6"/>
      <c r="JTU150" s="6"/>
      <c r="JTV150" s="6"/>
      <c r="JTW150" s="6"/>
      <c r="JTX150" s="6"/>
      <c r="JTY150" s="6"/>
      <c r="JTZ150" s="6"/>
      <c r="JUA150" s="6"/>
      <c r="JUB150" s="6"/>
      <c r="JUC150" s="6"/>
      <c r="JUD150" s="6"/>
      <c r="JUE150" s="6"/>
      <c r="JUF150" s="6"/>
      <c r="JUG150" s="6"/>
      <c r="JUH150" s="6"/>
      <c r="JUI150" s="6"/>
      <c r="JUJ150" s="6"/>
      <c r="JUK150" s="6"/>
      <c r="JUL150" s="6"/>
      <c r="JUM150" s="6"/>
      <c r="JUN150" s="6"/>
      <c r="JUO150" s="6"/>
      <c r="JUP150" s="6"/>
      <c r="JUQ150" s="6"/>
      <c r="JUR150" s="6"/>
      <c r="JUS150" s="6"/>
      <c r="JUT150" s="6"/>
      <c r="JUU150" s="6"/>
      <c r="JUV150" s="6"/>
      <c r="JUW150" s="6"/>
      <c r="JUX150" s="6"/>
      <c r="JUY150" s="6"/>
      <c r="JUZ150" s="6"/>
      <c r="JVA150" s="6"/>
      <c r="JVB150" s="6"/>
      <c r="JVC150" s="6"/>
      <c r="JVD150" s="6"/>
      <c r="JVE150" s="6"/>
      <c r="JVF150" s="6"/>
      <c r="JVG150" s="6"/>
      <c r="JVH150" s="6"/>
      <c r="JVI150" s="6"/>
      <c r="JVJ150" s="6"/>
      <c r="JVK150" s="6"/>
      <c r="JVL150" s="6"/>
      <c r="JVM150" s="6"/>
      <c r="JVN150" s="6"/>
      <c r="JVO150" s="6"/>
      <c r="JVP150" s="6"/>
      <c r="JVQ150" s="6"/>
      <c r="JVR150" s="6"/>
      <c r="JVS150" s="6"/>
      <c r="JVT150" s="6"/>
      <c r="JVU150" s="6"/>
      <c r="JVV150" s="6"/>
      <c r="JVW150" s="6"/>
      <c r="JVX150" s="6"/>
      <c r="JVY150" s="6"/>
      <c r="JVZ150" s="6"/>
      <c r="JWA150" s="6"/>
      <c r="JWB150" s="6"/>
      <c r="JWC150" s="6"/>
      <c r="JWD150" s="6"/>
      <c r="JWE150" s="6"/>
      <c r="JWF150" s="6"/>
      <c r="JWG150" s="6"/>
      <c r="JWH150" s="6"/>
      <c r="JWI150" s="6"/>
      <c r="JWJ150" s="6"/>
      <c r="JWK150" s="6"/>
      <c r="JWL150" s="6"/>
      <c r="JWM150" s="6"/>
      <c r="JWN150" s="6"/>
      <c r="JWO150" s="6"/>
      <c r="JWP150" s="6"/>
      <c r="JWQ150" s="6"/>
      <c r="JWR150" s="6"/>
      <c r="JWS150" s="6"/>
      <c r="JWT150" s="6"/>
      <c r="JWU150" s="6"/>
      <c r="JWV150" s="6"/>
      <c r="JWW150" s="6"/>
      <c r="JWX150" s="6"/>
      <c r="JWY150" s="6"/>
      <c r="JWZ150" s="6"/>
      <c r="JXA150" s="6"/>
      <c r="JXB150" s="6"/>
      <c r="JXC150" s="6"/>
      <c r="JXD150" s="6"/>
      <c r="JXE150" s="6"/>
      <c r="JXF150" s="6"/>
      <c r="JXG150" s="6"/>
      <c r="JXH150" s="6"/>
      <c r="JXI150" s="6"/>
      <c r="JXJ150" s="6"/>
      <c r="JXK150" s="6"/>
      <c r="JXL150" s="6"/>
      <c r="JXM150" s="6"/>
      <c r="JXN150" s="6"/>
      <c r="JXO150" s="6"/>
      <c r="JXP150" s="6"/>
      <c r="JXQ150" s="6"/>
      <c r="JXR150" s="6"/>
      <c r="JXS150" s="6"/>
      <c r="JXT150" s="6"/>
      <c r="JXU150" s="6"/>
      <c r="JXV150" s="6"/>
      <c r="JXW150" s="6"/>
      <c r="JXX150" s="6"/>
      <c r="JXY150" s="6"/>
      <c r="JXZ150" s="6"/>
      <c r="JYA150" s="6"/>
      <c r="JYB150" s="6"/>
      <c r="JYC150" s="6"/>
      <c r="JYD150" s="6"/>
      <c r="JYE150" s="6"/>
      <c r="JYF150" s="6"/>
      <c r="JYG150" s="6"/>
      <c r="JYH150" s="6"/>
      <c r="JYI150" s="6"/>
      <c r="JYJ150" s="6"/>
      <c r="JYK150" s="6"/>
      <c r="JYL150" s="6"/>
      <c r="JYM150" s="6"/>
      <c r="JYN150" s="6"/>
      <c r="JYO150" s="6"/>
      <c r="JYP150" s="6"/>
      <c r="JYQ150" s="6"/>
      <c r="JYR150" s="6"/>
      <c r="JYS150" s="6"/>
      <c r="JYT150" s="6"/>
      <c r="JYU150" s="6"/>
      <c r="JYV150" s="6"/>
      <c r="JYW150" s="6"/>
      <c r="JYX150" s="6"/>
      <c r="JYY150" s="6"/>
      <c r="JYZ150" s="6"/>
      <c r="JZA150" s="6"/>
      <c r="JZB150" s="6"/>
      <c r="JZC150" s="6"/>
      <c r="JZD150" s="6"/>
      <c r="JZE150" s="6"/>
      <c r="JZF150" s="6"/>
      <c r="JZG150" s="6"/>
      <c r="JZH150" s="6"/>
      <c r="JZI150" s="6"/>
      <c r="JZJ150" s="6"/>
      <c r="JZK150" s="6"/>
      <c r="JZL150" s="6"/>
      <c r="JZM150" s="6"/>
      <c r="JZN150" s="6"/>
      <c r="JZO150" s="6"/>
      <c r="JZP150" s="6"/>
      <c r="JZQ150" s="6"/>
      <c r="JZR150" s="6"/>
      <c r="JZS150" s="6"/>
      <c r="JZT150" s="6"/>
      <c r="JZU150" s="6"/>
      <c r="JZV150" s="6"/>
      <c r="JZW150" s="6"/>
      <c r="JZX150" s="6"/>
      <c r="JZY150" s="6"/>
      <c r="JZZ150" s="6"/>
      <c r="KAA150" s="6"/>
      <c r="KAB150" s="6"/>
      <c r="KAC150" s="6"/>
      <c r="KAD150" s="6"/>
      <c r="KAE150" s="6"/>
      <c r="KAF150" s="6"/>
      <c r="KAG150" s="6"/>
      <c r="KAH150" s="6"/>
      <c r="KAI150" s="6"/>
      <c r="KAJ150" s="6"/>
      <c r="KAK150" s="6"/>
      <c r="KAL150" s="6"/>
      <c r="KAM150" s="6"/>
      <c r="KAN150" s="6"/>
      <c r="KAO150" s="6"/>
      <c r="KAP150" s="6"/>
      <c r="KAQ150" s="6"/>
      <c r="KAR150" s="6"/>
      <c r="KAS150" s="6"/>
      <c r="KAT150" s="6"/>
      <c r="KAU150" s="6"/>
      <c r="KAV150" s="6"/>
      <c r="KAW150" s="6"/>
      <c r="KAX150" s="6"/>
      <c r="KAY150" s="6"/>
      <c r="KAZ150" s="6"/>
      <c r="KBA150" s="6"/>
      <c r="KBB150" s="6"/>
      <c r="KBC150" s="6"/>
      <c r="KBD150" s="6"/>
      <c r="KBE150" s="6"/>
      <c r="KBF150" s="6"/>
      <c r="KBG150" s="6"/>
      <c r="KBH150" s="6"/>
      <c r="KBI150" s="6"/>
      <c r="KBJ150" s="6"/>
      <c r="KBK150" s="6"/>
      <c r="KBL150" s="6"/>
      <c r="KBM150" s="6"/>
      <c r="KBN150" s="6"/>
      <c r="KBO150" s="6"/>
      <c r="KBP150" s="6"/>
      <c r="KBQ150" s="6"/>
      <c r="KBR150" s="6"/>
      <c r="KBS150" s="6"/>
      <c r="KBT150" s="6"/>
      <c r="KBU150" s="6"/>
      <c r="KBV150" s="6"/>
      <c r="KBW150" s="6"/>
      <c r="KBX150" s="6"/>
      <c r="KBY150" s="6"/>
      <c r="KBZ150" s="6"/>
      <c r="KCA150" s="6"/>
      <c r="KCB150" s="6"/>
      <c r="KCC150" s="6"/>
      <c r="KCD150" s="6"/>
      <c r="KCE150" s="6"/>
      <c r="KCF150" s="6"/>
      <c r="KCG150" s="6"/>
      <c r="KCH150" s="6"/>
      <c r="KCI150" s="6"/>
      <c r="KCJ150" s="6"/>
      <c r="KCK150" s="6"/>
      <c r="KCL150" s="6"/>
      <c r="KCM150" s="6"/>
      <c r="KCN150" s="6"/>
      <c r="KCO150" s="6"/>
      <c r="KCP150" s="6"/>
      <c r="KCQ150" s="6"/>
      <c r="KCR150" s="6"/>
      <c r="KCS150" s="6"/>
      <c r="KCT150" s="6"/>
      <c r="KCU150" s="6"/>
      <c r="KCV150" s="6"/>
      <c r="KCW150" s="6"/>
      <c r="KCX150" s="6"/>
      <c r="KCY150" s="6"/>
      <c r="KCZ150" s="6"/>
      <c r="KDA150" s="6"/>
      <c r="KDB150" s="6"/>
      <c r="KDC150" s="6"/>
      <c r="KDD150" s="6"/>
      <c r="KDE150" s="6"/>
      <c r="KDF150" s="6"/>
      <c r="KDG150" s="6"/>
      <c r="KDH150" s="6"/>
      <c r="KDI150" s="6"/>
      <c r="KDJ150" s="6"/>
      <c r="KDK150" s="6"/>
      <c r="KDL150" s="6"/>
      <c r="KDM150" s="6"/>
      <c r="KDN150" s="6"/>
      <c r="KDO150" s="6"/>
      <c r="KDP150" s="6"/>
      <c r="KDQ150" s="6"/>
      <c r="KDR150" s="6"/>
      <c r="KDS150" s="6"/>
      <c r="KDT150" s="6"/>
      <c r="KDU150" s="6"/>
      <c r="KDV150" s="6"/>
      <c r="KDW150" s="6"/>
      <c r="KDX150" s="6"/>
      <c r="KDY150" s="6"/>
      <c r="KDZ150" s="6"/>
      <c r="KEA150" s="6"/>
      <c r="KEB150" s="6"/>
      <c r="KEC150" s="6"/>
      <c r="KED150" s="6"/>
      <c r="KEE150" s="6"/>
      <c r="KEF150" s="6"/>
      <c r="KEG150" s="6"/>
      <c r="KEH150" s="6"/>
      <c r="KEI150" s="6"/>
      <c r="KEJ150" s="6"/>
      <c r="KEK150" s="6"/>
      <c r="KEL150" s="6"/>
      <c r="KEM150" s="6"/>
      <c r="KEN150" s="6"/>
      <c r="KEO150" s="6"/>
      <c r="KEP150" s="6"/>
      <c r="KEQ150" s="6"/>
      <c r="KER150" s="6"/>
      <c r="KES150" s="6"/>
      <c r="KET150" s="6"/>
      <c r="KEU150" s="6"/>
      <c r="KEV150" s="6"/>
      <c r="KEW150" s="6"/>
      <c r="KEX150" s="6"/>
      <c r="KEY150" s="6"/>
      <c r="KEZ150" s="6"/>
      <c r="KFA150" s="6"/>
      <c r="KFB150" s="6"/>
      <c r="KFC150" s="6"/>
      <c r="KFD150" s="6"/>
      <c r="KFE150" s="6"/>
      <c r="KFF150" s="6"/>
      <c r="KFG150" s="6"/>
      <c r="KFH150" s="6"/>
      <c r="KFI150" s="6"/>
      <c r="KFJ150" s="6"/>
      <c r="KFK150" s="6"/>
      <c r="KFL150" s="6"/>
      <c r="KFM150" s="6"/>
      <c r="KFN150" s="6"/>
      <c r="KFO150" s="6"/>
      <c r="KFP150" s="6"/>
      <c r="KFQ150" s="6"/>
      <c r="KFR150" s="6"/>
      <c r="KFS150" s="6"/>
      <c r="KFT150" s="6"/>
      <c r="KFU150" s="6"/>
      <c r="KFV150" s="6"/>
      <c r="KFW150" s="6"/>
      <c r="KFX150" s="6"/>
      <c r="KFY150" s="6"/>
      <c r="KFZ150" s="6"/>
      <c r="KGA150" s="6"/>
      <c r="KGB150" s="6"/>
      <c r="KGC150" s="6"/>
      <c r="KGD150" s="6"/>
      <c r="KGE150" s="6"/>
      <c r="KGF150" s="6"/>
      <c r="KGG150" s="6"/>
      <c r="KGH150" s="6"/>
      <c r="KGI150" s="6"/>
      <c r="KGJ150" s="6"/>
      <c r="KGK150" s="6"/>
      <c r="KGL150" s="6"/>
      <c r="KGM150" s="6"/>
      <c r="KGN150" s="6"/>
      <c r="KGO150" s="6"/>
      <c r="KGP150" s="6"/>
      <c r="KGQ150" s="6"/>
      <c r="KGR150" s="6"/>
      <c r="KGS150" s="6"/>
      <c r="KGT150" s="6"/>
      <c r="KGU150" s="6"/>
      <c r="KGV150" s="6"/>
      <c r="KGW150" s="6"/>
      <c r="KGX150" s="6"/>
      <c r="KGY150" s="6"/>
      <c r="KGZ150" s="6"/>
      <c r="KHA150" s="6"/>
      <c r="KHB150" s="6"/>
      <c r="KHC150" s="6"/>
      <c r="KHD150" s="6"/>
      <c r="KHE150" s="6"/>
      <c r="KHF150" s="6"/>
      <c r="KHG150" s="6"/>
      <c r="KHH150" s="6"/>
      <c r="KHI150" s="6"/>
      <c r="KHJ150" s="6"/>
      <c r="KHK150" s="6"/>
      <c r="KHL150" s="6"/>
      <c r="KHM150" s="6"/>
      <c r="KHN150" s="6"/>
      <c r="KHO150" s="6"/>
      <c r="KHP150" s="6"/>
      <c r="KHQ150" s="6"/>
      <c r="KHR150" s="6"/>
      <c r="KHS150" s="6"/>
      <c r="KHT150" s="6"/>
      <c r="KHU150" s="6"/>
      <c r="KHV150" s="6"/>
      <c r="KHW150" s="6"/>
      <c r="KHX150" s="6"/>
      <c r="KHY150" s="6"/>
      <c r="KHZ150" s="6"/>
      <c r="KIA150" s="6"/>
      <c r="KIB150" s="6"/>
      <c r="KIC150" s="6"/>
      <c r="KID150" s="6"/>
      <c r="KIE150" s="6"/>
      <c r="KIF150" s="6"/>
      <c r="KIG150" s="6"/>
      <c r="KIH150" s="6"/>
      <c r="KII150" s="6"/>
      <c r="KIJ150" s="6"/>
      <c r="KIK150" s="6"/>
      <c r="KIL150" s="6"/>
      <c r="KIM150" s="6"/>
      <c r="KIN150" s="6"/>
      <c r="KIO150" s="6"/>
      <c r="KIP150" s="6"/>
      <c r="KIQ150" s="6"/>
      <c r="KIR150" s="6"/>
      <c r="KIS150" s="6"/>
      <c r="KIT150" s="6"/>
      <c r="KIU150" s="6"/>
      <c r="KIV150" s="6"/>
      <c r="KIW150" s="6"/>
      <c r="KIX150" s="6"/>
      <c r="KIY150" s="6"/>
      <c r="KIZ150" s="6"/>
      <c r="KJA150" s="6"/>
      <c r="KJB150" s="6"/>
      <c r="KJC150" s="6"/>
      <c r="KJD150" s="6"/>
      <c r="KJE150" s="6"/>
      <c r="KJF150" s="6"/>
      <c r="KJG150" s="6"/>
      <c r="KJH150" s="6"/>
      <c r="KJI150" s="6"/>
      <c r="KJJ150" s="6"/>
      <c r="KJK150" s="6"/>
      <c r="KJL150" s="6"/>
      <c r="KJM150" s="6"/>
      <c r="KJN150" s="6"/>
      <c r="KJO150" s="6"/>
      <c r="KJP150" s="6"/>
      <c r="KJQ150" s="6"/>
      <c r="KJR150" s="6"/>
      <c r="KJS150" s="6"/>
      <c r="KJT150" s="6"/>
      <c r="KJU150" s="6"/>
      <c r="KJV150" s="6"/>
      <c r="KJW150" s="6"/>
      <c r="KJX150" s="6"/>
      <c r="KJY150" s="6"/>
      <c r="KJZ150" s="6"/>
      <c r="KKA150" s="6"/>
      <c r="KKB150" s="6"/>
      <c r="KKC150" s="6"/>
      <c r="KKD150" s="6"/>
      <c r="KKE150" s="6"/>
      <c r="KKF150" s="6"/>
      <c r="KKG150" s="6"/>
      <c r="KKH150" s="6"/>
      <c r="KKI150" s="6"/>
      <c r="KKJ150" s="6"/>
      <c r="KKK150" s="6"/>
      <c r="KKL150" s="6"/>
      <c r="KKM150" s="6"/>
      <c r="KKN150" s="6"/>
      <c r="KKO150" s="6"/>
      <c r="KKP150" s="6"/>
      <c r="KKQ150" s="6"/>
      <c r="KKR150" s="6"/>
      <c r="KKS150" s="6"/>
      <c r="KKT150" s="6"/>
      <c r="KKU150" s="6"/>
      <c r="KKV150" s="6"/>
      <c r="KKW150" s="6"/>
      <c r="KKX150" s="6"/>
      <c r="KKY150" s="6"/>
      <c r="KKZ150" s="6"/>
      <c r="KLA150" s="6"/>
      <c r="KLB150" s="6"/>
      <c r="KLC150" s="6"/>
      <c r="KLD150" s="6"/>
      <c r="KLE150" s="6"/>
      <c r="KLF150" s="6"/>
      <c r="KLG150" s="6"/>
      <c r="KLH150" s="6"/>
      <c r="KLI150" s="6"/>
      <c r="KLJ150" s="6"/>
      <c r="KLK150" s="6"/>
      <c r="KLL150" s="6"/>
      <c r="KLM150" s="6"/>
      <c r="KLN150" s="6"/>
      <c r="KLO150" s="6"/>
      <c r="KLP150" s="6"/>
      <c r="KLQ150" s="6"/>
      <c r="KLR150" s="6"/>
      <c r="KLS150" s="6"/>
      <c r="KLT150" s="6"/>
      <c r="KLU150" s="6"/>
      <c r="KLV150" s="6"/>
      <c r="KLW150" s="6"/>
      <c r="KLX150" s="6"/>
      <c r="KLY150" s="6"/>
      <c r="KLZ150" s="6"/>
      <c r="KMA150" s="6"/>
      <c r="KMB150" s="6"/>
      <c r="KMC150" s="6"/>
      <c r="KMD150" s="6"/>
      <c r="KME150" s="6"/>
      <c r="KMF150" s="6"/>
      <c r="KMG150" s="6"/>
      <c r="KMH150" s="6"/>
      <c r="KMI150" s="6"/>
      <c r="KMJ150" s="6"/>
      <c r="KMK150" s="6"/>
      <c r="KML150" s="6"/>
      <c r="KMM150" s="6"/>
      <c r="KMN150" s="6"/>
      <c r="KMO150" s="6"/>
      <c r="KMP150" s="6"/>
      <c r="KMQ150" s="6"/>
      <c r="KMR150" s="6"/>
      <c r="KMS150" s="6"/>
      <c r="KMT150" s="6"/>
      <c r="KMU150" s="6"/>
      <c r="KMV150" s="6"/>
      <c r="KMW150" s="6"/>
      <c r="KMX150" s="6"/>
      <c r="KMY150" s="6"/>
      <c r="KMZ150" s="6"/>
      <c r="KNA150" s="6"/>
      <c r="KNB150" s="6"/>
      <c r="KNC150" s="6"/>
      <c r="KND150" s="6"/>
      <c r="KNE150" s="6"/>
      <c r="KNF150" s="6"/>
      <c r="KNG150" s="6"/>
      <c r="KNH150" s="6"/>
      <c r="KNI150" s="6"/>
      <c r="KNJ150" s="6"/>
      <c r="KNK150" s="6"/>
      <c r="KNL150" s="6"/>
      <c r="KNM150" s="6"/>
      <c r="KNN150" s="6"/>
      <c r="KNO150" s="6"/>
      <c r="KNP150" s="6"/>
      <c r="KNQ150" s="6"/>
      <c r="KNR150" s="6"/>
      <c r="KNS150" s="6"/>
      <c r="KNT150" s="6"/>
      <c r="KNU150" s="6"/>
      <c r="KNV150" s="6"/>
      <c r="KNW150" s="6"/>
      <c r="KNX150" s="6"/>
      <c r="KNY150" s="6"/>
      <c r="KNZ150" s="6"/>
      <c r="KOA150" s="6"/>
      <c r="KOB150" s="6"/>
      <c r="KOC150" s="6"/>
      <c r="KOD150" s="6"/>
      <c r="KOE150" s="6"/>
      <c r="KOF150" s="6"/>
      <c r="KOG150" s="6"/>
      <c r="KOH150" s="6"/>
      <c r="KOI150" s="6"/>
      <c r="KOJ150" s="6"/>
      <c r="KOK150" s="6"/>
      <c r="KOL150" s="6"/>
      <c r="KOM150" s="6"/>
      <c r="KON150" s="6"/>
      <c r="KOO150" s="6"/>
      <c r="KOP150" s="6"/>
      <c r="KOQ150" s="6"/>
      <c r="KOR150" s="6"/>
      <c r="KOS150" s="6"/>
      <c r="KOT150" s="6"/>
      <c r="KOU150" s="6"/>
      <c r="KOV150" s="6"/>
      <c r="KOW150" s="6"/>
      <c r="KOX150" s="6"/>
      <c r="KOY150" s="6"/>
      <c r="KOZ150" s="6"/>
      <c r="KPA150" s="6"/>
      <c r="KPB150" s="6"/>
      <c r="KPC150" s="6"/>
      <c r="KPD150" s="6"/>
      <c r="KPE150" s="6"/>
      <c r="KPF150" s="6"/>
      <c r="KPG150" s="6"/>
      <c r="KPH150" s="6"/>
      <c r="KPI150" s="6"/>
      <c r="KPJ150" s="6"/>
      <c r="KPK150" s="6"/>
      <c r="KPL150" s="6"/>
      <c r="KPM150" s="6"/>
      <c r="KPN150" s="6"/>
      <c r="KPO150" s="6"/>
      <c r="KPP150" s="6"/>
      <c r="KPQ150" s="6"/>
      <c r="KPR150" s="6"/>
      <c r="KPS150" s="6"/>
      <c r="KPT150" s="6"/>
      <c r="KPU150" s="6"/>
      <c r="KPV150" s="6"/>
      <c r="KPW150" s="6"/>
      <c r="KPX150" s="6"/>
      <c r="KPY150" s="6"/>
      <c r="KPZ150" s="6"/>
      <c r="KQA150" s="6"/>
      <c r="KQB150" s="6"/>
      <c r="KQC150" s="6"/>
      <c r="KQD150" s="6"/>
      <c r="KQE150" s="6"/>
      <c r="KQF150" s="6"/>
      <c r="KQG150" s="6"/>
      <c r="KQH150" s="6"/>
      <c r="KQI150" s="6"/>
      <c r="KQJ150" s="6"/>
      <c r="KQK150" s="6"/>
      <c r="KQL150" s="6"/>
      <c r="KQM150" s="6"/>
      <c r="KQN150" s="6"/>
      <c r="KQO150" s="6"/>
      <c r="KQP150" s="6"/>
      <c r="KQQ150" s="6"/>
      <c r="KQR150" s="6"/>
      <c r="KQS150" s="6"/>
      <c r="KQT150" s="6"/>
      <c r="KQU150" s="6"/>
      <c r="KQV150" s="6"/>
      <c r="KQW150" s="6"/>
      <c r="KQX150" s="6"/>
      <c r="KQY150" s="6"/>
      <c r="KQZ150" s="6"/>
      <c r="KRA150" s="6"/>
      <c r="KRB150" s="6"/>
      <c r="KRC150" s="6"/>
      <c r="KRD150" s="6"/>
      <c r="KRE150" s="6"/>
      <c r="KRF150" s="6"/>
      <c r="KRG150" s="6"/>
      <c r="KRH150" s="6"/>
      <c r="KRI150" s="6"/>
      <c r="KRJ150" s="6"/>
      <c r="KRK150" s="6"/>
      <c r="KRL150" s="6"/>
      <c r="KRM150" s="6"/>
      <c r="KRN150" s="6"/>
      <c r="KRO150" s="6"/>
      <c r="KRP150" s="6"/>
      <c r="KRQ150" s="6"/>
      <c r="KRR150" s="6"/>
      <c r="KRS150" s="6"/>
      <c r="KRT150" s="6"/>
      <c r="KRU150" s="6"/>
      <c r="KRV150" s="6"/>
      <c r="KRW150" s="6"/>
      <c r="KRX150" s="6"/>
      <c r="KRY150" s="6"/>
      <c r="KRZ150" s="6"/>
      <c r="KSA150" s="6"/>
      <c r="KSB150" s="6"/>
      <c r="KSC150" s="6"/>
      <c r="KSD150" s="6"/>
      <c r="KSE150" s="6"/>
      <c r="KSF150" s="6"/>
      <c r="KSG150" s="6"/>
      <c r="KSH150" s="6"/>
      <c r="KSI150" s="6"/>
      <c r="KSJ150" s="6"/>
      <c r="KSK150" s="6"/>
      <c r="KSL150" s="6"/>
      <c r="KSM150" s="6"/>
      <c r="KSN150" s="6"/>
      <c r="KSO150" s="6"/>
      <c r="KSP150" s="6"/>
      <c r="KSQ150" s="6"/>
      <c r="KSR150" s="6"/>
      <c r="KSS150" s="6"/>
      <c r="KST150" s="6"/>
      <c r="KSU150" s="6"/>
      <c r="KSV150" s="6"/>
      <c r="KSW150" s="6"/>
      <c r="KSX150" s="6"/>
      <c r="KSY150" s="6"/>
      <c r="KSZ150" s="6"/>
      <c r="KTA150" s="6"/>
      <c r="KTB150" s="6"/>
      <c r="KTC150" s="6"/>
      <c r="KTD150" s="6"/>
      <c r="KTE150" s="6"/>
      <c r="KTF150" s="6"/>
      <c r="KTG150" s="6"/>
      <c r="KTH150" s="6"/>
      <c r="KTI150" s="6"/>
      <c r="KTJ150" s="6"/>
      <c r="KTK150" s="6"/>
      <c r="KTL150" s="6"/>
      <c r="KTM150" s="6"/>
      <c r="KTN150" s="6"/>
      <c r="KTO150" s="6"/>
      <c r="KTP150" s="6"/>
      <c r="KTQ150" s="6"/>
      <c r="KTR150" s="6"/>
      <c r="KTS150" s="6"/>
      <c r="KTT150" s="6"/>
      <c r="KTU150" s="6"/>
      <c r="KTV150" s="6"/>
      <c r="KTW150" s="6"/>
      <c r="KTX150" s="6"/>
      <c r="KTY150" s="6"/>
      <c r="KTZ150" s="6"/>
      <c r="KUA150" s="6"/>
      <c r="KUB150" s="6"/>
      <c r="KUC150" s="6"/>
      <c r="KUD150" s="6"/>
      <c r="KUE150" s="6"/>
      <c r="KUF150" s="6"/>
      <c r="KUG150" s="6"/>
      <c r="KUH150" s="6"/>
      <c r="KUI150" s="6"/>
      <c r="KUJ150" s="6"/>
      <c r="KUK150" s="6"/>
      <c r="KUL150" s="6"/>
      <c r="KUM150" s="6"/>
      <c r="KUN150" s="6"/>
      <c r="KUO150" s="6"/>
      <c r="KUP150" s="6"/>
      <c r="KUQ150" s="6"/>
      <c r="KUR150" s="6"/>
      <c r="KUS150" s="6"/>
      <c r="KUT150" s="6"/>
      <c r="KUU150" s="6"/>
      <c r="KUV150" s="6"/>
      <c r="KUW150" s="6"/>
      <c r="KUX150" s="6"/>
      <c r="KUY150" s="6"/>
      <c r="KUZ150" s="6"/>
      <c r="KVA150" s="6"/>
      <c r="KVB150" s="6"/>
      <c r="KVC150" s="6"/>
      <c r="KVD150" s="6"/>
      <c r="KVE150" s="6"/>
      <c r="KVF150" s="6"/>
      <c r="KVG150" s="6"/>
      <c r="KVH150" s="6"/>
      <c r="KVI150" s="6"/>
      <c r="KVJ150" s="6"/>
      <c r="KVK150" s="6"/>
      <c r="KVL150" s="6"/>
      <c r="KVM150" s="6"/>
      <c r="KVN150" s="6"/>
      <c r="KVO150" s="6"/>
      <c r="KVP150" s="6"/>
      <c r="KVQ150" s="6"/>
      <c r="KVR150" s="6"/>
      <c r="KVS150" s="6"/>
      <c r="KVT150" s="6"/>
      <c r="KVU150" s="6"/>
      <c r="KVV150" s="6"/>
      <c r="KVW150" s="6"/>
      <c r="KVX150" s="6"/>
      <c r="KVY150" s="6"/>
      <c r="KVZ150" s="6"/>
      <c r="KWA150" s="6"/>
      <c r="KWB150" s="6"/>
      <c r="KWC150" s="6"/>
      <c r="KWD150" s="6"/>
      <c r="KWE150" s="6"/>
      <c r="KWF150" s="6"/>
      <c r="KWG150" s="6"/>
      <c r="KWH150" s="6"/>
      <c r="KWI150" s="6"/>
      <c r="KWJ150" s="6"/>
      <c r="KWK150" s="6"/>
      <c r="KWL150" s="6"/>
      <c r="KWM150" s="6"/>
      <c r="KWN150" s="6"/>
      <c r="KWO150" s="6"/>
      <c r="KWP150" s="6"/>
      <c r="KWQ150" s="6"/>
      <c r="KWR150" s="6"/>
      <c r="KWS150" s="6"/>
      <c r="KWT150" s="6"/>
      <c r="KWU150" s="6"/>
      <c r="KWV150" s="6"/>
      <c r="KWW150" s="6"/>
      <c r="KWX150" s="6"/>
      <c r="KWY150" s="6"/>
      <c r="KWZ150" s="6"/>
      <c r="KXA150" s="6"/>
      <c r="KXB150" s="6"/>
      <c r="KXC150" s="6"/>
      <c r="KXD150" s="6"/>
      <c r="KXE150" s="6"/>
      <c r="KXF150" s="6"/>
      <c r="KXG150" s="6"/>
      <c r="KXH150" s="6"/>
      <c r="KXI150" s="6"/>
      <c r="KXJ150" s="6"/>
      <c r="KXK150" s="6"/>
      <c r="KXL150" s="6"/>
      <c r="KXM150" s="6"/>
      <c r="KXN150" s="6"/>
      <c r="KXO150" s="6"/>
      <c r="KXP150" s="6"/>
      <c r="KXQ150" s="6"/>
      <c r="KXR150" s="6"/>
      <c r="KXS150" s="6"/>
      <c r="KXT150" s="6"/>
      <c r="KXU150" s="6"/>
      <c r="KXV150" s="6"/>
      <c r="KXW150" s="6"/>
      <c r="KXX150" s="6"/>
      <c r="KXY150" s="6"/>
      <c r="KXZ150" s="6"/>
      <c r="KYA150" s="6"/>
      <c r="KYB150" s="6"/>
      <c r="KYC150" s="6"/>
      <c r="KYD150" s="6"/>
      <c r="KYE150" s="6"/>
      <c r="KYF150" s="6"/>
      <c r="KYG150" s="6"/>
      <c r="KYH150" s="6"/>
      <c r="KYI150" s="6"/>
      <c r="KYJ150" s="6"/>
      <c r="KYK150" s="6"/>
      <c r="KYL150" s="6"/>
      <c r="KYM150" s="6"/>
      <c r="KYN150" s="6"/>
      <c r="KYO150" s="6"/>
      <c r="KYP150" s="6"/>
      <c r="KYQ150" s="6"/>
      <c r="KYR150" s="6"/>
      <c r="KYS150" s="6"/>
      <c r="KYT150" s="6"/>
      <c r="KYU150" s="6"/>
      <c r="KYV150" s="6"/>
      <c r="KYW150" s="6"/>
      <c r="KYX150" s="6"/>
      <c r="KYY150" s="6"/>
      <c r="KYZ150" s="6"/>
      <c r="KZA150" s="6"/>
      <c r="KZB150" s="6"/>
      <c r="KZC150" s="6"/>
      <c r="KZD150" s="6"/>
      <c r="KZE150" s="6"/>
      <c r="KZF150" s="6"/>
      <c r="KZG150" s="6"/>
      <c r="KZH150" s="6"/>
      <c r="KZI150" s="6"/>
      <c r="KZJ150" s="6"/>
      <c r="KZK150" s="6"/>
      <c r="KZL150" s="6"/>
      <c r="KZM150" s="6"/>
      <c r="KZN150" s="6"/>
      <c r="KZO150" s="6"/>
      <c r="KZP150" s="6"/>
      <c r="KZQ150" s="6"/>
      <c r="KZR150" s="6"/>
      <c r="KZS150" s="6"/>
      <c r="KZT150" s="6"/>
      <c r="KZU150" s="6"/>
      <c r="KZV150" s="6"/>
      <c r="KZW150" s="6"/>
      <c r="KZX150" s="6"/>
      <c r="KZY150" s="6"/>
      <c r="KZZ150" s="6"/>
      <c r="LAA150" s="6"/>
      <c r="LAB150" s="6"/>
      <c r="LAC150" s="6"/>
      <c r="LAD150" s="6"/>
      <c r="LAE150" s="6"/>
      <c r="LAF150" s="6"/>
      <c r="LAG150" s="6"/>
      <c r="LAH150" s="6"/>
      <c r="LAI150" s="6"/>
      <c r="LAJ150" s="6"/>
      <c r="LAK150" s="6"/>
      <c r="LAL150" s="6"/>
      <c r="LAM150" s="6"/>
      <c r="LAN150" s="6"/>
      <c r="LAO150" s="6"/>
      <c r="LAP150" s="6"/>
      <c r="LAQ150" s="6"/>
      <c r="LAR150" s="6"/>
      <c r="LAS150" s="6"/>
      <c r="LAT150" s="6"/>
      <c r="LAU150" s="6"/>
      <c r="LAV150" s="6"/>
      <c r="LAW150" s="6"/>
      <c r="LAX150" s="6"/>
      <c r="LAY150" s="6"/>
      <c r="LAZ150" s="6"/>
      <c r="LBA150" s="6"/>
      <c r="LBB150" s="6"/>
      <c r="LBC150" s="6"/>
      <c r="LBD150" s="6"/>
      <c r="LBE150" s="6"/>
      <c r="LBF150" s="6"/>
      <c r="LBG150" s="6"/>
      <c r="LBH150" s="6"/>
      <c r="LBI150" s="6"/>
      <c r="LBJ150" s="6"/>
      <c r="LBK150" s="6"/>
      <c r="LBL150" s="6"/>
      <c r="LBM150" s="6"/>
      <c r="LBN150" s="6"/>
      <c r="LBO150" s="6"/>
      <c r="LBP150" s="6"/>
      <c r="LBQ150" s="6"/>
      <c r="LBR150" s="6"/>
      <c r="LBS150" s="6"/>
      <c r="LBT150" s="6"/>
      <c r="LBU150" s="6"/>
      <c r="LBV150" s="6"/>
      <c r="LBW150" s="6"/>
      <c r="LBX150" s="6"/>
      <c r="LBY150" s="6"/>
      <c r="LBZ150" s="6"/>
      <c r="LCA150" s="6"/>
      <c r="LCB150" s="6"/>
      <c r="LCC150" s="6"/>
      <c r="LCD150" s="6"/>
      <c r="LCE150" s="6"/>
      <c r="LCF150" s="6"/>
      <c r="LCG150" s="6"/>
      <c r="LCH150" s="6"/>
      <c r="LCI150" s="6"/>
      <c r="LCJ150" s="6"/>
      <c r="LCK150" s="6"/>
      <c r="LCL150" s="6"/>
      <c r="LCM150" s="6"/>
      <c r="LCN150" s="6"/>
      <c r="LCO150" s="6"/>
      <c r="LCP150" s="6"/>
      <c r="LCQ150" s="6"/>
      <c r="LCR150" s="6"/>
      <c r="LCS150" s="6"/>
      <c r="LCT150" s="6"/>
      <c r="LCU150" s="6"/>
      <c r="LCV150" s="6"/>
      <c r="LCW150" s="6"/>
      <c r="LCX150" s="6"/>
      <c r="LCY150" s="6"/>
      <c r="LCZ150" s="6"/>
      <c r="LDA150" s="6"/>
      <c r="LDB150" s="6"/>
      <c r="LDC150" s="6"/>
      <c r="LDD150" s="6"/>
      <c r="LDE150" s="6"/>
      <c r="LDF150" s="6"/>
      <c r="LDG150" s="6"/>
      <c r="LDH150" s="6"/>
      <c r="LDI150" s="6"/>
      <c r="LDJ150" s="6"/>
      <c r="LDK150" s="6"/>
      <c r="LDL150" s="6"/>
      <c r="LDM150" s="6"/>
      <c r="LDN150" s="6"/>
      <c r="LDO150" s="6"/>
      <c r="LDP150" s="6"/>
      <c r="LDQ150" s="6"/>
      <c r="LDR150" s="6"/>
      <c r="LDS150" s="6"/>
      <c r="LDT150" s="6"/>
      <c r="LDU150" s="6"/>
      <c r="LDV150" s="6"/>
      <c r="LDW150" s="6"/>
      <c r="LDX150" s="6"/>
      <c r="LDY150" s="6"/>
      <c r="LDZ150" s="6"/>
      <c r="LEA150" s="6"/>
      <c r="LEB150" s="6"/>
      <c r="LEC150" s="6"/>
      <c r="LED150" s="6"/>
      <c r="LEE150" s="6"/>
      <c r="LEF150" s="6"/>
      <c r="LEG150" s="6"/>
      <c r="LEH150" s="6"/>
      <c r="LEI150" s="6"/>
      <c r="LEJ150" s="6"/>
      <c r="LEK150" s="6"/>
      <c r="LEL150" s="6"/>
      <c r="LEM150" s="6"/>
      <c r="LEN150" s="6"/>
      <c r="LEO150" s="6"/>
      <c r="LEP150" s="6"/>
      <c r="LEQ150" s="6"/>
      <c r="LER150" s="6"/>
      <c r="LES150" s="6"/>
      <c r="LET150" s="6"/>
      <c r="LEU150" s="6"/>
      <c r="LEV150" s="6"/>
      <c r="LEW150" s="6"/>
      <c r="LEX150" s="6"/>
      <c r="LEY150" s="6"/>
      <c r="LEZ150" s="6"/>
      <c r="LFA150" s="6"/>
      <c r="LFB150" s="6"/>
      <c r="LFC150" s="6"/>
      <c r="LFD150" s="6"/>
      <c r="LFE150" s="6"/>
      <c r="LFF150" s="6"/>
      <c r="LFG150" s="6"/>
      <c r="LFH150" s="6"/>
      <c r="LFI150" s="6"/>
      <c r="LFJ150" s="6"/>
      <c r="LFK150" s="6"/>
      <c r="LFL150" s="6"/>
      <c r="LFM150" s="6"/>
      <c r="LFN150" s="6"/>
      <c r="LFO150" s="6"/>
      <c r="LFP150" s="6"/>
      <c r="LFQ150" s="6"/>
      <c r="LFR150" s="6"/>
      <c r="LFS150" s="6"/>
      <c r="LFT150" s="6"/>
      <c r="LFU150" s="6"/>
      <c r="LFV150" s="6"/>
      <c r="LFW150" s="6"/>
      <c r="LFX150" s="6"/>
      <c r="LFY150" s="6"/>
      <c r="LFZ150" s="6"/>
      <c r="LGA150" s="6"/>
      <c r="LGB150" s="6"/>
      <c r="LGC150" s="6"/>
      <c r="LGD150" s="6"/>
      <c r="LGE150" s="6"/>
      <c r="LGF150" s="6"/>
      <c r="LGG150" s="6"/>
      <c r="LGH150" s="6"/>
      <c r="LGI150" s="6"/>
      <c r="LGJ150" s="6"/>
      <c r="LGK150" s="6"/>
      <c r="LGL150" s="6"/>
      <c r="LGM150" s="6"/>
      <c r="LGN150" s="6"/>
      <c r="LGO150" s="6"/>
      <c r="LGP150" s="6"/>
      <c r="LGQ150" s="6"/>
      <c r="LGR150" s="6"/>
      <c r="LGS150" s="6"/>
      <c r="LGT150" s="6"/>
      <c r="LGU150" s="6"/>
      <c r="LGV150" s="6"/>
      <c r="LGW150" s="6"/>
      <c r="LGX150" s="6"/>
      <c r="LGY150" s="6"/>
      <c r="LGZ150" s="6"/>
      <c r="LHA150" s="6"/>
      <c r="LHB150" s="6"/>
      <c r="LHC150" s="6"/>
      <c r="LHD150" s="6"/>
      <c r="LHE150" s="6"/>
      <c r="LHF150" s="6"/>
      <c r="LHG150" s="6"/>
      <c r="LHH150" s="6"/>
      <c r="LHI150" s="6"/>
      <c r="LHJ150" s="6"/>
      <c r="LHK150" s="6"/>
      <c r="LHL150" s="6"/>
      <c r="LHM150" s="6"/>
      <c r="LHN150" s="6"/>
      <c r="LHO150" s="6"/>
      <c r="LHP150" s="6"/>
      <c r="LHQ150" s="6"/>
      <c r="LHR150" s="6"/>
      <c r="LHS150" s="6"/>
      <c r="LHT150" s="6"/>
      <c r="LHU150" s="6"/>
      <c r="LHV150" s="6"/>
      <c r="LHW150" s="6"/>
      <c r="LHX150" s="6"/>
      <c r="LHY150" s="6"/>
      <c r="LHZ150" s="6"/>
      <c r="LIA150" s="6"/>
      <c r="LIB150" s="6"/>
      <c r="LIC150" s="6"/>
      <c r="LID150" s="6"/>
      <c r="LIE150" s="6"/>
      <c r="LIF150" s="6"/>
      <c r="LIG150" s="6"/>
      <c r="LIH150" s="6"/>
      <c r="LII150" s="6"/>
      <c r="LIJ150" s="6"/>
      <c r="LIK150" s="6"/>
      <c r="LIL150" s="6"/>
      <c r="LIM150" s="6"/>
      <c r="LIN150" s="6"/>
      <c r="LIO150" s="6"/>
      <c r="LIP150" s="6"/>
      <c r="LIQ150" s="6"/>
      <c r="LIR150" s="6"/>
      <c r="LIS150" s="6"/>
      <c r="LIT150" s="6"/>
      <c r="LIU150" s="6"/>
      <c r="LIV150" s="6"/>
      <c r="LIW150" s="6"/>
      <c r="LIX150" s="6"/>
      <c r="LIY150" s="6"/>
      <c r="LIZ150" s="6"/>
      <c r="LJA150" s="6"/>
      <c r="LJB150" s="6"/>
      <c r="LJC150" s="6"/>
      <c r="LJD150" s="6"/>
      <c r="LJE150" s="6"/>
      <c r="LJF150" s="6"/>
      <c r="LJG150" s="6"/>
      <c r="LJH150" s="6"/>
      <c r="LJI150" s="6"/>
      <c r="LJJ150" s="6"/>
      <c r="LJK150" s="6"/>
      <c r="LJL150" s="6"/>
      <c r="LJM150" s="6"/>
      <c r="LJN150" s="6"/>
      <c r="LJO150" s="6"/>
      <c r="LJP150" s="6"/>
      <c r="LJQ150" s="6"/>
      <c r="LJR150" s="6"/>
      <c r="LJS150" s="6"/>
      <c r="LJT150" s="6"/>
      <c r="LJU150" s="6"/>
      <c r="LJV150" s="6"/>
      <c r="LJW150" s="6"/>
      <c r="LJX150" s="6"/>
      <c r="LJY150" s="6"/>
      <c r="LJZ150" s="6"/>
      <c r="LKA150" s="6"/>
      <c r="LKB150" s="6"/>
      <c r="LKC150" s="6"/>
      <c r="LKD150" s="6"/>
      <c r="LKE150" s="6"/>
      <c r="LKF150" s="6"/>
      <c r="LKG150" s="6"/>
      <c r="LKH150" s="6"/>
      <c r="LKI150" s="6"/>
      <c r="LKJ150" s="6"/>
      <c r="LKK150" s="6"/>
      <c r="LKL150" s="6"/>
      <c r="LKM150" s="6"/>
      <c r="LKN150" s="6"/>
      <c r="LKO150" s="6"/>
      <c r="LKP150" s="6"/>
      <c r="LKQ150" s="6"/>
      <c r="LKR150" s="6"/>
      <c r="LKS150" s="6"/>
      <c r="LKT150" s="6"/>
      <c r="LKU150" s="6"/>
      <c r="LKV150" s="6"/>
      <c r="LKW150" s="6"/>
      <c r="LKX150" s="6"/>
      <c r="LKY150" s="6"/>
      <c r="LKZ150" s="6"/>
      <c r="LLA150" s="6"/>
      <c r="LLB150" s="6"/>
      <c r="LLC150" s="6"/>
      <c r="LLD150" s="6"/>
      <c r="LLE150" s="6"/>
      <c r="LLF150" s="6"/>
      <c r="LLG150" s="6"/>
      <c r="LLH150" s="6"/>
      <c r="LLI150" s="6"/>
      <c r="LLJ150" s="6"/>
      <c r="LLK150" s="6"/>
      <c r="LLL150" s="6"/>
      <c r="LLM150" s="6"/>
      <c r="LLN150" s="6"/>
      <c r="LLO150" s="6"/>
      <c r="LLP150" s="6"/>
      <c r="LLQ150" s="6"/>
      <c r="LLR150" s="6"/>
      <c r="LLS150" s="6"/>
      <c r="LLT150" s="6"/>
      <c r="LLU150" s="6"/>
      <c r="LLV150" s="6"/>
      <c r="LLW150" s="6"/>
      <c r="LLX150" s="6"/>
      <c r="LLY150" s="6"/>
      <c r="LLZ150" s="6"/>
      <c r="LMA150" s="6"/>
      <c r="LMB150" s="6"/>
      <c r="LMC150" s="6"/>
      <c r="LMD150" s="6"/>
      <c r="LME150" s="6"/>
      <c r="LMF150" s="6"/>
      <c r="LMG150" s="6"/>
      <c r="LMH150" s="6"/>
      <c r="LMI150" s="6"/>
      <c r="LMJ150" s="6"/>
      <c r="LMK150" s="6"/>
      <c r="LML150" s="6"/>
      <c r="LMM150" s="6"/>
      <c r="LMN150" s="6"/>
      <c r="LMO150" s="6"/>
      <c r="LMP150" s="6"/>
      <c r="LMQ150" s="6"/>
      <c r="LMR150" s="6"/>
      <c r="LMS150" s="6"/>
      <c r="LMT150" s="6"/>
      <c r="LMU150" s="6"/>
      <c r="LMV150" s="6"/>
      <c r="LMW150" s="6"/>
      <c r="LMX150" s="6"/>
      <c r="LMY150" s="6"/>
      <c r="LMZ150" s="6"/>
      <c r="LNA150" s="6"/>
      <c r="LNB150" s="6"/>
      <c r="LNC150" s="6"/>
      <c r="LND150" s="6"/>
      <c r="LNE150" s="6"/>
      <c r="LNF150" s="6"/>
      <c r="LNG150" s="6"/>
      <c r="LNH150" s="6"/>
      <c r="LNI150" s="6"/>
      <c r="LNJ150" s="6"/>
      <c r="LNK150" s="6"/>
      <c r="LNL150" s="6"/>
      <c r="LNM150" s="6"/>
      <c r="LNN150" s="6"/>
      <c r="LNO150" s="6"/>
      <c r="LNP150" s="6"/>
      <c r="LNQ150" s="6"/>
      <c r="LNR150" s="6"/>
      <c r="LNS150" s="6"/>
      <c r="LNT150" s="6"/>
      <c r="LNU150" s="6"/>
      <c r="LNV150" s="6"/>
      <c r="LNW150" s="6"/>
      <c r="LNX150" s="6"/>
      <c r="LNY150" s="6"/>
      <c r="LNZ150" s="6"/>
      <c r="LOA150" s="6"/>
      <c r="LOB150" s="6"/>
      <c r="LOC150" s="6"/>
      <c r="LOD150" s="6"/>
      <c r="LOE150" s="6"/>
      <c r="LOF150" s="6"/>
      <c r="LOG150" s="6"/>
      <c r="LOH150" s="6"/>
      <c r="LOI150" s="6"/>
      <c r="LOJ150" s="6"/>
      <c r="LOK150" s="6"/>
      <c r="LOL150" s="6"/>
      <c r="LOM150" s="6"/>
      <c r="LON150" s="6"/>
      <c r="LOO150" s="6"/>
      <c r="LOP150" s="6"/>
      <c r="LOQ150" s="6"/>
      <c r="LOR150" s="6"/>
      <c r="LOS150" s="6"/>
      <c r="LOT150" s="6"/>
      <c r="LOU150" s="6"/>
      <c r="LOV150" s="6"/>
      <c r="LOW150" s="6"/>
      <c r="LOX150" s="6"/>
      <c r="LOY150" s="6"/>
      <c r="LOZ150" s="6"/>
      <c r="LPA150" s="6"/>
      <c r="LPB150" s="6"/>
      <c r="LPC150" s="6"/>
      <c r="LPD150" s="6"/>
      <c r="LPE150" s="6"/>
      <c r="LPF150" s="6"/>
      <c r="LPG150" s="6"/>
      <c r="LPH150" s="6"/>
      <c r="LPI150" s="6"/>
      <c r="LPJ150" s="6"/>
      <c r="LPK150" s="6"/>
      <c r="LPL150" s="6"/>
      <c r="LPM150" s="6"/>
      <c r="LPN150" s="6"/>
      <c r="LPO150" s="6"/>
      <c r="LPP150" s="6"/>
      <c r="LPQ150" s="6"/>
      <c r="LPR150" s="6"/>
      <c r="LPS150" s="6"/>
      <c r="LPT150" s="6"/>
      <c r="LPU150" s="6"/>
      <c r="LPV150" s="6"/>
      <c r="LPW150" s="6"/>
      <c r="LPX150" s="6"/>
      <c r="LPY150" s="6"/>
      <c r="LPZ150" s="6"/>
      <c r="LQA150" s="6"/>
      <c r="LQB150" s="6"/>
      <c r="LQC150" s="6"/>
      <c r="LQD150" s="6"/>
      <c r="LQE150" s="6"/>
      <c r="LQF150" s="6"/>
      <c r="LQG150" s="6"/>
      <c r="LQH150" s="6"/>
      <c r="LQI150" s="6"/>
      <c r="LQJ150" s="6"/>
      <c r="LQK150" s="6"/>
      <c r="LQL150" s="6"/>
      <c r="LQM150" s="6"/>
      <c r="LQN150" s="6"/>
      <c r="LQO150" s="6"/>
      <c r="LQP150" s="6"/>
      <c r="LQQ150" s="6"/>
      <c r="LQR150" s="6"/>
      <c r="LQS150" s="6"/>
      <c r="LQT150" s="6"/>
      <c r="LQU150" s="6"/>
      <c r="LQV150" s="6"/>
      <c r="LQW150" s="6"/>
      <c r="LQX150" s="6"/>
      <c r="LQY150" s="6"/>
      <c r="LQZ150" s="6"/>
      <c r="LRA150" s="6"/>
      <c r="LRB150" s="6"/>
      <c r="LRC150" s="6"/>
      <c r="LRD150" s="6"/>
      <c r="LRE150" s="6"/>
      <c r="LRF150" s="6"/>
      <c r="LRG150" s="6"/>
      <c r="LRH150" s="6"/>
      <c r="LRI150" s="6"/>
      <c r="LRJ150" s="6"/>
      <c r="LRK150" s="6"/>
      <c r="LRL150" s="6"/>
      <c r="LRM150" s="6"/>
      <c r="LRN150" s="6"/>
      <c r="LRO150" s="6"/>
      <c r="LRP150" s="6"/>
      <c r="LRQ150" s="6"/>
      <c r="LRR150" s="6"/>
      <c r="LRS150" s="6"/>
      <c r="LRT150" s="6"/>
      <c r="LRU150" s="6"/>
      <c r="LRV150" s="6"/>
      <c r="LRW150" s="6"/>
      <c r="LRX150" s="6"/>
      <c r="LRY150" s="6"/>
      <c r="LRZ150" s="6"/>
      <c r="LSA150" s="6"/>
      <c r="LSB150" s="6"/>
      <c r="LSC150" s="6"/>
      <c r="LSD150" s="6"/>
      <c r="LSE150" s="6"/>
      <c r="LSF150" s="6"/>
      <c r="LSG150" s="6"/>
      <c r="LSH150" s="6"/>
      <c r="LSI150" s="6"/>
      <c r="LSJ150" s="6"/>
      <c r="LSK150" s="6"/>
      <c r="LSL150" s="6"/>
      <c r="LSM150" s="6"/>
      <c r="LSN150" s="6"/>
      <c r="LSO150" s="6"/>
      <c r="LSP150" s="6"/>
      <c r="LSQ150" s="6"/>
      <c r="LSR150" s="6"/>
      <c r="LSS150" s="6"/>
      <c r="LST150" s="6"/>
      <c r="LSU150" s="6"/>
      <c r="LSV150" s="6"/>
      <c r="LSW150" s="6"/>
      <c r="LSX150" s="6"/>
      <c r="LSY150" s="6"/>
      <c r="LSZ150" s="6"/>
      <c r="LTA150" s="6"/>
      <c r="LTB150" s="6"/>
      <c r="LTC150" s="6"/>
      <c r="LTD150" s="6"/>
      <c r="LTE150" s="6"/>
      <c r="LTF150" s="6"/>
      <c r="LTG150" s="6"/>
      <c r="LTH150" s="6"/>
      <c r="LTI150" s="6"/>
      <c r="LTJ150" s="6"/>
      <c r="LTK150" s="6"/>
      <c r="LTL150" s="6"/>
      <c r="LTM150" s="6"/>
      <c r="LTN150" s="6"/>
      <c r="LTO150" s="6"/>
      <c r="LTP150" s="6"/>
      <c r="LTQ150" s="6"/>
      <c r="LTR150" s="6"/>
      <c r="LTS150" s="6"/>
      <c r="LTT150" s="6"/>
      <c r="LTU150" s="6"/>
      <c r="LTV150" s="6"/>
      <c r="LTW150" s="6"/>
      <c r="LTX150" s="6"/>
      <c r="LTY150" s="6"/>
      <c r="LTZ150" s="6"/>
      <c r="LUA150" s="6"/>
      <c r="LUB150" s="6"/>
      <c r="LUC150" s="6"/>
      <c r="LUD150" s="6"/>
      <c r="LUE150" s="6"/>
      <c r="LUF150" s="6"/>
      <c r="LUG150" s="6"/>
      <c r="LUH150" s="6"/>
      <c r="LUI150" s="6"/>
      <c r="LUJ150" s="6"/>
      <c r="LUK150" s="6"/>
      <c r="LUL150" s="6"/>
      <c r="LUM150" s="6"/>
      <c r="LUN150" s="6"/>
      <c r="LUO150" s="6"/>
      <c r="LUP150" s="6"/>
      <c r="LUQ150" s="6"/>
      <c r="LUR150" s="6"/>
      <c r="LUS150" s="6"/>
      <c r="LUT150" s="6"/>
      <c r="LUU150" s="6"/>
      <c r="LUV150" s="6"/>
      <c r="LUW150" s="6"/>
      <c r="LUX150" s="6"/>
      <c r="LUY150" s="6"/>
      <c r="LUZ150" s="6"/>
      <c r="LVA150" s="6"/>
      <c r="LVB150" s="6"/>
      <c r="LVC150" s="6"/>
      <c r="LVD150" s="6"/>
      <c r="LVE150" s="6"/>
      <c r="LVF150" s="6"/>
      <c r="LVG150" s="6"/>
      <c r="LVH150" s="6"/>
      <c r="LVI150" s="6"/>
      <c r="LVJ150" s="6"/>
      <c r="LVK150" s="6"/>
      <c r="LVL150" s="6"/>
      <c r="LVM150" s="6"/>
      <c r="LVN150" s="6"/>
      <c r="LVO150" s="6"/>
      <c r="LVP150" s="6"/>
      <c r="LVQ150" s="6"/>
      <c r="LVR150" s="6"/>
      <c r="LVS150" s="6"/>
      <c r="LVT150" s="6"/>
      <c r="LVU150" s="6"/>
      <c r="LVV150" s="6"/>
      <c r="LVW150" s="6"/>
      <c r="LVX150" s="6"/>
      <c r="LVY150" s="6"/>
      <c r="LVZ150" s="6"/>
      <c r="LWA150" s="6"/>
      <c r="LWB150" s="6"/>
      <c r="LWC150" s="6"/>
      <c r="LWD150" s="6"/>
      <c r="LWE150" s="6"/>
      <c r="LWF150" s="6"/>
      <c r="LWG150" s="6"/>
      <c r="LWH150" s="6"/>
      <c r="LWI150" s="6"/>
      <c r="LWJ150" s="6"/>
      <c r="LWK150" s="6"/>
      <c r="LWL150" s="6"/>
      <c r="LWM150" s="6"/>
      <c r="LWN150" s="6"/>
      <c r="LWO150" s="6"/>
      <c r="LWP150" s="6"/>
      <c r="LWQ150" s="6"/>
      <c r="LWR150" s="6"/>
      <c r="LWS150" s="6"/>
      <c r="LWT150" s="6"/>
      <c r="LWU150" s="6"/>
      <c r="LWV150" s="6"/>
      <c r="LWW150" s="6"/>
      <c r="LWX150" s="6"/>
      <c r="LWY150" s="6"/>
      <c r="LWZ150" s="6"/>
      <c r="LXA150" s="6"/>
      <c r="LXB150" s="6"/>
      <c r="LXC150" s="6"/>
      <c r="LXD150" s="6"/>
      <c r="LXE150" s="6"/>
      <c r="LXF150" s="6"/>
      <c r="LXG150" s="6"/>
      <c r="LXH150" s="6"/>
      <c r="LXI150" s="6"/>
      <c r="LXJ150" s="6"/>
      <c r="LXK150" s="6"/>
      <c r="LXL150" s="6"/>
      <c r="LXM150" s="6"/>
      <c r="LXN150" s="6"/>
      <c r="LXO150" s="6"/>
      <c r="LXP150" s="6"/>
      <c r="LXQ150" s="6"/>
      <c r="LXR150" s="6"/>
      <c r="LXS150" s="6"/>
      <c r="LXT150" s="6"/>
      <c r="LXU150" s="6"/>
      <c r="LXV150" s="6"/>
      <c r="LXW150" s="6"/>
      <c r="LXX150" s="6"/>
      <c r="LXY150" s="6"/>
      <c r="LXZ150" s="6"/>
      <c r="LYA150" s="6"/>
      <c r="LYB150" s="6"/>
      <c r="LYC150" s="6"/>
      <c r="LYD150" s="6"/>
      <c r="LYE150" s="6"/>
      <c r="LYF150" s="6"/>
      <c r="LYG150" s="6"/>
      <c r="LYH150" s="6"/>
      <c r="LYI150" s="6"/>
      <c r="LYJ150" s="6"/>
      <c r="LYK150" s="6"/>
      <c r="LYL150" s="6"/>
      <c r="LYM150" s="6"/>
      <c r="LYN150" s="6"/>
      <c r="LYO150" s="6"/>
      <c r="LYP150" s="6"/>
      <c r="LYQ150" s="6"/>
      <c r="LYR150" s="6"/>
      <c r="LYS150" s="6"/>
      <c r="LYT150" s="6"/>
      <c r="LYU150" s="6"/>
      <c r="LYV150" s="6"/>
      <c r="LYW150" s="6"/>
      <c r="LYX150" s="6"/>
      <c r="LYY150" s="6"/>
      <c r="LYZ150" s="6"/>
      <c r="LZA150" s="6"/>
      <c r="LZB150" s="6"/>
      <c r="LZC150" s="6"/>
      <c r="LZD150" s="6"/>
      <c r="LZE150" s="6"/>
      <c r="LZF150" s="6"/>
      <c r="LZG150" s="6"/>
      <c r="LZH150" s="6"/>
      <c r="LZI150" s="6"/>
      <c r="LZJ150" s="6"/>
      <c r="LZK150" s="6"/>
      <c r="LZL150" s="6"/>
      <c r="LZM150" s="6"/>
      <c r="LZN150" s="6"/>
      <c r="LZO150" s="6"/>
      <c r="LZP150" s="6"/>
      <c r="LZQ150" s="6"/>
      <c r="LZR150" s="6"/>
      <c r="LZS150" s="6"/>
      <c r="LZT150" s="6"/>
      <c r="LZU150" s="6"/>
      <c r="LZV150" s="6"/>
      <c r="LZW150" s="6"/>
      <c r="LZX150" s="6"/>
      <c r="LZY150" s="6"/>
      <c r="LZZ150" s="6"/>
      <c r="MAA150" s="6"/>
      <c r="MAB150" s="6"/>
      <c r="MAC150" s="6"/>
      <c r="MAD150" s="6"/>
      <c r="MAE150" s="6"/>
      <c r="MAF150" s="6"/>
      <c r="MAG150" s="6"/>
      <c r="MAH150" s="6"/>
      <c r="MAI150" s="6"/>
      <c r="MAJ150" s="6"/>
      <c r="MAK150" s="6"/>
      <c r="MAL150" s="6"/>
      <c r="MAM150" s="6"/>
      <c r="MAN150" s="6"/>
      <c r="MAO150" s="6"/>
      <c r="MAP150" s="6"/>
      <c r="MAQ150" s="6"/>
      <c r="MAR150" s="6"/>
      <c r="MAS150" s="6"/>
      <c r="MAT150" s="6"/>
      <c r="MAU150" s="6"/>
      <c r="MAV150" s="6"/>
      <c r="MAW150" s="6"/>
      <c r="MAX150" s="6"/>
      <c r="MAY150" s="6"/>
      <c r="MAZ150" s="6"/>
      <c r="MBA150" s="6"/>
      <c r="MBB150" s="6"/>
      <c r="MBC150" s="6"/>
      <c r="MBD150" s="6"/>
      <c r="MBE150" s="6"/>
      <c r="MBF150" s="6"/>
      <c r="MBG150" s="6"/>
      <c r="MBH150" s="6"/>
      <c r="MBI150" s="6"/>
      <c r="MBJ150" s="6"/>
      <c r="MBK150" s="6"/>
      <c r="MBL150" s="6"/>
      <c r="MBM150" s="6"/>
      <c r="MBN150" s="6"/>
      <c r="MBO150" s="6"/>
      <c r="MBP150" s="6"/>
      <c r="MBQ150" s="6"/>
      <c r="MBR150" s="6"/>
      <c r="MBS150" s="6"/>
      <c r="MBT150" s="6"/>
      <c r="MBU150" s="6"/>
      <c r="MBV150" s="6"/>
      <c r="MBW150" s="6"/>
      <c r="MBX150" s="6"/>
      <c r="MBY150" s="6"/>
      <c r="MBZ150" s="6"/>
      <c r="MCA150" s="6"/>
      <c r="MCB150" s="6"/>
      <c r="MCC150" s="6"/>
      <c r="MCD150" s="6"/>
      <c r="MCE150" s="6"/>
      <c r="MCF150" s="6"/>
      <c r="MCG150" s="6"/>
      <c r="MCH150" s="6"/>
      <c r="MCI150" s="6"/>
      <c r="MCJ150" s="6"/>
      <c r="MCK150" s="6"/>
      <c r="MCL150" s="6"/>
      <c r="MCM150" s="6"/>
      <c r="MCN150" s="6"/>
      <c r="MCO150" s="6"/>
      <c r="MCP150" s="6"/>
      <c r="MCQ150" s="6"/>
      <c r="MCR150" s="6"/>
      <c r="MCS150" s="6"/>
      <c r="MCT150" s="6"/>
      <c r="MCU150" s="6"/>
      <c r="MCV150" s="6"/>
      <c r="MCW150" s="6"/>
      <c r="MCX150" s="6"/>
      <c r="MCY150" s="6"/>
      <c r="MCZ150" s="6"/>
      <c r="MDA150" s="6"/>
      <c r="MDB150" s="6"/>
      <c r="MDC150" s="6"/>
      <c r="MDD150" s="6"/>
      <c r="MDE150" s="6"/>
      <c r="MDF150" s="6"/>
      <c r="MDG150" s="6"/>
      <c r="MDH150" s="6"/>
      <c r="MDI150" s="6"/>
      <c r="MDJ150" s="6"/>
      <c r="MDK150" s="6"/>
      <c r="MDL150" s="6"/>
      <c r="MDM150" s="6"/>
      <c r="MDN150" s="6"/>
      <c r="MDO150" s="6"/>
      <c r="MDP150" s="6"/>
      <c r="MDQ150" s="6"/>
      <c r="MDR150" s="6"/>
      <c r="MDS150" s="6"/>
      <c r="MDT150" s="6"/>
      <c r="MDU150" s="6"/>
      <c r="MDV150" s="6"/>
      <c r="MDW150" s="6"/>
      <c r="MDX150" s="6"/>
      <c r="MDY150" s="6"/>
      <c r="MDZ150" s="6"/>
      <c r="MEA150" s="6"/>
      <c r="MEB150" s="6"/>
      <c r="MEC150" s="6"/>
      <c r="MED150" s="6"/>
      <c r="MEE150" s="6"/>
      <c r="MEF150" s="6"/>
      <c r="MEG150" s="6"/>
      <c r="MEH150" s="6"/>
      <c r="MEI150" s="6"/>
      <c r="MEJ150" s="6"/>
      <c r="MEK150" s="6"/>
      <c r="MEL150" s="6"/>
      <c r="MEM150" s="6"/>
      <c r="MEN150" s="6"/>
      <c r="MEO150" s="6"/>
      <c r="MEP150" s="6"/>
      <c r="MEQ150" s="6"/>
      <c r="MER150" s="6"/>
      <c r="MES150" s="6"/>
      <c r="MET150" s="6"/>
      <c r="MEU150" s="6"/>
      <c r="MEV150" s="6"/>
      <c r="MEW150" s="6"/>
      <c r="MEX150" s="6"/>
      <c r="MEY150" s="6"/>
      <c r="MEZ150" s="6"/>
      <c r="MFA150" s="6"/>
      <c r="MFB150" s="6"/>
      <c r="MFC150" s="6"/>
      <c r="MFD150" s="6"/>
      <c r="MFE150" s="6"/>
      <c r="MFF150" s="6"/>
      <c r="MFG150" s="6"/>
      <c r="MFH150" s="6"/>
      <c r="MFI150" s="6"/>
      <c r="MFJ150" s="6"/>
      <c r="MFK150" s="6"/>
      <c r="MFL150" s="6"/>
      <c r="MFM150" s="6"/>
      <c r="MFN150" s="6"/>
      <c r="MFO150" s="6"/>
      <c r="MFP150" s="6"/>
      <c r="MFQ150" s="6"/>
      <c r="MFR150" s="6"/>
      <c r="MFS150" s="6"/>
      <c r="MFT150" s="6"/>
      <c r="MFU150" s="6"/>
      <c r="MFV150" s="6"/>
      <c r="MFW150" s="6"/>
      <c r="MFX150" s="6"/>
      <c r="MFY150" s="6"/>
      <c r="MFZ150" s="6"/>
      <c r="MGA150" s="6"/>
      <c r="MGB150" s="6"/>
      <c r="MGC150" s="6"/>
      <c r="MGD150" s="6"/>
      <c r="MGE150" s="6"/>
      <c r="MGF150" s="6"/>
      <c r="MGG150" s="6"/>
      <c r="MGH150" s="6"/>
      <c r="MGI150" s="6"/>
      <c r="MGJ150" s="6"/>
      <c r="MGK150" s="6"/>
      <c r="MGL150" s="6"/>
      <c r="MGM150" s="6"/>
      <c r="MGN150" s="6"/>
      <c r="MGO150" s="6"/>
      <c r="MGP150" s="6"/>
      <c r="MGQ150" s="6"/>
      <c r="MGR150" s="6"/>
      <c r="MGS150" s="6"/>
      <c r="MGT150" s="6"/>
      <c r="MGU150" s="6"/>
      <c r="MGV150" s="6"/>
      <c r="MGW150" s="6"/>
      <c r="MGX150" s="6"/>
      <c r="MGY150" s="6"/>
      <c r="MGZ150" s="6"/>
      <c r="MHA150" s="6"/>
      <c r="MHB150" s="6"/>
      <c r="MHC150" s="6"/>
      <c r="MHD150" s="6"/>
      <c r="MHE150" s="6"/>
      <c r="MHF150" s="6"/>
      <c r="MHG150" s="6"/>
      <c r="MHH150" s="6"/>
      <c r="MHI150" s="6"/>
      <c r="MHJ150" s="6"/>
      <c r="MHK150" s="6"/>
      <c r="MHL150" s="6"/>
      <c r="MHM150" s="6"/>
      <c r="MHN150" s="6"/>
      <c r="MHO150" s="6"/>
      <c r="MHP150" s="6"/>
      <c r="MHQ150" s="6"/>
      <c r="MHR150" s="6"/>
      <c r="MHS150" s="6"/>
      <c r="MHT150" s="6"/>
      <c r="MHU150" s="6"/>
      <c r="MHV150" s="6"/>
      <c r="MHW150" s="6"/>
      <c r="MHX150" s="6"/>
      <c r="MHY150" s="6"/>
      <c r="MHZ150" s="6"/>
      <c r="MIA150" s="6"/>
      <c r="MIB150" s="6"/>
      <c r="MIC150" s="6"/>
      <c r="MID150" s="6"/>
      <c r="MIE150" s="6"/>
      <c r="MIF150" s="6"/>
      <c r="MIG150" s="6"/>
      <c r="MIH150" s="6"/>
      <c r="MII150" s="6"/>
      <c r="MIJ150" s="6"/>
      <c r="MIK150" s="6"/>
      <c r="MIL150" s="6"/>
      <c r="MIM150" s="6"/>
      <c r="MIN150" s="6"/>
      <c r="MIO150" s="6"/>
      <c r="MIP150" s="6"/>
      <c r="MIQ150" s="6"/>
      <c r="MIR150" s="6"/>
      <c r="MIS150" s="6"/>
      <c r="MIT150" s="6"/>
      <c r="MIU150" s="6"/>
      <c r="MIV150" s="6"/>
      <c r="MIW150" s="6"/>
      <c r="MIX150" s="6"/>
      <c r="MIY150" s="6"/>
      <c r="MIZ150" s="6"/>
      <c r="MJA150" s="6"/>
      <c r="MJB150" s="6"/>
      <c r="MJC150" s="6"/>
      <c r="MJD150" s="6"/>
      <c r="MJE150" s="6"/>
      <c r="MJF150" s="6"/>
      <c r="MJG150" s="6"/>
      <c r="MJH150" s="6"/>
      <c r="MJI150" s="6"/>
      <c r="MJJ150" s="6"/>
      <c r="MJK150" s="6"/>
      <c r="MJL150" s="6"/>
      <c r="MJM150" s="6"/>
      <c r="MJN150" s="6"/>
      <c r="MJO150" s="6"/>
      <c r="MJP150" s="6"/>
      <c r="MJQ150" s="6"/>
      <c r="MJR150" s="6"/>
      <c r="MJS150" s="6"/>
      <c r="MJT150" s="6"/>
      <c r="MJU150" s="6"/>
      <c r="MJV150" s="6"/>
      <c r="MJW150" s="6"/>
      <c r="MJX150" s="6"/>
      <c r="MJY150" s="6"/>
      <c r="MJZ150" s="6"/>
      <c r="MKA150" s="6"/>
      <c r="MKB150" s="6"/>
      <c r="MKC150" s="6"/>
      <c r="MKD150" s="6"/>
      <c r="MKE150" s="6"/>
      <c r="MKF150" s="6"/>
      <c r="MKG150" s="6"/>
      <c r="MKH150" s="6"/>
      <c r="MKI150" s="6"/>
      <c r="MKJ150" s="6"/>
      <c r="MKK150" s="6"/>
      <c r="MKL150" s="6"/>
      <c r="MKM150" s="6"/>
      <c r="MKN150" s="6"/>
      <c r="MKO150" s="6"/>
      <c r="MKP150" s="6"/>
      <c r="MKQ150" s="6"/>
      <c r="MKR150" s="6"/>
      <c r="MKS150" s="6"/>
      <c r="MKT150" s="6"/>
      <c r="MKU150" s="6"/>
      <c r="MKV150" s="6"/>
      <c r="MKW150" s="6"/>
      <c r="MKX150" s="6"/>
      <c r="MKY150" s="6"/>
      <c r="MKZ150" s="6"/>
      <c r="MLA150" s="6"/>
      <c r="MLB150" s="6"/>
      <c r="MLC150" s="6"/>
      <c r="MLD150" s="6"/>
      <c r="MLE150" s="6"/>
      <c r="MLF150" s="6"/>
      <c r="MLG150" s="6"/>
      <c r="MLH150" s="6"/>
      <c r="MLI150" s="6"/>
      <c r="MLJ150" s="6"/>
      <c r="MLK150" s="6"/>
      <c r="MLL150" s="6"/>
      <c r="MLM150" s="6"/>
      <c r="MLN150" s="6"/>
      <c r="MLO150" s="6"/>
      <c r="MLP150" s="6"/>
      <c r="MLQ150" s="6"/>
      <c r="MLR150" s="6"/>
      <c r="MLS150" s="6"/>
      <c r="MLT150" s="6"/>
      <c r="MLU150" s="6"/>
      <c r="MLV150" s="6"/>
      <c r="MLW150" s="6"/>
      <c r="MLX150" s="6"/>
      <c r="MLY150" s="6"/>
      <c r="MLZ150" s="6"/>
      <c r="MMA150" s="6"/>
      <c r="MMB150" s="6"/>
      <c r="MMC150" s="6"/>
      <c r="MMD150" s="6"/>
      <c r="MME150" s="6"/>
      <c r="MMF150" s="6"/>
      <c r="MMG150" s="6"/>
      <c r="MMH150" s="6"/>
      <c r="MMI150" s="6"/>
      <c r="MMJ150" s="6"/>
      <c r="MMK150" s="6"/>
      <c r="MML150" s="6"/>
      <c r="MMM150" s="6"/>
      <c r="MMN150" s="6"/>
      <c r="MMO150" s="6"/>
      <c r="MMP150" s="6"/>
      <c r="MMQ150" s="6"/>
      <c r="MMR150" s="6"/>
      <c r="MMS150" s="6"/>
      <c r="MMT150" s="6"/>
      <c r="MMU150" s="6"/>
      <c r="MMV150" s="6"/>
      <c r="MMW150" s="6"/>
      <c r="MMX150" s="6"/>
      <c r="MMY150" s="6"/>
      <c r="MMZ150" s="6"/>
      <c r="MNA150" s="6"/>
      <c r="MNB150" s="6"/>
      <c r="MNC150" s="6"/>
      <c r="MND150" s="6"/>
      <c r="MNE150" s="6"/>
      <c r="MNF150" s="6"/>
      <c r="MNG150" s="6"/>
      <c r="MNH150" s="6"/>
      <c r="MNI150" s="6"/>
      <c r="MNJ150" s="6"/>
      <c r="MNK150" s="6"/>
      <c r="MNL150" s="6"/>
      <c r="MNM150" s="6"/>
      <c r="MNN150" s="6"/>
      <c r="MNO150" s="6"/>
      <c r="MNP150" s="6"/>
      <c r="MNQ150" s="6"/>
      <c r="MNR150" s="6"/>
      <c r="MNS150" s="6"/>
      <c r="MNT150" s="6"/>
      <c r="MNU150" s="6"/>
      <c r="MNV150" s="6"/>
      <c r="MNW150" s="6"/>
      <c r="MNX150" s="6"/>
      <c r="MNY150" s="6"/>
      <c r="MNZ150" s="6"/>
      <c r="MOA150" s="6"/>
      <c r="MOB150" s="6"/>
      <c r="MOC150" s="6"/>
      <c r="MOD150" s="6"/>
      <c r="MOE150" s="6"/>
      <c r="MOF150" s="6"/>
      <c r="MOG150" s="6"/>
      <c r="MOH150" s="6"/>
      <c r="MOI150" s="6"/>
      <c r="MOJ150" s="6"/>
      <c r="MOK150" s="6"/>
      <c r="MOL150" s="6"/>
      <c r="MOM150" s="6"/>
      <c r="MON150" s="6"/>
      <c r="MOO150" s="6"/>
      <c r="MOP150" s="6"/>
      <c r="MOQ150" s="6"/>
      <c r="MOR150" s="6"/>
      <c r="MOS150" s="6"/>
      <c r="MOT150" s="6"/>
      <c r="MOU150" s="6"/>
      <c r="MOV150" s="6"/>
      <c r="MOW150" s="6"/>
      <c r="MOX150" s="6"/>
      <c r="MOY150" s="6"/>
      <c r="MOZ150" s="6"/>
      <c r="MPA150" s="6"/>
      <c r="MPB150" s="6"/>
      <c r="MPC150" s="6"/>
      <c r="MPD150" s="6"/>
      <c r="MPE150" s="6"/>
      <c r="MPF150" s="6"/>
      <c r="MPG150" s="6"/>
      <c r="MPH150" s="6"/>
      <c r="MPI150" s="6"/>
      <c r="MPJ150" s="6"/>
      <c r="MPK150" s="6"/>
      <c r="MPL150" s="6"/>
      <c r="MPM150" s="6"/>
      <c r="MPN150" s="6"/>
      <c r="MPO150" s="6"/>
      <c r="MPP150" s="6"/>
      <c r="MPQ150" s="6"/>
      <c r="MPR150" s="6"/>
      <c r="MPS150" s="6"/>
      <c r="MPT150" s="6"/>
      <c r="MPU150" s="6"/>
      <c r="MPV150" s="6"/>
      <c r="MPW150" s="6"/>
      <c r="MPX150" s="6"/>
      <c r="MPY150" s="6"/>
      <c r="MPZ150" s="6"/>
      <c r="MQA150" s="6"/>
      <c r="MQB150" s="6"/>
      <c r="MQC150" s="6"/>
      <c r="MQD150" s="6"/>
      <c r="MQE150" s="6"/>
      <c r="MQF150" s="6"/>
      <c r="MQG150" s="6"/>
      <c r="MQH150" s="6"/>
      <c r="MQI150" s="6"/>
      <c r="MQJ150" s="6"/>
      <c r="MQK150" s="6"/>
      <c r="MQL150" s="6"/>
      <c r="MQM150" s="6"/>
      <c r="MQN150" s="6"/>
      <c r="MQO150" s="6"/>
      <c r="MQP150" s="6"/>
      <c r="MQQ150" s="6"/>
      <c r="MQR150" s="6"/>
      <c r="MQS150" s="6"/>
      <c r="MQT150" s="6"/>
      <c r="MQU150" s="6"/>
      <c r="MQV150" s="6"/>
      <c r="MQW150" s="6"/>
      <c r="MQX150" s="6"/>
      <c r="MQY150" s="6"/>
      <c r="MQZ150" s="6"/>
      <c r="MRA150" s="6"/>
      <c r="MRB150" s="6"/>
      <c r="MRC150" s="6"/>
      <c r="MRD150" s="6"/>
      <c r="MRE150" s="6"/>
      <c r="MRF150" s="6"/>
      <c r="MRG150" s="6"/>
      <c r="MRH150" s="6"/>
      <c r="MRI150" s="6"/>
      <c r="MRJ150" s="6"/>
      <c r="MRK150" s="6"/>
      <c r="MRL150" s="6"/>
      <c r="MRM150" s="6"/>
      <c r="MRN150" s="6"/>
      <c r="MRO150" s="6"/>
      <c r="MRP150" s="6"/>
      <c r="MRQ150" s="6"/>
      <c r="MRR150" s="6"/>
      <c r="MRS150" s="6"/>
      <c r="MRT150" s="6"/>
      <c r="MRU150" s="6"/>
      <c r="MRV150" s="6"/>
      <c r="MRW150" s="6"/>
      <c r="MRX150" s="6"/>
      <c r="MRY150" s="6"/>
      <c r="MRZ150" s="6"/>
      <c r="MSA150" s="6"/>
      <c r="MSB150" s="6"/>
      <c r="MSC150" s="6"/>
      <c r="MSD150" s="6"/>
      <c r="MSE150" s="6"/>
      <c r="MSF150" s="6"/>
      <c r="MSG150" s="6"/>
      <c r="MSH150" s="6"/>
      <c r="MSI150" s="6"/>
      <c r="MSJ150" s="6"/>
      <c r="MSK150" s="6"/>
      <c r="MSL150" s="6"/>
      <c r="MSM150" s="6"/>
      <c r="MSN150" s="6"/>
      <c r="MSO150" s="6"/>
      <c r="MSP150" s="6"/>
      <c r="MSQ150" s="6"/>
      <c r="MSR150" s="6"/>
      <c r="MSS150" s="6"/>
      <c r="MST150" s="6"/>
      <c r="MSU150" s="6"/>
      <c r="MSV150" s="6"/>
      <c r="MSW150" s="6"/>
      <c r="MSX150" s="6"/>
      <c r="MSY150" s="6"/>
      <c r="MSZ150" s="6"/>
      <c r="MTA150" s="6"/>
      <c r="MTB150" s="6"/>
      <c r="MTC150" s="6"/>
      <c r="MTD150" s="6"/>
      <c r="MTE150" s="6"/>
      <c r="MTF150" s="6"/>
      <c r="MTG150" s="6"/>
      <c r="MTH150" s="6"/>
      <c r="MTI150" s="6"/>
      <c r="MTJ150" s="6"/>
      <c r="MTK150" s="6"/>
      <c r="MTL150" s="6"/>
      <c r="MTM150" s="6"/>
      <c r="MTN150" s="6"/>
      <c r="MTO150" s="6"/>
      <c r="MTP150" s="6"/>
      <c r="MTQ150" s="6"/>
      <c r="MTR150" s="6"/>
      <c r="MTS150" s="6"/>
      <c r="MTT150" s="6"/>
      <c r="MTU150" s="6"/>
      <c r="MTV150" s="6"/>
      <c r="MTW150" s="6"/>
      <c r="MTX150" s="6"/>
      <c r="MTY150" s="6"/>
      <c r="MTZ150" s="6"/>
      <c r="MUA150" s="6"/>
      <c r="MUB150" s="6"/>
      <c r="MUC150" s="6"/>
      <c r="MUD150" s="6"/>
      <c r="MUE150" s="6"/>
      <c r="MUF150" s="6"/>
      <c r="MUG150" s="6"/>
      <c r="MUH150" s="6"/>
      <c r="MUI150" s="6"/>
      <c r="MUJ150" s="6"/>
      <c r="MUK150" s="6"/>
      <c r="MUL150" s="6"/>
      <c r="MUM150" s="6"/>
      <c r="MUN150" s="6"/>
      <c r="MUO150" s="6"/>
      <c r="MUP150" s="6"/>
      <c r="MUQ150" s="6"/>
      <c r="MUR150" s="6"/>
      <c r="MUS150" s="6"/>
      <c r="MUT150" s="6"/>
      <c r="MUU150" s="6"/>
      <c r="MUV150" s="6"/>
      <c r="MUW150" s="6"/>
      <c r="MUX150" s="6"/>
      <c r="MUY150" s="6"/>
      <c r="MUZ150" s="6"/>
      <c r="MVA150" s="6"/>
      <c r="MVB150" s="6"/>
      <c r="MVC150" s="6"/>
      <c r="MVD150" s="6"/>
      <c r="MVE150" s="6"/>
      <c r="MVF150" s="6"/>
      <c r="MVG150" s="6"/>
      <c r="MVH150" s="6"/>
      <c r="MVI150" s="6"/>
      <c r="MVJ150" s="6"/>
      <c r="MVK150" s="6"/>
      <c r="MVL150" s="6"/>
      <c r="MVM150" s="6"/>
      <c r="MVN150" s="6"/>
      <c r="MVO150" s="6"/>
      <c r="MVP150" s="6"/>
      <c r="MVQ150" s="6"/>
      <c r="MVR150" s="6"/>
      <c r="MVS150" s="6"/>
      <c r="MVT150" s="6"/>
      <c r="MVU150" s="6"/>
      <c r="MVV150" s="6"/>
      <c r="MVW150" s="6"/>
      <c r="MVX150" s="6"/>
      <c r="MVY150" s="6"/>
      <c r="MVZ150" s="6"/>
      <c r="MWA150" s="6"/>
      <c r="MWB150" s="6"/>
      <c r="MWC150" s="6"/>
      <c r="MWD150" s="6"/>
      <c r="MWE150" s="6"/>
      <c r="MWF150" s="6"/>
      <c r="MWG150" s="6"/>
      <c r="MWH150" s="6"/>
      <c r="MWI150" s="6"/>
      <c r="MWJ150" s="6"/>
      <c r="MWK150" s="6"/>
      <c r="MWL150" s="6"/>
      <c r="MWM150" s="6"/>
      <c r="MWN150" s="6"/>
      <c r="MWO150" s="6"/>
      <c r="MWP150" s="6"/>
      <c r="MWQ150" s="6"/>
      <c r="MWR150" s="6"/>
      <c r="MWS150" s="6"/>
      <c r="MWT150" s="6"/>
      <c r="MWU150" s="6"/>
      <c r="MWV150" s="6"/>
      <c r="MWW150" s="6"/>
      <c r="MWX150" s="6"/>
      <c r="MWY150" s="6"/>
      <c r="MWZ150" s="6"/>
      <c r="MXA150" s="6"/>
      <c r="MXB150" s="6"/>
      <c r="MXC150" s="6"/>
      <c r="MXD150" s="6"/>
      <c r="MXE150" s="6"/>
      <c r="MXF150" s="6"/>
      <c r="MXG150" s="6"/>
      <c r="MXH150" s="6"/>
      <c r="MXI150" s="6"/>
      <c r="MXJ150" s="6"/>
      <c r="MXK150" s="6"/>
      <c r="MXL150" s="6"/>
      <c r="MXM150" s="6"/>
      <c r="MXN150" s="6"/>
      <c r="MXO150" s="6"/>
      <c r="MXP150" s="6"/>
      <c r="MXQ150" s="6"/>
      <c r="MXR150" s="6"/>
      <c r="MXS150" s="6"/>
      <c r="MXT150" s="6"/>
      <c r="MXU150" s="6"/>
      <c r="MXV150" s="6"/>
      <c r="MXW150" s="6"/>
      <c r="MXX150" s="6"/>
      <c r="MXY150" s="6"/>
      <c r="MXZ150" s="6"/>
      <c r="MYA150" s="6"/>
      <c r="MYB150" s="6"/>
      <c r="MYC150" s="6"/>
      <c r="MYD150" s="6"/>
      <c r="MYE150" s="6"/>
      <c r="MYF150" s="6"/>
      <c r="MYG150" s="6"/>
      <c r="MYH150" s="6"/>
      <c r="MYI150" s="6"/>
      <c r="MYJ150" s="6"/>
      <c r="MYK150" s="6"/>
      <c r="MYL150" s="6"/>
      <c r="MYM150" s="6"/>
      <c r="MYN150" s="6"/>
      <c r="MYO150" s="6"/>
      <c r="MYP150" s="6"/>
      <c r="MYQ150" s="6"/>
      <c r="MYR150" s="6"/>
      <c r="MYS150" s="6"/>
      <c r="MYT150" s="6"/>
      <c r="MYU150" s="6"/>
      <c r="MYV150" s="6"/>
      <c r="MYW150" s="6"/>
      <c r="MYX150" s="6"/>
      <c r="MYY150" s="6"/>
      <c r="MYZ150" s="6"/>
      <c r="MZA150" s="6"/>
      <c r="MZB150" s="6"/>
      <c r="MZC150" s="6"/>
      <c r="MZD150" s="6"/>
      <c r="MZE150" s="6"/>
      <c r="MZF150" s="6"/>
      <c r="MZG150" s="6"/>
      <c r="MZH150" s="6"/>
      <c r="MZI150" s="6"/>
      <c r="MZJ150" s="6"/>
      <c r="MZK150" s="6"/>
      <c r="MZL150" s="6"/>
      <c r="MZM150" s="6"/>
      <c r="MZN150" s="6"/>
      <c r="MZO150" s="6"/>
      <c r="MZP150" s="6"/>
      <c r="MZQ150" s="6"/>
      <c r="MZR150" s="6"/>
      <c r="MZS150" s="6"/>
      <c r="MZT150" s="6"/>
      <c r="MZU150" s="6"/>
      <c r="MZV150" s="6"/>
      <c r="MZW150" s="6"/>
      <c r="MZX150" s="6"/>
      <c r="MZY150" s="6"/>
      <c r="MZZ150" s="6"/>
      <c r="NAA150" s="6"/>
      <c r="NAB150" s="6"/>
      <c r="NAC150" s="6"/>
      <c r="NAD150" s="6"/>
      <c r="NAE150" s="6"/>
      <c r="NAF150" s="6"/>
      <c r="NAG150" s="6"/>
      <c r="NAH150" s="6"/>
      <c r="NAI150" s="6"/>
      <c r="NAJ150" s="6"/>
      <c r="NAK150" s="6"/>
      <c r="NAL150" s="6"/>
      <c r="NAM150" s="6"/>
      <c r="NAN150" s="6"/>
      <c r="NAO150" s="6"/>
      <c r="NAP150" s="6"/>
      <c r="NAQ150" s="6"/>
      <c r="NAR150" s="6"/>
      <c r="NAS150" s="6"/>
      <c r="NAT150" s="6"/>
      <c r="NAU150" s="6"/>
      <c r="NAV150" s="6"/>
      <c r="NAW150" s="6"/>
      <c r="NAX150" s="6"/>
      <c r="NAY150" s="6"/>
      <c r="NAZ150" s="6"/>
      <c r="NBA150" s="6"/>
      <c r="NBB150" s="6"/>
      <c r="NBC150" s="6"/>
      <c r="NBD150" s="6"/>
      <c r="NBE150" s="6"/>
      <c r="NBF150" s="6"/>
      <c r="NBG150" s="6"/>
      <c r="NBH150" s="6"/>
      <c r="NBI150" s="6"/>
      <c r="NBJ150" s="6"/>
      <c r="NBK150" s="6"/>
      <c r="NBL150" s="6"/>
      <c r="NBM150" s="6"/>
      <c r="NBN150" s="6"/>
      <c r="NBO150" s="6"/>
      <c r="NBP150" s="6"/>
      <c r="NBQ150" s="6"/>
      <c r="NBR150" s="6"/>
      <c r="NBS150" s="6"/>
      <c r="NBT150" s="6"/>
      <c r="NBU150" s="6"/>
      <c r="NBV150" s="6"/>
      <c r="NBW150" s="6"/>
      <c r="NBX150" s="6"/>
      <c r="NBY150" s="6"/>
      <c r="NBZ150" s="6"/>
      <c r="NCA150" s="6"/>
      <c r="NCB150" s="6"/>
      <c r="NCC150" s="6"/>
      <c r="NCD150" s="6"/>
      <c r="NCE150" s="6"/>
      <c r="NCF150" s="6"/>
      <c r="NCG150" s="6"/>
      <c r="NCH150" s="6"/>
      <c r="NCI150" s="6"/>
      <c r="NCJ150" s="6"/>
      <c r="NCK150" s="6"/>
      <c r="NCL150" s="6"/>
      <c r="NCM150" s="6"/>
      <c r="NCN150" s="6"/>
      <c r="NCO150" s="6"/>
      <c r="NCP150" s="6"/>
      <c r="NCQ150" s="6"/>
      <c r="NCR150" s="6"/>
      <c r="NCS150" s="6"/>
      <c r="NCT150" s="6"/>
      <c r="NCU150" s="6"/>
      <c r="NCV150" s="6"/>
      <c r="NCW150" s="6"/>
      <c r="NCX150" s="6"/>
      <c r="NCY150" s="6"/>
      <c r="NCZ150" s="6"/>
      <c r="NDA150" s="6"/>
      <c r="NDB150" s="6"/>
      <c r="NDC150" s="6"/>
      <c r="NDD150" s="6"/>
      <c r="NDE150" s="6"/>
      <c r="NDF150" s="6"/>
      <c r="NDG150" s="6"/>
      <c r="NDH150" s="6"/>
      <c r="NDI150" s="6"/>
      <c r="NDJ150" s="6"/>
      <c r="NDK150" s="6"/>
      <c r="NDL150" s="6"/>
      <c r="NDM150" s="6"/>
      <c r="NDN150" s="6"/>
      <c r="NDO150" s="6"/>
      <c r="NDP150" s="6"/>
      <c r="NDQ150" s="6"/>
      <c r="NDR150" s="6"/>
      <c r="NDS150" s="6"/>
      <c r="NDT150" s="6"/>
      <c r="NDU150" s="6"/>
      <c r="NDV150" s="6"/>
      <c r="NDW150" s="6"/>
      <c r="NDX150" s="6"/>
      <c r="NDY150" s="6"/>
      <c r="NDZ150" s="6"/>
      <c r="NEA150" s="6"/>
      <c r="NEB150" s="6"/>
      <c r="NEC150" s="6"/>
      <c r="NED150" s="6"/>
      <c r="NEE150" s="6"/>
      <c r="NEF150" s="6"/>
      <c r="NEG150" s="6"/>
      <c r="NEH150" s="6"/>
      <c r="NEI150" s="6"/>
      <c r="NEJ150" s="6"/>
      <c r="NEK150" s="6"/>
      <c r="NEL150" s="6"/>
      <c r="NEM150" s="6"/>
      <c r="NEN150" s="6"/>
      <c r="NEO150" s="6"/>
      <c r="NEP150" s="6"/>
      <c r="NEQ150" s="6"/>
      <c r="NER150" s="6"/>
      <c r="NES150" s="6"/>
      <c r="NET150" s="6"/>
      <c r="NEU150" s="6"/>
      <c r="NEV150" s="6"/>
      <c r="NEW150" s="6"/>
      <c r="NEX150" s="6"/>
      <c r="NEY150" s="6"/>
      <c r="NEZ150" s="6"/>
      <c r="NFA150" s="6"/>
      <c r="NFB150" s="6"/>
      <c r="NFC150" s="6"/>
      <c r="NFD150" s="6"/>
      <c r="NFE150" s="6"/>
      <c r="NFF150" s="6"/>
      <c r="NFG150" s="6"/>
      <c r="NFH150" s="6"/>
      <c r="NFI150" s="6"/>
      <c r="NFJ150" s="6"/>
      <c r="NFK150" s="6"/>
      <c r="NFL150" s="6"/>
      <c r="NFM150" s="6"/>
      <c r="NFN150" s="6"/>
      <c r="NFO150" s="6"/>
      <c r="NFP150" s="6"/>
      <c r="NFQ150" s="6"/>
      <c r="NFR150" s="6"/>
      <c r="NFS150" s="6"/>
      <c r="NFT150" s="6"/>
      <c r="NFU150" s="6"/>
      <c r="NFV150" s="6"/>
      <c r="NFW150" s="6"/>
      <c r="NFX150" s="6"/>
      <c r="NFY150" s="6"/>
      <c r="NFZ150" s="6"/>
      <c r="NGA150" s="6"/>
      <c r="NGB150" s="6"/>
      <c r="NGC150" s="6"/>
      <c r="NGD150" s="6"/>
      <c r="NGE150" s="6"/>
      <c r="NGF150" s="6"/>
      <c r="NGG150" s="6"/>
      <c r="NGH150" s="6"/>
      <c r="NGI150" s="6"/>
      <c r="NGJ150" s="6"/>
      <c r="NGK150" s="6"/>
      <c r="NGL150" s="6"/>
      <c r="NGM150" s="6"/>
      <c r="NGN150" s="6"/>
      <c r="NGO150" s="6"/>
      <c r="NGP150" s="6"/>
      <c r="NGQ150" s="6"/>
      <c r="NGR150" s="6"/>
      <c r="NGS150" s="6"/>
      <c r="NGT150" s="6"/>
      <c r="NGU150" s="6"/>
      <c r="NGV150" s="6"/>
      <c r="NGW150" s="6"/>
      <c r="NGX150" s="6"/>
      <c r="NGY150" s="6"/>
      <c r="NGZ150" s="6"/>
      <c r="NHA150" s="6"/>
      <c r="NHB150" s="6"/>
      <c r="NHC150" s="6"/>
      <c r="NHD150" s="6"/>
      <c r="NHE150" s="6"/>
      <c r="NHF150" s="6"/>
      <c r="NHG150" s="6"/>
      <c r="NHH150" s="6"/>
      <c r="NHI150" s="6"/>
      <c r="NHJ150" s="6"/>
      <c r="NHK150" s="6"/>
      <c r="NHL150" s="6"/>
      <c r="NHM150" s="6"/>
      <c r="NHN150" s="6"/>
      <c r="NHO150" s="6"/>
      <c r="NHP150" s="6"/>
      <c r="NHQ150" s="6"/>
      <c r="NHR150" s="6"/>
      <c r="NHS150" s="6"/>
      <c r="NHT150" s="6"/>
      <c r="NHU150" s="6"/>
      <c r="NHV150" s="6"/>
      <c r="NHW150" s="6"/>
      <c r="NHX150" s="6"/>
      <c r="NHY150" s="6"/>
      <c r="NHZ150" s="6"/>
      <c r="NIA150" s="6"/>
      <c r="NIB150" s="6"/>
      <c r="NIC150" s="6"/>
      <c r="NID150" s="6"/>
      <c r="NIE150" s="6"/>
      <c r="NIF150" s="6"/>
      <c r="NIG150" s="6"/>
      <c r="NIH150" s="6"/>
      <c r="NII150" s="6"/>
      <c r="NIJ150" s="6"/>
      <c r="NIK150" s="6"/>
      <c r="NIL150" s="6"/>
      <c r="NIM150" s="6"/>
      <c r="NIN150" s="6"/>
      <c r="NIO150" s="6"/>
      <c r="NIP150" s="6"/>
      <c r="NIQ150" s="6"/>
      <c r="NIR150" s="6"/>
      <c r="NIS150" s="6"/>
      <c r="NIT150" s="6"/>
      <c r="NIU150" s="6"/>
      <c r="NIV150" s="6"/>
      <c r="NIW150" s="6"/>
      <c r="NIX150" s="6"/>
      <c r="NIY150" s="6"/>
      <c r="NIZ150" s="6"/>
      <c r="NJA150" s="6"/>
      <c r="NJB150" s="6"/>
      <c r="NJC150" s="6"/>
      <c r="NJD150" s="6"/>
      <c r="NJE150" s="6"/>
      <c r="NJF150" s="6"/>
      <c r="NJG150" s="6"/>
      <c r="NJH150" s="6"/>
      <c r="NJI150" s="6"/>
      <c r="NJJ150" s="6"/>
      <c r="NJK150" s="6"/>
      <c r="NJL150" s="6"/>
      <c r="NJM150" s="6"/>
      <c r="NJN150" s="6"/>
      <c r="NJO150" s="6"/>
      <c r="NJP150" s="6"/>
      <c r="NJQ150" s="6"/>
      <c r="NJR150" s="6"/>
      <c r="NJS150" s="6"/>
      <c r="NJT150" s="6"/>
      <c r="NJU150" s="6"/>
      <c r="NJV150" s="6"/>
      <c r="NJW150" s="6"/>
      <c r="NJX150" s="6"/>
      <c r="NJY150" s="6"/>
      <c r="NJZ150" s="6"/>
      <c r="NKA150" s="6"/>
      <c r="NKB150" s="6"/>
      <c r="NKC150" s="6"/>
      <c r="NKD150" s="6"/>
      <c r="NKE150" s="6"/>
      <c r="NKF150" s="6"/>
      <c r="NKG150" s="6"/>
      <c r="NKH150" s="6"/>
      <c r="NKI150" s="6"/>
      <c r="NKJ150" s="6"/>
      <c r="NKK150" s="6"/>
      <c r="NKL150" s="6"/>
      <c r="NKM150" s="6"/>
      <c r="NKN150" s="6"/>
      <c r="NKO150" s="6"/>
      <c r="NKP150" s="6"/>
      <c r="NKQ150" s="6"/>
      <c r="NKR150" s="6"/>
      <c r="NKS150" s="6"/>
      <c r="NKT150" s="6"/>
      <c r="NKU150" s="6"/>
      <c r="NKV150" s="6"/>
      <c r="NKW150" s="6"/>
      <c r="NKX150" s="6"/>
      <c r="NKY150" s="6"/>
      <c r="NKZ150" s="6"/>
      <c r="NLA150" s="6"/>
      <c r="NLB150" s="6"/>
      <c r="NLC150" s="6"/>
      <c r="NLD150" s="6"/>
      <c r="NLE150" s="6"/>
      <c r="NLF150" s="6"/>
      <c r="NLG150" s="6"/>
      <c r="NLH150" s="6"/>
      <c r="NLI150" s="6"/>
      <c r="NLJ150" s="6"/>
      <c r="NLK150" s="6"/>
      <c r="NLL150" s="6"/>
      <c r="NLM150" s="6"/>
      <c r="NLN150" s="6"/>
      <c r="NLO150" s="6"/>
      <c r="NLP150" s="6"/>
      <c r="NLQ150" s="6"/>
      <c r="NLR150" s="6"/>
      <c r="NLS150" s="6"/>
      <c r="NLT150" s="6"/>
      <c r="NLU150" s="6"/>
      <c r="NLV150" s="6"/>
      <c r="NLW150" s="6"/>
      <c r="NLX150" s="6"/>
      <c r="NLY150" s="6"/>
      <c r="NLZ150" s="6"/>
      <c r="NMA150" s="6"/>
      <c r="NMB150" s="6"/>
      <c r="NMC150" s="6"/>
      <c r="NMD150" s="6"/>
      <c r="NME150" s="6"/>
      <c r="NMF150" s="6"/>
      <c r="NMG150" s="6"/>
      <c r="NMH150" s="6"/>
      <c r="NMI150" s="6"/>
      <c r="NMJ150" s="6"/>
      <c r="NMK150" s="6"/>
      <c r="NML150" s="6"/>
      <c r="NMM150" s="6"/>
      <c r="NMN150" s="6"/>
      <c r="NMO150" s="6"/>
      <c r="NMP150" s="6"/>
      <c r="NMQ150" s="6"/>
      <c r="NMR150" s="6"/>
      <c r="NMS150" s="6"/>
      <c r="NMT150" s="6"/>
      <c r="NMU150" s="6"/>
      <c r="NMV150" s="6"/>
      <c r="NMW150" s="6"/>
      <c r="NMX150" s="6"/>
      <c r="NMY150" s="6"/>
      <c r="NMZ150" s="6"/>
      <c r="NNA150" s="6"/>
      <c r="NNB150" s="6"/>
      <c r="NNC150" s="6"/>
      <c r="NND150" s="6"/>
      <c r="NNE150" s="6"/>
      <c r="NNF150" s="6"/>
      <c r="NNG150" s="6"/>
      <c r="NNH150" s="6"/>
      <c r="NNI150" s="6"/>
      <c r="NNJ150" s="6"/>
      <c r="NNK150" s="6"/>
      <c r="NNL150" s="6"/>
      <c r="NNM150" s="6"/>
      <c r="NNN150" s="6"/>
      <c r="NNO150" s="6"/>
      <c r="NNP150" s="6"/>
      <c r="NNQ150" s="6"/>
      <c r="NNR150" s="6"/>
      <c r="NNS150" s="6"/>
      <c r="NNT150" s="6"/>
      <c r="NNU150" s="6"/>
      <c r="NNV150" s="6"/>
      <c r="NNW150" s="6"/>
      <c r="NNX150" s="6"/>
      <c r="NNY150" s="6"/>
      <c r="NNZ150" s="6"/>
      <c r="NOA150" s="6"/>
      <c r="NOB150" s="6"/>
      <c r="NOC150" s="6"/>
      <c r="NOD150" s="6"/>
      <c r="NOE150" s="6"/>
      <c r="NOF150" s="6"/>
      <c r="NOG150" s="6"/>
      <c r="NOH150" s="6"/>
      <c r="NOI150" s="6"/>
      <c r="NOJ150" s="6"/>
      <c r="NOK150" s="6"/>
      <c r="NOL150" s="6"/>
      <c r="NOM150" s="6"/>
      <c r="NON150" s="6"/>
      <c r="NOO150" s="6"/>
      <c r="NOP150" s="6"/>
      <c r="NOQ150" s="6"/>
      <c r="NOR150" s="6"/>
      <c r="NOS150" s="6"/>
      <c r="NOT150" s="6"/>
      <c r="NOU150" s="6"/>
      <c r="NOV150" s="6"/>
      <c r="NOW150" s="6"/>
      <c r="NOX150" s="6"/>
      <c r="NOY150" s="6"/>
      <c r="NOZ150" s="6"/>
      <c r="NPA150" s="6"/>
      <c r="NPB150" s="6"/>
      <c r="NPC150" s="6"/>
      <c r="NPD150" s="6"/>
      <c r="NPE150" s="6"/>
      <c r="NPF150" s="6"/>
      <c r="NPG150" s="6"/>
      <c r="NPH150" s="6"/>
      <c r="NPI150" s="6"/>
      <c r="NPJ150" s="6"/>
      <c r="NPK150" s="6"/>
      <c r="NPL150" s="6"/>
      <c r="NPM150" s="6"/>
      <c r="NPN150" s="6"/>
      <c r="NPO150" s="6"/>
      <c r="NPP150" s="6"/>
      <c r="NPQ150" s="6"/>
      <c r="NPR150" s="6"/>
      <c r="NPS150" s="6"/>
      <c r="NPT150" s="6"/>
      <c r="NPU150" s="6"/>
      <c r="NPV150" s="6"/>
      <c r="NPW150" s="6"/>
      <c r="NPX150" s="6"/>
      <c r="NPY150" s="6"/>
      <c r="NPZ150" s="6"/>
      <c r="NQA150" s="6"/>
      <c r="NQB150" s="6"/>
      <c r="NQC150" s="6"/>
      <c r="NQD150" s="6"/>
      <c r="NQE150" s="6"/>
      <c r="NQF150" s="6"/>
      <c r="NQG150" s="6"/>
      <c r="NQH150" s="6"/>
      <c r="NQI150" s="6"/>
      <c r="NQJ150" s="6"/>
      <c r="NQK150" s="6"/>
      <c r="NQL150" s="6"/>
      <c r="NQM150" s="6"/>
      <c r="NQN150" s="6"/>
      <c r="NQO150" s="6"/>
      <c r="NQP150" s="6"/>
      <c r="NQQ150" s="6"/>
      <c r="NQR150" s="6"/>
      <c r="NQS150" s="6"/>
      <c r="NQT150" s="6"/>
      <c r="NQU150" s="6"/>
      <c r="NQV150" s="6"/>
      <c r="NQW150" s="6"/>
      <c r="NQX150" s="6"/>
      <c r="NQY150" s="6"/>
      <c r="NQZ150" s="6"/>
      <c r="NRA150" s="6"/>
      <c r="NRB150" s="6"/>
      <c r="NRC150" s="6"/>
      <c r="NRD150" s="6"/>
      <c r="NRE150" s="6"/>
      <c r="NRF150" s="6"/>
      <c r="NRG150" s="6"/>
      <c r="NRH150" s="6"/>
      <c r="NRI150" s="6"/>
      <c r="NRJ150" s="6"/>
      <c r="NRK150" s="6"/>
      <c r="NRL150" s="6"/>
      <c r="NRM150" s="6"/>
      <c r="NRN150" s="6"/>
      <c r="NRO150" s="6"/>
      <c r="NRP150" s="6"/>
      <c r="NRQ150" s="6"/>
      <c r="NRR150" s="6"/>
      <c r="NRS150" s="6"/>
      <c r="NRT150" s="6"/>
      <c r="NRU150" s="6"/>
      <c r="NRV150" s="6"/>
      <c r="NRW150" s="6"/>
      <c r="NRX150" s="6"/>
      <c r="NRY150" s="6"/>
      <c r="NRZ150" s="6"/>
      <c r="NSA150" s="6"/>
      <c r="NSB150" s="6"/>
      <c r="NSC150" s="6"/>
      <c r="NSD150" s="6"/>
      <c r="NSE150" s="6"/>
      <c r="NSF150" s="6"/>
      <c r="NSG150" s="6"/>
      <c r="NSH150" s="6"/>
      <c r="NSI150" s="6"/>
      <c r="NSJ150" s="6"/>
      <c r="NSK150" s="6"/>
      <c r="NSL150" s="6"/>
      <c r="NSM150" s="6"/>
      <c r="NSN150" s="6"/>
      <c r="NSO150" s="6"/>
      <c r="NSP150" s="6"/>
      <c r="NSQ150" s="6"/>
      <c r="NSR150" s="6"/>
      <c r="NSS150" s="6"/>
      <c r="NST150" s="6"/>
      <c r="NSU150" s="6"/>
      <c r="NSV150" s="6"/>
      <c r="NSW150" s="6"/>
      <c r="NSX150" s="6"/>
      <c r="NSY150" s="6"/>
      <c r="NSZ150" s="6"/>
      <c r="NTA150" s="6"/>
      <c r="NTB150" s="6"/>
      <c r="NTC150" s="6"/>
      <c r="NTD150" s="6"/>
      <c r="NTE150" s="6"/>
      <c r="NTF150" s="6"/>
      <c r="NTG150" s="6"/>
      <c r="NTH150" s="6"/>
      <c r="NTI150" s="6"/>
      <c r="NTJ150" s="6"/>
      <c r="NTK150" s="6"/>
      <c r="NTL150" s="6"/>
      <c r="NTM150" s="6"/>
      <c r="NTN150" s="6"/>
      <c r="NTO150" s="6"/>
      <c r="NTP150" s="6"/>
      <c r="NTQ150" s="6"/>
      <c r="NTR150" s="6"/>
      <c r="NTS150" s="6"/>
      <c r="NTT150" s="6"/>
      <c r="NTU150" s="6"/>
      <c r="NTV150" s="6"/>
      <c r="NTW150" s="6"/>
      <c r="NTX150" s="6"/>
      <c r="NTY150" s="6"/>
      <c r="NTZ150" s="6"/>
      <c r="NUA150" s="6"/>
      <c r="NUB150" s="6"/>
      <c r="NUC150" s="6"/>
      <c r="NUD150" s="6"/>
      <c r="NUE150" s="6"/>
      <c r="NUF150" s="6"/>
      <c r="NUG150" s="6"/>
      <c r="NUH150" s="6"/>
      <c r="NUI150" s="6"/>
      <c r="NUJ150" s="6"/>
      <c r="NUK150" s="6"/>
      <c r="NUL150" s="6"/>
      <c r="NUM150" s="6"/>
      <c r="NUN150" s="6"/>
      <c r="NUO150" s="6"/>
      <c r="NUP150" s="6"/>
      <c r="NUQ150" s="6"/>
      <c r="NUR150" s="6"/>
      <c r="NUS150" s="6"/>
      <c r="NUT150" s="6"/>
      <c r="NUU150" s="6"/>
      <c r="NUV150" s="6"/>
      <c r="NUW150" s="6"/>
      <c r="NUX150" s="6"/>
      <c r="NUY150" s="6"/>
      <c r="NUZ150" s="6"/>
      <c r="NVA150" s="6"/>
      <c r="NVB150" s="6"/>
      <c r="NVC150" s="6"/>
      <c r="NVD150" s="6"/>
      <c r="NVE150" s="6"/>
      <c r="NVF150" s="6"/>
      <c r="NVG150" s="6"/>
      <c r="NVH150" s="6"/>
      <c r="NVI150" s="6"/>
      <c r="NVJ150" s="6"/>
      <c r="NVK150" s="6"/>
      <c r="NVL150" s="6"/>
      <c r="NVM150" s="6"/>
      <c r="NVN150" s="6"/>
      <c r="NVO150" s="6"/>
      <c r="NVP150" s="6"/>
      <c r="NVQ150" s="6"/>
      <c r="NVR150" s="6"/>
      <c r="NVS150" s="6"/>
      <c r="NVT150" s="6"/>
      <c r="NVU150" s="6"/>
      <c r="NVV150" s="6"/>
      <c r="NVW150" s="6"/>
      <c r="NVX150" s="6"/>
      <c r="NVY150" s="6"/>
      <c r="NVZ150" s="6"/>
      <c r="NWA150" s="6"/>
      <c r="NWB150" s="6"/>
      <c r="NWC150" s="6"/>
      <c r="NWD150" s="6"/>
      <c r="NWE150" s="6"/>
      <c r="NWF150" s="6"/>
      <c r="NWG150" s="6"/>
      <c r="NWH150" s="6"/>
      <c r="NWI150" s="6"/>
      <c r="NWJ150" s="6"/>
      <c r="NWK150" s="6"/>
      <c r="NWL150" s="6"/>
      <c r="NWM150" s="6"/>
      <c r="NWN150" s="6"/>
      <c r="NWO150" s="6"/>
      <c r="NWP150" s="6"/>
      <c r="NWQ150" s="6"/>
      <c r="NWR150" s="6"/>
      <c r="NWS150" s="6"/>
      <c r="NWT150" s="6"/>
      <c r="NWU150" s="6"/>
      <c r="NWV150" s="6"/>
      <c r="NWW150" s="6"/>
      <c r="NWX150" s="6"/>
      <c r="NWY150" s="6"/>
      <c r="NWZ150" s="6"/>
      <c r="NXA150" s="6"/>
      <c r="NXB150" s="6"/>
      <c r="NXC150" s="6"/>
      <c r="NXD150" s="6"/>
      <c r="NXE150" s="6"/>
      <c r="NXF150" s="6"/>
      <c r="NXG150" s="6"/>
      <c r="NXH150" s="6"/>
      <c r="NXI150" s="6"/>
      <c r="NXJ150" s="6"/>
      <c r="NXK150" s="6"/>
      <c r="NXL150" s="6"/>
      <c r="NXM150" s="6"/>
      <c r="NXN150" s="6"/>
      <c r="NXO150" s="6"/>
      <c r="NXP150" s="6"/>
      <c r="NXQ150" s="6"/>
      <c r="NXR150" s="6"/>
      <c r="NXS150" s="6"/>
      <c r="NXT150" s="6"/>
      <c r="NXU150" s="6"/>
      <c r="NXV150" s="6"/>
      <c r="NXW150" s="6"/>
      <c r="NXX150" s="6"/>
      <c r="NXY150" s="6"/>
      <c r="NXZ150" s="6"/>
      <c r="NYA150" s="6"/>
      <c r="NYB150" s="6"/>
      <c r="NYC150" s="6"/>
      <c r="NYD150" s="6"/>
      <c r="NYE150" s="6"/>
      <c r="NYF150" s="6"/>
      <c r="NYG150" s="6"/>
      <c r="NYH150" s="6"/>
      <c r="NYI150" s="6"/>
      <c r="NYJ150" s="6"/>
      <c r="NYK150" s="6"/>
      <c r="NYL150" s="6"/>
      <c r="NYM150" s="6"/>
      <c r="NYN150" s="6"/>
      <c r="NYO150" s="6"/>
      <c r="NYP150" s="6"/>
      <c r="NYQ150" s="6"/>
      <c r="NYR150" s="6"/>
      <c r="NYS150" s="6"/>
      <c r="NYT150" s="6"/>
      <c r="NYU150" s="6"/>
      <c r="NYV150" s="6"/>
      <c r="NYW150" s="6"/>
      <c r="NYX150" s="6"/>
      <c r="NYY150" s="6"/>
      <c r="NYZ150" s="6"/>
      <c r="NZA150" s="6"/>
      <c r="NZB150" s="6"/>
      <c r="NZC150" s="6"/>
      <c r="NZD150" s="6"/>
      <c r="NZE150" s="6"/>
      <c r="NZF150" s="6"/>
      <c r="NZG150" s="6"/>
      <c r="NZH150" s="6"/>
      <c r="NZI150" s="6"/>
      <c r="NZJ150" s="6"/>
      <c r="NZK150" s="6"/>
      <c r="NZL150" s="6"/>
      <c r="NZM150" s="6"/>
      <c r="NZN150" s="6"/>
      <c r="NZO150" s="6"/>
      <c r="NZP150" s="6"/>
      <c r="NZQ150" s="6"/>
      <c r="NZR150" s="6"/>
      <c r="NZS150" s="6"/>
      <c r="NZT150" s="6"/>
      <c r="NZU150" s="6"/>
      <c r="NZV150" s="6"/>
      <c r="NZW150" s="6"/>
      <c r="NZX150" s="6"/>
      <c r="NZY150" s="6"/>
      <c r="NZZ150" s="6"/>
      <c r="OAA150" s="6"/>
      <c r="OAB150" s="6"/>
      <c r="OAC150" s="6"/>
      <c r="OAD150" s="6"/>
      <c r="OAE150" s="6"/>
      <c r="OAF150" s="6"/>
      <c r="OAG150" s="6"/>
      <c r="OAH150" s="6"/>
      <c r="OAI150" s="6"/>
      <c r="OAJ150" s="6"/>
      <c r="OAK150" s="6"/>
      <c r="OAL150" s="6"/>
      <c r="OAM150" s="6"/>
      <c r="OAN150" s="6"/>
      <c r="OAO150" s="6"/>
      <c r="OAP150" s="6"/>
      <c r="OAQ150" s="6"/>
      <c r="OAR150" s="6"/>
      <c r="OAS150" s="6"/>
      <c r="OAT150" s="6"/>
      <c r="OAU150" s="6"/>
      <c r="OAV150" s="6"/>
      <c r="OAW150" s="6"/>
      <c r="OAX150" s="6"/>
      <c r="OAY150" s="6"/>
      <c r="OAZ150" s="6"/>
      <c r="OBA150" s="6"/>
      <c r="OBB150" s="6"/>
      <c r="OBC150" s="6"/>
      <c r="OBD150" s="6"/>
      <c r="OBE150" s="6"/>
      <c r="OBF150" s="6"/>
      <c r="OBG150" s="6"/>
      <c r="OBH150" s="6"/>
      <c r="OBI150" s="6"/>
      <c r="OBJ150" s="6"/>
      <c r="OBK150" s="6"/>
      <c r="OBL150" s="6"/>
      <c r="OBM150" s="6"/>
      <c r="OBN150" s="6"/>
      <c r="OBO150" s="6"/>
      <c r="OBP150" s="6"/>
      <c r="OBQ150" s="6"/>
      <c r="OBR150" s="6"/>
      <c r="OBS150" s="6"/>
      <c r="OBT150" s="6"/>
      <c r="OBU150" s="6"/>
      <c r="OBV150" s="6"/>
      <c r="OBW150" s="6"/>
      <c r="OBX150" s="6"/>
      <c r="OBY150" s="6"/>
      <c r="OBZ150" s="6"/>
      <c r="OCA150" s="6"/>
      <c r="OCB150" s="6"/>
      <c r="OCC150" s="6"/>
      <c r="OCD150" s="6"/>
      <c r="OCE150" s="6"/>
      <c r="OCF150" s="6"/>
      <c r="OCG150" s="6"/>
      <c r="OCH150" s="6"/>
      <c r="OCI150" s="6"/>
      <c r="OCJ150" s="6"/>
      <c r="OCK150" s="6"/>
      <c r="OCL150" s="6"/>
      <c r="OCM150" s="6"/>
      <c r="OCN150" s="6"/>
      <c r="OCO150" s="6"/>
      <c r="OCP150" s="6"/>
      <c r="OCQ150" s="6"/>
      <c r="OCR150" s="6"/>
      <c r="OCS150" s="6"/>
      <c r="OCT150" s="6"/>
      <c r="OCU150" s="6"/>
      <c r="OCV150" s="6"/>
      <c r="OCW150" s="6"/>
      <c r="OCX150" s="6"/>
      <c r="OCY150" s="6"/>
      <c r="OCZ150" s="6"/>
      <c r="ODA150" s="6"/>
      <c r="ODB150" s="6"/>
      <c r="ODC150" s="6"/>
      <c r="ODD150" s="6"/>
      <c r="ODE150" s="6"/>
      <c r="ODF150" s="6"/>
      <c r="ODG150" s="6"/>
      <c r="ODH150" s="6"/>
      <c r="ODI150" s="6"/>
      <c r="ODJ150" s="6"/>
      <c r="ODK150" s="6"/>
      <c r="ODL150" s="6"/>
      <c r="ODM150" s="6"/>
      <c r="ODN150" s="6"/>
      <c r="ODO150" s="6"/>
      <c r="ODP150" s="6"/>
      <c r="ODQ150" s="6"/>
      <c r="ODR150" s="6"/>
      <c r="ODS150" s="6"/>
      <c r="ODT150" s="6"/>
      <c r="ODU150" s="6"/>
      <c r="ODV150" s="6"/>
      <c r="ODW150" s="6"/>
      <c r="ODX150" s="6"/>
      <c r="ODY150" s="6"/>
      <c r="ODZ150" s="6"/>
      <c r="OEA150" s="6"/>
      <c r="OEB150" s="6"/>
      <c r="OEC150" s="6"/>
      <c r="OED150" s="6"/>
      <c r="OEE150" s="6"/>
      <c r="OEF150" s="6"/>
      <c r="OEG150" s="6"/>
      <c r="OEH150" s="6"/>
      <c r="OEI150" s="6"/>
      <c r="OEJ150" s="6"/>
      <c r="OEK150" s="6"/>
      <c r="OEL150" s="6"/>
      <c r="OEM150" s="6"/>
      <c r="OEN150" s="6"/>
      <c r="OEO150" s="6"/>
      <c r="OEP150" s="6"/>
      <c r="OEQ150" s="6"/>
      <c r="OER150" s="6"/>
      <c r="OES150" s="6"/>
      <c r="OET150" s="6"/>
      <c r="OEU150" s="6"/>
      <c r="OEV150" s="6"/>
      <c r="OEW150" s="6"/>
      <c r="OEX150" s="6"/>
      <c r="OEY150" s="6"/>
      <c r="OEZ150" s="6"/>
      <c r="OFA150" s="6"/>
      <c r="OFB150" s="6"/>
      <c r="OFC150" s="6"/>
      <c r="OFD150" s="6"/>
      <c r="OFE150" s="6"/>
      <c r="OFF150" s="6"/>
      <c r="OFG150" s="6"/>
      <c r="OFH150" s="6"/>
      <c r="OFI150" s="6"/>
      <c r="OFJ150" s="6"/>
      <c r="OFK150" s="6"/>
      <c r="OFL150" s="6"/>
      <c r="OFM150" s="6"/>
      <c r="OFN150" s="6"/>
      <c r="OFO150" s="6"/>
      <c r="OFP150" s="6"/>
      <c r="OFQ150" s="6"/>
      <c r="OFR150" s="6"/>
      <c r="OFS150" s="6"/>
      <c r="OFT150" s="6"/>
      <c r="OFU150" s="6"/>
      <c r="OFV150" s="6"/>
      <c r="OFW150" s="6"/>
      <c r="OFX150" s="6"/>
      <c r="OFY150" s="6"/>
      <c r="OFZ150" s="6"/>
      <c r="OGA150" s="6"/>
      <c r="OGB150" s="6"/>
      <c r="OGC150" s="6"/>
      <c r="OGD150" s="6"/>
      <c r="OGE150" s="6"/>
      <c r="OGF150" s="6"/>
      <c r="OGG150" s="6"/>
      <c r="OGH150" s="6"/>
      <c r="OGI150" s="6"/>
      <c r="OGJ150" s="6"/>
      <c r="OGK150" s="6"/>
      <c r="OGL150" s="6"/>
      <c r="OGM150" s="6"/>
      <c r="OGN150" s="6"/>
      <c r="OGO150" s="6"/>
      <c r="OGP150" s="6"/>
      <c r="OGQ150" s="6"/>
      <c r="OGR150" s="6"/>
      <c r="OGS150" s="6"/>
      <c r="OGT150" s="6"/>
      <c r="OGU150" s="6"/>
      <c r="OGV150" s="6"/>
      <c r="OGW150" s="6"/>
      <c r="OGX150" s="6"/>
      <c r="OGY150" s="6"/>
      <c r="OGZ150" s="6"/>
      <c r="OHA150" s="6"/>
      <c r="OHB150" s="6"/>
      <c r="OHC150" s="6"/>
      <c r="OHD150" s="6"/>
      <c r="OHE150" s="6"/>
      <c r="OHF150" s="6"/>
      <c r="OHG150" s="6"/>
      <c r="OHH150" s="6"/>
      <c r="OHI150" s="6"/>
      <c r="OHJ150" s="6"/>
      <c r="OHK150" s="6"/>
      <c r="OHL150" s="6"/>
      <c r="OHM150" s="6"/>
      <c r="OHN150" s="6"/>
      <c r="OHO150" s="6"/>
      <c r="OHP150" s="6"/>
      <c r="OHQ150" s="6"/>
      <c r="OHR150" s="6"/>
      <c r="OHS150" s="6"/>
      <c r="OHT150" s="6"/>
      <c r="OHU150" s="6"/>
      <c r="OHV150" s="6"/>
      <c r="OHW150" s="6"/>
      <c r="OHX150" s="6"/>
      <c r="OHY150" s="6"/>
      <c r="OHZ150" s="6"/>
      <c r="OIA150" s="6"/>
      <c r="OIB150" s="6"/>
      <c r="OIC150" s="6"/>
      <c r="OID150" s="6"/>
      <c r="OIE150" s="6"/>
      <c r="OIF150" s="6"/>
      <c r="OIG150" s="6"/>
      <c r="OIH150" s="6"/>
      <c r="OII150" s="6"/>
      <c r="OIJ150" s="6"/>
      <c r="OIK150" s="6"/>
      <c r="OIL150" s="6"/>
      <c r="OIM150" s="6"/>
      <c r="OIN150" s="6"/>
      <c r="OIO150" s="6"/>
      <c r="OIP150" s="6"/>
      <c r="OIQ150" s="6"/>
      <c r="OIR150" s="6"/>
      <c r="OIS150" s="6"/>
      <c r="OIT150" s="6"/>
      <c r="OIU150" s="6"/>
      <c r="OIV150" s="6"/>
      <c r="OIW150" s="6"/>
      <c r="OIX150" s="6"/>
      <c r="OIY150" s="6"/>
      <c r="OIZ150" s="6"/>
      <c r="OJA150" s="6"/>
      <c r="OJB150" s="6"/>
      <c r="OJC150" s="6"/>
      <c r="OJD150" s="6"/>
      <c r="OJE150" s="6"/>
      <c r="OJF150" s="6"/>
      <c r="OJG150" s="6"/>
      <c r="OJH150" s="6"/>
      <c r="OJI150" s="6"/>
      <c r="OJJ150" s="6"/>
      <c r="OJK150" s="6"/>
      <c r="OJL150" s="6"/>
      <c r="OJM150" s="6"/>
      <c r="OJN150" s="6"/>
      <c r="OJO150" s="6"/>
      <c r="OJP150" s="6"/>
      <c r="OJQ150" s="6"/>
      <c r="OJR150" s="6"/>
      <c r="OJS150" s="6"/>
      <c r="OJT150" s="6"/>
      <c r="OJU150" s="6"/>
      <c r="OJV150" s="6"/>
      <c r="OJW150" s="6"/>
      <c r="OJX150" s="6"/>
      <c r="OJY150" s="6"/>
      <c r="OJZ150" s="6"/>
      <c r="OKA150" s="6"/>
      <c r="OKB150" s="6"/>
      <c r="OKC150" s="6"/>
      <c r="OKD150" s="6"/>
      <c r="OKE150" s="6"/>
      <c r="OKF150" s="6"/>
      <c r="OKG150" s="6"/>
      <c r="OKH150" s="6"/>
      <c r="OKI150" s="6"/>
      <c r="OKJ150" s="6"/>
      <c r="OKK150" s="6"/>
      <c r="OKL150" s="6"/>
      <c r="OKM150" s="6"/>
      <c r="OKN150" s="6"/>
      <c r="OKO150" s="6"/>
      <c r="OKP150" s="6"/>
      <c r="OKQ150" s="6"/>
      <c r="OKR150" s="6"/>
      <c r="OKS150" s="6"/>
      <c r="OKT150" s="6"/>
      <c r="OKU150" s="6"/>
      <c r="OKV150" s="6"/>
      <c r="OKW150" s="6"/>
      <c r="OKX150" s="6"/>
      <c r="OKY150" s="6"/>
      <c r="OKZ150" s="6"/>
      <c r="OLA150" s="6"/>
      <c r="OLB150" s="6"/>
      <c r="OLC150" s="6"/>
      <c r="OLD150" s="6"/>
      <c r="OLE150" s="6"/>
      <c r="OLF150" s="6"/>
      <c r="OLG150" s="6"/>
      <c r="OLH150" s="6"/>
      <c r="OLI150" s="6"/>
      <c r="OLJ150" s="6"/>
      <c r="OLK150" s="6"/>
      <c r="OLL150" s="6"/>
      <c r="OLM150" s="6"/>
      <c r="OLN150" s="6"/>
      <c r="OLO150" s="6"/>
      <c r="OLP150" s="6"/>
      <c r="OLQ150" s="6"/>
      <c r="OLR150" s="6"/>
      <c r="OLS150" s="6"/>
      <c r="OLT150" s="6"/>
      <c r="OLU150" s="6"/>
      <c r="OLV150" s="6"/>
      <c r="OLW150" s="6"/>
      <c r="OLX150" s="6"/>
      <c r="OLY150" s="6"/>
      <c r="OLZ150" s="6"/>
      <c r="OMA150" s="6"/>
      <c r="OMB150" s="6"/>
      <c r="OMC150" s="6"/>
      <c r="OMD150" s="6"/>
      <c r="OME150" s="6"/>
      <c r="OMF150" s="6"/>
      <c r="OMG150" s="6"/>
      <c r="OMH150" s="6"/>
      <c r="OMI150" s="6"/>
      <c r="OMJ150" s="6"/>
      <c r="OMK150" s="6"/>
      <c r="OML150" s="6"/>
      <c r="OMM150" s="6"/>
      <c r="OMN150" s="6"/>
      <c r="OMO150" s="6"/>
      <c r="OMP150" s="6"/>
      <c r="OMQ150" s="6"/>
      <c r="OMR150" s="6"/>
      <c r="OMS150" s="6"/>
      <c r="OMT150" s="6"/>
      <c r="OMU150" s="6"/>
      <c r="OMV150" s="6"/>
      <c r="OMW150" s="6"/>
      <c r="OMX150" s="6"/>
      <c r="OMY150" s="6"/>
      <c r="OMZ150" s="6"/>
      <c r="ONA150" s="6"/>
      <c r="ONB150" s="6"/>
      <c r="ONC150" s="6"/>
      <c r="OND150" s="6"/>
      <c r="ONE150" s="6"/>
      <c r="ONF150" s="6"/>
      <c r="ONG150" s="6"/>
      <c r="ONH150" s="6"/>
      <c r="ONI150" s="6"/>
      <c r="ONJ150" s="6"/>
      <c r="ONK150" s="6"/>
      <c r="ONL150" s="6"/>
      <c r="ONM150" s="6"/>
      <c r="ONN150" s="6"/>
      <c r="ONO150" s="6"/>
      <c r="ONP150" s="6"/>
      <c r="ONQ150" s="6"/>
      <c r="ONR150" s="6"/>
      <c r="ONS150" s="6"/>
      <c r="ONT150" s="6"/>
      <c r="ONU150" s="6"/>
      <c r="ONV150" s="6"/>
      <c r="ONW150" s="6"/>
      <c r="ONX150" s="6"/>
      <c r="ONY150" s="6"/>
      <c r="ONZ150" s="6"/>
      <c r="OOA150" s="6"/>
      <c r="OOB150" s="6"/>
      <c r="OOC150" s="6"/>
      <c r="OOD150" s="6"/>
      <c r="OOE150" s="6"/>
      <c r="OOF150" s="6"/>
      <c r="OOG150" s="6"/>
      <c r="OOH150" s="6"/>
      <c r="OOI150" s="6"/>
      <c r="OOJ150" s="6"/>
      <c r="OOK150" s="6"/>
      <c r="OOL150" s="6"/>
      <c r="OOM150" s="6"/>
      <c r="OON150" s="6"/>
      <c r="OOO150" s="6"/>
      <c r="OOP150" s="6"/>
      <c r="OOQ150" s="6"/>
      <c r="OOR150" s="6"/>
      <c r="OOS150" s="6"/>
      <c r="OOT150" s="6"/>
      <c r="OOU150" s="6"/>
      <c r="OOV150" s="6"/>
      <c r="OOW150" s="6"/>
      <c r="OOX150" s="6"/>
      <c r="OOY150" s="6"/>
      <c r="OOZ150" s="6"/>
      <c r="OPA150" s="6"/>
      <c r="OPB150" s="6"/>
      <c r="OPC150" s="6"/>
      <c r="OPD150" s="6"/>
      <c r="OPE150" s="6"/>
      <c r="OPF150" s="6"/>
      <c r="OPG150" s="6"/>
      <c r="OPH150" s="6"/>
      <c r="OPI150" s="6"/>
      <c r="OPJ150" s="6"/>
      <c r="OPK150" s="6"/>
      <c r="OPL150" s="6"/>
      <c r="OPM150" s="6"/>
      <c r="OPN150" s="6"/>
      <c r="OPO150" s="6"/>
      <c r="OPP150" s="6"/>
      <c r="OPQ150" s="6"/>
      <c r="OPR150" s="6"/>
      <c r="OPS150" s="6"/>
      <c r="OPT150" s="6"/>
      <c r="OPU150" s="6"/>
      <c r="OPV150" s="6"/>
      <c r="OPW150" s="6"/>
      <c r="OPX150" s="6"/>
      <c r="OPY150" s="6"/>
      <c r="OPZ150" s="6"/>
      <c r="OQA150" s="6"/>
      <c r="OQB150" s="6"/>
      <c r="OQC150" s="6"/>
      <c r="OQD150" s="6"/>
      <c r="OQE150" s="6"/>
      <c r="OQF150" s="6"/>
      <c r="OQG150" s="6"/>
      <c r="OQH150" s="6"/>
      <c r="OQI150" s="6"/>
      <c r="OQJ150" s="6"/>
      <c r="OQK150" s="6"/>
      <c r="OQL150" s="6"/>
      <c r="OQM150" s="6"/>
      <c r="OQN150" s="6"/>
      <c r="OQO150" s="6"/>
      <c r="OQP150" s="6"/>
      <c r="OQQ150" s="6"/>
      <c r="OQR150" s="6"/>
      <c r="OQS150" s="6"/>
      <c r="OQT150" s="6"/>
      <c r="OQU150" s="6"/>
      <c r="OQV150" s="6"/>
      <c r="OQW150" s="6"/>
      <c r="OQX150" s="6"/>
      <c r="OQY150" s="6"/>
      <c r="OQZ150" s="6"/>
      <c r="ORA150" s="6"/>
      <c r="ORB150" s="6"/>
      <c r="ORC150" s="6"/>
      <c r="ORD150" s="6"/>
      <c r="ORE150" s="6"/>
      <c r="ORF150" s="6"/>
      <c r="ORG150" s="6"/>
      <c r="ORH150" s="6"/>
      <c r="ORI150" s="6"/>
      <c r="ORJ150" s="6"/>
      <c r="ORK150" s="6"/>
      <c r="ORL150" s="6"/>
      <c r="ORM150" s="6"/>
      <c r="ORN150" s="6"/>
      <c r="ORO150" s="6"/>
      <c r="ORP150" s="6"/>
      <c r="ORQ150" s="6"/>
      <c r="ORR150" s="6"/>
      <c r="ORS150" s="6"/>
      <c r="ORT150" s="6"/>
      <c r="ORU150" s="6"/>
      <c r="ORV150" s="6"/>
      <c r="ORW150" s="6"/>
      <c r="ORX150" s="6"/>
      <c r="ORY150" s="6"/>
      <c r="ORZ150" s="6"/>
      <c r="OSA150" s="6"/>
      <c r="OSB150" s="6"/>
      <c r="OSC150" s="6"/>
      <c r="OSD150" s="6"/>
      <c r="OSE150" s="6"/>
      <c r="OSF150" s="6"/>
      <c r="OSG150" s="6"/>
      <c r="OSH150" s="6"/>
      <c r="OSI150" s="6"/>
      <c r="OSJ150" s="6"/>
      <c r="OSK150" s="6"/>
      <c r="OSL150" s="6"/>
      <c r="OSM150" s="6"/>
      <c r="OSN150" s="6"/>
      <c r="OSO150" s="6"/>
      <c r="OSP150" s="6"/>
      <c r="OSQ150" s="6"/>
      <c r="OSR150" s="6"/>
      <c r="OSS150" s="6"/>
      <c r="OST150" s="6"/>
      <c r="OSU150" s="6"/>
      <c r="OSV150" s="6"/>
      <c r="OSW150" s="6"/>
      <c r="OSX150" s="6"/>
      <c r="OSY150" s="6"/>
      <c r="OSZ150" s="6"/>
      <c r="OTA150" s="6"/>
      <c r="OTB150" s="6"/>
      <c r="OTC150" s="6"/>
      <c r="OTD150" s="6"/>
      <c r="OTE150" s="6"/>
      <c r="OTF150" s="6"/>
      <c r="OTG150" s="6"/>
      <c r="OTH150" s="6"/>
      <c r="OTI150" s="6"/>
      <c r="OTJ150" s="6"/>
      <c r="OTK150" s="6"/>
      <c r="OTL150" s="6"/>
      <c r="OTM150" s="6"/>
      <c r="OTN150" s="6"/>
      <c r="OTO150" s="6"/>
      <c r="OTP150" s="6"/>
      <c r="OTQ150" s="6"/>
      <c r="OTR150" s="6"/>
      <c r="OTS150" s="6"/>
      <c r="OTT150" s="6"/>
      <c r="OTU150" s="6"/>
      <c r="OTV150" s="6"/>
      <c r="OTW150" s="6"/>
      <c r="OTX150" s="6"/>
      <c r="OTY150" s="6"/>
      <c r="OTZ150" s="6"/>
      <c r="OUA150" s="6"/>
      <c r="OUB150" s="6"/>
      <c r="OUC150" s="6"/>
      <c r="OUD150" s="6"/>
      <c r="OUE150" s="6"/>
      <c r="OUF150" s="6"/>
      <c r="OUG150" s="6"/>
      <c r="OUH150" s="6"/>
      <c r="OUI150" s="6"/>
      <c r="OUJ150" s="6"/>
      <c r="OUK150" s="6"/>
      <c r="OUL150" s="6"/>
      <c r="OUM150" s="6"/>
      <c r="OUN150" s="6"/>
      <c r="OUO150" s="6"/>
      <c r="OUP150" s="6"/>
      <c r="OUQ150" s="6"/>
      <c r="OUR150" s="6"/>
      <c r="OUS150" s="6"/>
      <c r="OUT150" s="6"/>
      <c r="OUU150" s="6"/>
      <c r="OUV150" s="6"/>
      <c r="OUW150" s="6"/>
      <c r="OUX150" s="6"/>
      <c r="OUY150" s="6"/>
      <c r="OUZ150" s="6"/>
      <c r="OVA150" s="6"/>
      <c r="OVB150" s="6"/>
      <c r="OVC150" s="6"/>
      <c r="OVD150" s="6"/>
      <c r="OVE150" s="6"/>
      <c r="OVF150" s="6"/>
      <c r="OVG150" s="6"/>
      <c r="OVH150" s="6"/>
      <c r="OVI150" s="6"/>
      <c r="OVJ150" s="6"/>
      <c r="OVK150" s="6"/>
      <c r="OVL150" s="6"/>
      <c r="OVM150" s="6"/>
      <c r="OVN150" s="6"/>
      <c r="OVO150" s="6"/>
      <c r="OVP150" s="6"/>
      <c r="OVQ150" s="6"/>
      <c r="OVR150" s="6"/>
      <c r="OVS150" s="6"/>
      <c r="OVT150" s="6"/>
      <c r="OVU150" s="6"/>
      <c r="OVV150" s="6"/>
      <c r="OVW150" s="6"/>
      <c r="OVX150" s="6"/>
      <c r="OVY150" s="6"/>
      <c r="OVZ150" s="6"/>
      <c r="OWA150" s="6"/>
      <c r="OWB150" s="6"/>
      <c r="OWC150" s="6"/>
      <c r="OWD150" s="6"/>
      <c r="OWE150" s="6"/>
      <c r="OWF150" s="6"/>
      <c r="OWG150" s="6"/>
      <c r="OWH150" s="6"/>
      <c r="OWI150" s="6"/>
      <c r="OWJ150" s="6"/>
      <c r="OWK150" s="6"/>
      <c r="OWL150" s="6"/>
      <c r="OWM150" s="6"/>
      <c r="OWN150" s="6"/>
      <c r="OWO150" s="6"/>
      <c r="OWP150" s="6"/>
      <c r="OWQ150" s="6"/>
      <c r="OWR150" s="6"/>
      <c r="OWS150" s="6"/>
      <c r="OWT150" s="6"/>
      <c r="OWU150" s="6"/>
      <c r="OWV150" s="6"/>
      <c r="OWW150" s="6"/>
      <c r="OWX150" s="6"/>
      <c r="OWY150" s="6"/>
      <c r="OWZ150" s="6"/>
      <c r="OXA150" s="6"/>
      <c r="OXB150" s="6"/>
      <c r="OXC150" s="6"/>
      <c r="OXD150" s="6"/>
      <c r="OXE150" s="6"/>
      <c r="OXF150" s="6"/>
      <c r="OXG150" s="6"/>
      <c r="OXH150" s="6"/>
      <c r="OXI150" s="6"/>
      <c r="OXJ150" s="6"/>
      <c r="OXK150" s="6"/>
      <c r="OXL150" s="6"/>
      <c r="OXM150" s="6"/>
      <c r="OXN150" s="6"/>
      <c r="OXO150" s="6"/>
      <c r="OXP150" s="6"/>
      <c r="OXQ150" s="6"/>
      <c r="OXR150" s="6"/>
      <c r="OXS150" s="6"/>
      <c r="OXT150" s="6"/>
      <c r="OXU150" s="6"/>
      <c r="OXV150" s="6"/>
      <c r="OXW150" s="6"/>
      <c r="OXX150" s="6"/>
      <c r="OXY150" s="6"/>
      <c r="OXZ150" s="6"/>
      <c r="OYA150" s="6"/>
      <c r="OYB150" s="6"/>
      <c r="OYC150" s="6"/>
      <c r="OYD150" s="6"/>
      <c r="OYE150" s="6"/>
      <c r="OYF150" s="6"/>
      <c r="OYG150" s="6"/>
      <c r="OYH150" s="6"/>
      <c r="OYI150" s="6"/>
      <c r="OYJ150" s="6"/>
      <c r="OYK150" s="6"/>
      <c r="OYL150" s="6"/>
      <c r="OYM150" s="6"/>
      <c r="OYN150" s="6"/>
      <c r="OYO150" s="6"/>
      <c r="OYP150" s="6"/>
      <c r="OYQ150" s="6"/>
      <c r="OYR150" s="6"/>
      <c r="OYS150" s="6"/>
      <c r="OYT150" s="6"/>
      <c r="OYU150" s="6"/>
      <c r="OYV150" s="6"/>
      <c r="OYW150" s="6"/>
      <c r="OYX150" s="6"/>
      <c r="OYY150" s="6"/>
      <c r="OYZ150" s="6"/>
      <c r="OZA150" s="6"/>
      <c r="OZB150" s="6"/>
      <c r="OZC150" s="6"/>
      <c r="OZD150" s="6"/>
      <c r="OZE150" s="6"/>
      <c r="OZF150" s="6"/>
      <c r="OZG150" s="6"/>
      <c r="OZH150" s="6"/>
      <c r="OZI150" s="6"/>
      <c r="OZJ150" s="6"/>
      <c r="OZK150" s="6"/>
      <c r="OZL150" s="6"/>
      <c r="OZM150" s="6"/>
      <c r="OZN150" s="6"/>
      <c r="OZO150" s="6"/>
      <c r="OZP150" s="6"/>
      <c r="OZQ150" s="6"/>
      <c r="OZR150" s="6"/>
      <c r="OZS150" s="6"/>
      <c r="OZT150" s="6"/>
      <c r="OZU150" s="6"/>
      <c r="OZV150" s="6"/>
      <c r="OZW150" s="6"/>
      <c r="OZX150" s="6"/>
      <c r="OZY150" s="6"/>
      <c r="OZZ150" s="6"/>
      <c r="PAA150" s="6"/>
      <c r="PAB150" s="6"/>
      <c r="PAC150" s="6"/>
      <c r="PAD150" s="6"/>
      <c r="PAE150" s="6"/>
      <c r="PAF150" s="6"/>
      <c r="PAG150" s="6"/>
      <c r="PAH150" s="6"/>
      <c r="PAI150" s="6"/>
      <c r="PAJ150" s="6"/>
      <c r="PAK150" s="6"/>
      <c r="PAL150" s="6"/>
      <c r="PAM150" s="6"/>
      <c r="PAN150" s="6"/>
      <c r="PAO150" s="6"/>
      <c r="PAP150" s="6"/>
      <c r="PAQ150" s="6"/>
      <c r="PAR150" s="6"/>
      <c r="PAS150" s="6"/>
      <c r="PAT150" s="6"/>
      <c r="PAU150" s="6"/>
      <c r="PAV150" s="6"/>
      <c r="PAW150" s="6"/>
      <c r="PAX150" s="6"/>
      <c r="PAY150" s="6"/>
      <c r="PAZ150" s="6"/>
      <c r="PBA150" s="6"/>
      <c r="PBB150" s="6"/>
      <c r="PBC150" s="6"/>
      <c r="PBD150" s="6"/>
      <c r="PBE150" s="6"/>
      <c r="PBF150" s="6"/>
      <c r="PBG150" s="6"/>
      <c r="PBH150" s="6"/>
      <c r="PBI150" s="6"/>
      <c r="PBJ150" s="6"/>
      <c r="PBK150" s="6"/>
      <c r="PBL150" s="6"/>
      <c r="PBM150" s="6"/>
      <c r="PBN150" s="6"/>
      <c r="PBO150" s="6"/>
      <c r="PBP150" s="6"/>
      <c r="PBQ150" s="6"/>
      <c r="PBR150" s="6"/>
      <c r="PBS150" s="6"/>
      <c r="PBT150" s="6"/>
      <c r="PBU150" s="6"/>
      <c r="PBV150" s="6"/>
      <c r="PBW150" s="6"/>
      <c r="PBX150" s="6"/>
      <c r="PBY150" s="6"/>
      <c r="PBZ150" s="6"/>
      <c r="PCA150" s="6"/>
      <c r="PCB150" s="6"/>
      <c r="PCC150" s="6"/>
      <c r="PCD150" s="6"/>
      <c r="PCE150" s="6"/>
      <c r="PCF150" s="6"/>
      <c r="PCG150" s="6"/>
      <c r="PCH150" s="6"/>
      <c r="PCI150" s="6"/>
      <c r="PCJ150" s="6"/>
      <c r="PCK150" s="6"/>
      <c r="PCL150" s="6"/>
      <c r="PCM150" s="6"/>
      <c r="PCN150" s="6"/>
      <c r="PCO150" s="6"/>
      <c r="PCP150" s="6"/>
      <c r="PCQ150" s="6"/>
      <c r="PCR150" s="6"/>
      <c r="PCS150" s="6"/>
      <c r="PCT150" s="6"/>
      <c r="PCU150" s="6"/>
      <c r="PCV150" s="6"/>
      <c r="PCW150" s="6"/>
      <c r="PCX150" s="6"/>
      <c r="PCY150" s="6"/>
      <c r="PCZ150" s="6"/>
      <c r="PDA150" s="6"/>
      <c r="PDB150" s="6"/>
      <c r="PDC150" s="6"/>
      <c r="PDD150" s="6"/>
      <c r="PDE150" s="6"/>
      <c r="PDF150" s="6"/>
      <c r="PDG150" s="6"/>
      <c r="PDH150" s="6"/>
      <c r="PDI150" s="6"/>
      <c r="PDJ150" s="6"/>
      <c r="PDK150" s="6"/>
      <c r="PDL150" s="6"/>
      <c r="PDM150" s="6"/>
      <c r="PDN150" s="6"/>
      <c r="PDO150" s="6"/>
      <c r="PDP150" s="6"/>
      <c r="PDQ150" s="6"/>
      <c r="PDR150" s="6"/>
      <c r="PDS150" s="6"/>
      <c r="PDT150" s="6"/>
      <c r="PDU150" s="6"/>
      <c r="PDV150" s="6"/>
      <c r="PDW150" s="6"/>
      <c r="PDX150" s="6"/>
      <c r="PDY150" s="6"/>
      <c r="PDZ150" s="6"/>
      <c r="PEA150" s="6"/>
      <c r="PEB150" s="6"/>
      <c r="PEC150" s="6"/>
      <c r="PED150" s="6"/>
      <c r="PEE150" s="6"/>
      <c r="PEF150" s="6"/>
      <c r="PEG150" s="6"/>
      <c r="PEH150" s="6"/>
      <c r="PEI150" s="6"/>
      <c r="PEJ150" s="6"/>
      <c r="PEK150" s="6"/>
      <c r="PEL150" s="6"/>
      <c r="PEM150" s="6"/>
      <c r="PEN150" s="6"/>
      <c r="PEO150" s="6"/>
      <c r="PEP150" s="6"/>
      <c r="PEQ150" s="6"/>
      <c r="PER150" s="6"/>
      <c r="PES150" s="6"/>
      <c r="PET150" s="6"/>
      <c r="PEU150" s="6"/>
      <c r="PEV150" s="6"/>
      <c r="PEW150" s="6"/>
      <c r="PEX150" s="6"/>
      <c r="PEY150" s="6"/>
      <c r="PEZ150" s="6"/>
      <c r="PFA150" s="6"/>
      <c r="PFB150" s="6"/>
      <c r="PFC150" s="6"/>
      <c r="PFD150" s="6"/>
      <c r="PFE150" s="6"/>
      <c r="PFF150" s="6"/>
      <c r="PFG150" s="6"/>
      <c r="PFH150" s="6"/>
      <c r="PFI150" s="6"/>
      <c r="PFJ150" s="6"/>
      <c r="PFK150" s="6"/>
      <c r="PFL150" s="6"/>
      <c r="PFM150" s="6"/>
      <c r="PFN150" s="6"/>
      <c r="PFO150" s="6"/>
      <c r="PFP150" s="6"/>
      <c r="PFQ150" s="6"/>
      <c r="PFR150" s="6"/>
      <c r="PFS150" s="6"/>
      <c r="PFT150" s="6"/>
      <c r="PFU150" s="6"/>
      <c r="PFV150" s="6"/>
      <c r="PFW150" s="6"/>
      <c r="PFX150" s="6"/>
      <c r="PFY150" s="6"/>
      <c r="PFZ150" s="6"/>
      <c r="PGA150" s="6"/>
      <c r="PGB150" s="6"/>
      <c r="PGC150" s="6"/>
      <c r="PGD150" s="6"/>
      <c r="PGE150" s="6"/>
      <c r="PGF150" s="6"/>
      <c r="PGG150" s="6"/>
      <c r="PGH150" s="6"/>
      <c r="PGI150" s="6"/>
      <c r="PGJ150" s="6"/>
      <c r="PGK150" s="6"/>
      <c r="PGL150" s="6"/>
      <c r="PGM150" s="6"/>
      <c r="PGN150" s="6"/>
      <c r="PGO150" s="6"/>
      <c r="PGP150" s="6"/>
      <c r="PGQ150" s="6"/>
      <c r="PGR150" s="6"/>
      <c r="PGS150" s="6"/>
      <c r="PGT150" s="6"/>
      <c r="PGU150" s="6"/>
      <c r="PGV150" s="6"/>
      <c r="PGW150" s="6"/>
      <c r="PGX150" s="6"/>
      <c r="PGY150" s="6"/>
      <c r="PGZ150" s="6"/>
      <c r="PHA150" s="6"/>
      <c r="PHB150" s="6"/>
      <c r="PHC150" s="6"/>
      <c r="PHD150" s="6"/>
      <c r="PHE150" s="6"/>
      <c r="PHF150" s="6"/>
      <c r="PHG150" s="6"/>
      <c r="PHH150" s="6"/>
      <c r="PHI150" s="6"/>
      <c r="PHJ150" s="6"/>
      <c r="PHK150" s="6"/>
      <c r="PHL150" s="6"/>
      <c r="PHM150" s="6"/>
      <c r="PHN150" s="6"/>
      <c r="PHO150" s="6"/>
      <c r="PHP150" s="6"/>
      <c r="PHQ150" s="6"/>
      <c r="PHR150" s="6"/>
      <c r="PHS150" s="6"/>
      <c r="PHT150" s="6"/>
      <c r="PHU150" s="6"/>
      <c r="PHV150" s="6"/>
      <c r="PHW150" s="6"/>
      <c r="PHX150" s="6"/>
      <c r="PHY150" s="6"/>
      <c r="PHZ150" s="6"/>
      <c r="PIA150" s="6"/>
      <c r="PIB150" s="6"/>
      <c r="PIC150" s="6"/>
      <c r="PID150" s="6"/>
      <c r="PIE150" s="6"/>
      <c r="PIF150" s="6"/>
      <c r="PIG150" s="6"/>
      <c r="PIH150" s="6"/>
      <c r="PII150" s="6"/>
      <c r="PIJ150" s="6"/>
      <c r="PIK150" s="6"/>
      <c r="PIL150" s="6"/>
      <c r="PIM150" s="6"/>
      <c r="PIN150" s="6"/>
      <c r="PIO150" s="6"/>
      <c r="PIP150" s="6"/>
      <c r="PIQ150" s="6"/>
      <c r="PIR150" s="6"/>
      <c r="PIS150" s="6"/>
      <c r="PIT150" s="6"/>
      <c r="PIU150" s="6"/>
      <c r="PIV150" s="6"/>
      <c r="PIW150" s="6"/>
      <c r="PIX150" s="6"/>
      <c r="PIY150" s="6"/>
      <c r="PIZ150" s="6"/>
      <c r="PJA150" s="6"/>
      <c r="PJB150" s="6"/>
      <c r="PJC150" s="6"/>
      <c r="PJD150" s="6"/>
      <c r="PJE150" s="6"/>
      <c r="PJF150" s="6"/>
      <c r="PJG150" s="6"/>
      <c r="PJH150" s="6"/>
      <c r="PJI150" s="6"/>
      <c r="PJJ150" s="6"/>
      <c r="PJK150" s="6"/>
      <c r="PJL150" s="6"/>
      <c r="PJM150" s="6"/>
      <c r="PJN150" s="6"/>
      <c r="PJO150" s="6"/>
      <c r="PJP150" s="6"/>
      <c r="PJQ150" s="6"/>
      <c r="PJR150" s="6"/>
      <c r="PJS150" s="6"/>
      <c r="PJT150" s="6"/>
      <c r="PJU150" s="6"/>
      <c r="PJV150" s="6"/>
      <c r="PJW150" s="6"/>
      <c r="PJX150" s="6"/>
      <c r="PJY150" s="6"/>
      <c r="PJZ150" s="6"/>
      <c r="PKA150" s="6"/>
      <c r="PKB150" s="6"/>
      <c r="PKC150" s="6"/>
      <c r="PKD150" s="6"/>
      <c r="PKE150" s="6"/>
      <c r="PKF150" s="6"/>
      <c r="PKG150" s="6"/>
      <c r="PKH150" s="6"/>
      <c r="PKI150" s="6"/>
      <c r="PKJ150" s="6"/>
      <c r="PKK150" s="6"/>
      <c r="PKL150" s="6"/>
      <c r="PKM150" s="6"/>
      <c r="PKN150" s="6"/>
      <c r="PKO150" s="6"/>
      <c r="PKP150" s="6"/>
      <c r="PKQ150" s="6"/>
      <c r="PKR150" s="6"/>
      <c r="PKS150" s="6"/>
      <c r="PKT150" s="6"/>
      <c r="PKU150" s="6"/>
      <c r="PKV150" s="6"/>
      <c r="PKW150" s="6"/>
      <c r="PKX150" s="6"/>
      <c r="PKY150" s="6"/>
      <c r="PKZ150" s="6"/>
      <c r="PLA150" s="6"/>
      <c r="PLB150" s="6"/>
      <c r="PLC150" s="6"/>
      <c r="PLD150" s="6"/>
      <c r="PLE150" s="6"/>
      <c r="PLF150" s="6"/>
      <c r="PLG150" s="6"/>
      <c r="PLH150" s="6"/>
      <c r="PLI150" s="6"/>
      <c r="PLJ150" s="6"/>
      <c r="PLK150" s="6"/>
      <c r="PLL150" s="6"/>
      <c r="PLM150" s="6"/>
      <c r="PLN150" s="6"/>
      <c r="PLO150" s="6"/>
      <c r="PLP150" s="6"/>
      <c r="PLQ150" s="6"/>
      <c r="PLR150" s="6"/>
      <c r="PLS150" s="6"/>
      <c r="PLT150" s="6"/>
      <c r="PLU150" s="6"/>
      <c r="PLV150" s="6"/>
      <c r="PLW150" s="6"/>
      <c r="PLX150" s="6"/>
      <c r="PLY150" s="6"/>
      <c r="PLZ150" s="6"/>
      <c r="PMA150" s="6"/>
      <c r="PMB150" s="6"/>
      <c r="PMC150" s="6"/>
      <c r="PMD150" s="6"/>
      <c r="PME150" s="6"/>
      <c r="PMF150" s="6"/>
      <c r="PMG150" s="6"/>
      <c r="PMH150" s="6"/>
      <c r="PMI150" s="6"/>
      <c r="PMJ150" s="6"/>
      <c r="PMK150" s="6"/>
      <c r="PML150" s="6"/>
      <c r="PMM150" s="6"/>
      <c r="PMN150" s="6"/>
      <c r="PMO150" s="6"/>
      <c r="PMP150" s="6"/>
      <c r="PMQ150" s="6"/>
      <c r="PMR150" s="6"/>
      <c r="PMS150" s="6"/>
      <c r="PMT150" s="6"/>
      <c r="PMU150" s="6"/>
      <c r="PMV150" s="6"/>
      <c r="PMW150" s="6"/>
      <c r="PMX150" s="6"/>
      <c r="PMY150" s="6"/>
      <c r="PMZ150" s="6"/>
      <c r="PNA150" s="6"/>
      <c r="PNB150" s="6"/>
      <c r="PNC150" s="6"/>
      <c r="PND150" s="6"/>
      <c r="PNE150" s="6"/>
      <c r="PNF150" s="6"/>
      <c r="PNG150" s="6"/>
      <c r="PNH150" s="6"/>
      <c r="PNI150" s="6"/>
      <c r="PNJ150" s="6"/>
      <c r="PNK150" s="6"/>
      <c r="PNL150" s="6"/>
      <c r="PNM150" s="6"/>
      <c r="PNN150" s="6"/>
      <c r="PNO150" s="6"/>
      <c r="PNP150" s="6"/>
      <c r="PNQ150" s="6"/>
      <c r="PNR150" s="6"/>
      <c r="PNS150" s="6"/>
      <c r="PNT150" s="6"/>
      <c r="PNU150" s="6"/>
      <c r="PNV150" s="6"/>
      <c r="PNW150" s="6"/>
      <c r="PNX150" s="6"/>
      <c r="PNY150" s="6"/>
      <c r="PNZ150" s="6"/>
      <c r="POA150" s="6"/>
      <c r="POB150" s="6"/>
      <c r="POC150" s="6"/>
      <c r="POD150" s="6"/>
      <c r="POE150" s="6"/>
      <c r="POF150" s="6"/>
      <c r="POG150" s="6"/>
      <c r="POH150" s="6"/>
      <c r="POI150" s="6"/>
      <c r="POJ150" s="6"/>
      <c r="POK150" s="6"/>
      <c r="POL150" s="6"/>
      <c r="POM150" s="6"/>
      <c r="PON150" s="6"/>
      <c r="POO150" s="6"/>
      <c r="POP150" s="6"/>
      <c r="POQ150" s="6"/>
      <c r="POR150" s="6"/>
      <c r="POS150" s="6"/>
      <c r="POT150" s="6"/>
      <c r="POU150" s="6"/>
      <c r="POV150" s="6"/>
      <c r="POW150" s="6"/>
      <c r="POX150" s="6"/>
      <c r="POY150" s="6"/>
      <c r="POZ150" s="6"/>
      <c r="PPA150" s="6"/>
      <c r="PPB150" s="6"/>
      <c r="PPC150" s="6"/>
      <c r="PPD150" s="6"/>
      <c r="PPE150" s="6"/>
      <c r="PPF150" s="6"/>
      <c r="PPG150" s="6"/>
      <c r="PPH150" s="6"/>
      <c r="PPI150" s="6"/>
      <c r="PPJ150" s="6"/>
      <c r="PPK150" s="6"/>
      <c r="PPL150" s="6"/>
      <c r="PPM150" s="6"/>
      <c r="PPN150" s="6"/>
      <c r="PPO150" s="6"/>
      <c r="PPP150" s="6"/>
      <c r="PPQ150" s="6"/>
      <c r="PPR150" s="6"/>
      <c r="PPS150" s="6"/>
      <c r="PPT150" s="6"/>
      <c r="PPU150" s="6"/>
      <c r="PPV150" s="6"/>
      <c r="PPW150" s="6"/>
      <c r="PPX150" s="6"/>
      <c r="PPY150" s="6"/>
      <c r="PPZ150" s="6"/>
      <c r="PQA150" s="6"/>
      <c r="PQB150" s="6"/>
      <c r="PQC150" s="6"/>
      <c r="PQD150" s="6"/>
      <c r="PQE150" s="6"/>
      <c r="PQF150" s="6"/>
      <c r="PQG150" s="6"/>
      <c r="PQH150" s="6"/>
      <c r="PQI150" s="6"/>
      <c r="PQJ150" s="6"/>
      <c r="PQK150" s="6"/>
      <c r="PQL150" s="6"/>
      <c r="PQM150" s="6"/>
      <c r="PQN150" s="6"/>
      <c r="PQO150" s="6"/>
      <c r="PQP150" s="6"/>
      <c r="PQQ150" s="6"/>
      <c r="PQR150" s="6"/>
      <c r="PQS150" s="6"/>
      <c r="PQT150" s="6"/>
      <c r="PQU150" s="6"/>
      <c r="PQV150" s="6"/>
      <c r="PQW150" s="6"/>
      <c r="PQX150" s="6"/>
      <c r="PQY150" s="6"/>
      <c r="PQZ150" s="6"/>
      <c r="PRA150" s="6"/>
      <c r="PRB150" s="6"/>
      <c r="PRC150" s="6"/>
      <c r="PRD150" s="6"/>
      <c r="PRE150" s="6"/>
      <c r="PRF150" s="6"/>
      <c r="PRG150" s="6"/>
      <c r="PRH150" s="6"/>
      <c r="PRI150" s="6"/>
      <c r="PRJ150" s="6"/>
      <c r="PRK150" s="6"/>
      <c r="PRL150" s="6"/>
      <c r="PRM150" s="6"/>
      <c r="PRN150" s="6"/>
      <c r="PRO150" s="6"/>
      <c r="PRP150" s="6"/>
      <c r="PRQ150" s="6"/>
      <c r="PRR150" s="6"/>
      <c r="PRS150" s="6"/>
      <c r="PRT150" s="6"/>
      <c r="PRU150" s="6"/>
      <c r="PRV150" s="6"/>
      <c r="PRW150" s="6"/>
      <c r="PRX150" s="6"/>
      <c r="PRY150" s="6"/>
      <c r="PRZ150" s="6"/>
      <c r="PSA150" s="6"/>
      <c r="PSB150" s="6"/>
      <c r="PSC150" s="6"/>
      <c r="PSD150" s="6"/>
      <c r="PSE150" s="6"/>
      <c r="PSF150" s="6"/>
      <c r="PSG150" s="6"/>
      <c r="PSH150" s="6"/>
      <c r="PSI150" s="6"/>
      <c r="PSJ150" s="6"/>
      <c r="PSK150" s="6"/>
      <c r="PSL150" s="6"/>
      <c r="PSM150" s="6"/>
      <c r="PSN150" s="6"/>
      <c r="PSO150" s="6"/>
      <c r="PSP150" s="6"/>
      <c r="PSQ150" s="6"/>
      <c r="PSR150" s="6"/>
      <c r="PSS150" s="6"/>
      <c r="PST150" s="6"/>
      <c r="PSU150" s="6"/>
      <c r="PSV150" s="6"/>
      <c r="PSW150" s="6"/>
      <c r="PSX150" s="6"/>
      <c r="PSY150" s="6"/>
      <c r="PSZ150" s="6"/>
      <c r="PTA150" s="6"/>
      <c r="PTB150" s="6"/>
      <c r="PTC150" s="6"/>
      <c r="PTD150" s="6"/>
      <c r="PTE150" s="6"/>
      <c r="PTF150" s="6"/>
      <c r="PTG150" s="6"/>
      <c r="PTH150" s="6"/>
      <c r="PTI150" s="6"/>
      <c r="PTJ150" s="6"/>
      <c r="PTK150" s="6"/>
      <c r="PTL150" s="6"/>
      <c r="PTM150" s="6"/>
      <c r="PTN150" s="6"/>
      <c r="PTO150" s="6"/>
      <c r="PTP150" s="6"/>
      <c r="PTQ150" s="6"/>
      <c r="PTR150" s="6"/>
      <c r="PTS150" s="6"/>
      <c r="PTT150" s="6"/>
      <c r="PTU150" s="6"/>
      <c r="PTV150" s="6"/>
      <c r="PTW150" s="6"/>
      <c r="PTX150" s="6"/>
      <c r="PTY150" s="6"/>
      <c r="PTZ150" s="6"/>
      <c r="PUA150" s="6"/>
      <c r="PUB150" s="6"/>
      <c r="PUC150" s="6"/>
      <c r="PUD150" s="6"/>
      <c r="PUE150" s="6"/>
      <c r="PUF150" s="6"/>
      <c r="PUG150" s="6"/>
      <c r="PUH150" s="6"/>
      <c r="PUI150" s="6"/>
      <c r="PUJ150" s="6"/>
      <c r="PUK150" s="6"/>
      <c r="PUL150" s="6"/>
      <c r="PUM150" s="6"/>
      <c r="PUN150" s="6"/>
      <c r="PUO150" s="6"/>
      <c r="PUP150" s="6"/>
      <c r="PUQ150" s="6"/>
      <c r="PUR150" s="6"/>
      <c r="PUS150" s="6"/>
      <c r="PUT150" s="6"/>
      <c r="PUU150" s="6"/>
      <c r="PUV150" s="6"/>
      <c r="PUW150" s="6"/>
      <c r="PUX150" s="6"/>
      <c r="PUY150" s="6"/>
      <c r="PUZ150" s="6"/>
      <c r="PVA150" s="6"/>
      <c r="PVB150" s="6"/>
      <c r="PVC150" s="6"/>
      <c r="PVD150" s="6"/>
      <c r="PVE150" s="6"/>
      <c r="PVF150" s="6"/>
      <c r="PVG150" s="6"/>
      <c r="PVH150" s="6"/>
      <c r="PVI150" s="6"/>
      <c r="PVJ150" s="6"/>
      <c r="PVK150" s="6"/>
      <c r="PVL150" s="6"/>
      <c r="PVM150" s="6"/>
      <c r="PVN150" s="6"/>
      <c r="PVO150" s="6"/>
      <c r="PVP150" s="6"/>
      <c r="PVQ150" s="6"/>
      <c r="PVR150" s="6"/>
      <c r="PVS150" s="6"/>
      <c r="PVT150" s="6"/>
      <c r="PVU150" s="6"/>
      <c r="PVV150" s="6"/>
      <c r="PVW150" s="6"/>
      <c r="PVX150" s="6"/>
      <c r="PVY150" s="6"/>
      <c r="PVZ150" s="6"/>
      <c r="PWA150" s="6"/>
      <c r="PWB150" s="6"/>
      <c r="PWC150" s="6"/>
      <c r="PWD150" s="6"/>
      <c r="PWE150" s="6"/>
      <c r="PWF150" s="6"/>
      <c r="PWG150" s="6"/>
      <c r="PWH150" s="6"/>
      <c r="PWI150" s="6"/>
      <c r="PWJ150" s="6"/>
      <c r="PWK150" s="6"/>
      <c r="PWL150" s="6"/>
      <c r="PWM150" s="6"/>
      <c r="PWN150" s="6"/>
      <c r="PWO150" s="6"/>
      <c r="PWP150" s="6"/>
      <c r="PWQ150" s="6"/>
      <c r="PWR150" s="6"/>
      <c r="PWS150" s="6"/>
      <c r="PWT150" s="6"/>
      <c r="PWU150" s="6"/>
      <c r="PWV150" s="6"/>
      <c r="PWW150" s="6"/>
      <c r="PWX150" s="6"/>
      <c r="PWY150" s="6"/>
      <c r="PWZ150" s="6"/>
      <c r="PXA150" s="6"/>
      <c r="PXB150" s="6"/>
      <c r="PXC150" s="6"/>
      <c r="PXD150" s="6"/>
      <c r="PXE150" s="6"/>
      <c r="PXF150" s="6"/>
      <c r="PXG150" s="6"/>
      <c r="PXH150" s="6"/>
      <c r="PXI150" s="6"/>
      <c r="PXJ150" s="6"/>
      <c r="PXK150" s="6"/>
      <c r="PXL150" s="6"/>
      <c r="PXM150" s="6"/>
      <c r="PXN150" s="6"/>
      <c r="PXO150" s="6"/>
      <c r="PXP150" s="6"/>
      <c r="PXQ150" s="6"/>
      <c r="PXR150" s="6"/>
      <c r="PXS150" s="6"/>
      <c r="PXT150" s="6"/>
      <c r="PXU150" s="6"/>
      <c r="PXV150" s="6"/>
      <c r="PXW150" s="6"/>
      <c r="PXX150" s="6"/>
      <c r="PXY150" s="6"/>
      <c r="PXZ150" s="6"/>
      <c r="PYA150" s="6"/>
      <c r="PYB150" s="6"/>
      <c r="PYC150" s="6"/>
      <c r="PYD150" s="6"/>
      <c r="PYE150" s="6"/>
      <c r="PYF150" s="6"/>
      <c r="PYG150" s="6"/>
      <c r="PYH150" s="6"/>
      <c r="PYI150" s="6"/>
      <c r="PYJ150" s="6"/>
      <c r="PYK150" s="6"/>
      <c r="PYL150" s="6"/>
      <c r="PYM150" s="6"/>
      <c r="PYN150" s="6"/>
      <c r="PYO150" s="6"/>
      <c r="PYP150" s="6"/>
      <c r="PYQ150" s="6"/>
      <c r="PYR150" s="6"/>
      <c r="PYS150" s="6"/>
      <c r="PYT150" s="6"/>
      <c r="PYU150" s="6"/>
      <c r="PYV150" s="6"/>
      <c r="PYW150" s="6"/>
      <c r="PYX150" s="6"/>
      <c r="PYY150" s="6"/>
      <c r="PYZ150" s="6"/>
      <c r="PZA150" s="6"/>
      <c r="PZB150" s="6"/>
      <c r="PZC150" s="6"/>
      <c r="PZD150" s="6"/>
      <c r="PZE150" s="6"/>
      <c r="PZF150" s="6"/>
      <c r="PZG150" s="6"/>
      <c r="PZH150" s="6"/>
      <c r="PZI150" s="6"/>
      <c r="PZJ150" s="6"/>
      <c r="PZK150" s="6"/>
      <c r="PZL150" s="6"/>
      <c r="PZM150" s="6"/>
      <c r="PZN150" s="6"/>
      <c r="PZO150" s="6"/>
      <c r="PZP150" s="6"/>
      <c r="PZQ150" s="6"/>
      <c r="PZR150" s="6"/>
      <c r="PZS150" s="6"/>
      <c r="PZT150" s="6"/>
      <c r="PZU150" s="6"/>
      <c r="PZV150" s="6"/>
      <c r="PZW150" s="6"/>
      <c r="PZX150" s="6"/>
      <c r="PZY150" s="6"/>
      <c r="PZZ150" s="6"/>
      <c r="QAA150" s="6"/>
      <c r="QAB150" s="6"/>
      <c r="QAC150" s="6"/>
      <c r="QAD150" s="6"/>
      <c r="QAE150" s="6"/>
      <c r="QAF150" s="6"/>
      <c r="QAG150" s="6"/>
      <c r="QAH150" s="6"/>
      <c r="QAI150" s="6"/>
      <c r="QAJ150" s="6"/>
      <c r="QAK150" s="6"/>
      <c r="QAL150" s="6"/>
      <c r="QAM150" s="6"/>
      <c r="QAN150" s="6"/>
      <c r="QAO150" s="6"/>
      <c r="QAP150" s="6"/>
      <c r="QAQ150" s="6"/>
      <c r="QAR150" s="6"/>
      <c r="QAS150" s="6"/>
      <c r="QAT150" s="6"/>
      <c r="QAU150" s="6"/>
      <c r="QAV150" s="6"/>
      <c r="QAW150" s="6"/>
      <c r="QAX150" s="6"/>
      <c r="QAY150" s="6"/>
      <c r="QAZ150" s="6"/>
      <c r="QBA150" s="6"/>
      <c r="QBB150" s="6"/>
      <c r="QBC150" s="6"/>
      <c r="QBD150" s="6"/>
      <c r="QBE150" s="6"/>
      <c r="QBF150" s="6"/>
      <c r="QBG150" s="6"/>
      <c r="QBH150" s="6"/>
      <c r="QBI150" s="6"/>
      <c r="QBJ150" s="6"/>
      <c r="QBK150" s="6"/>
      <c r="QBL150" s="6"/>
      <c r="QBM150" s="6"/>
      <c r="QBN150" s="6"/>
      <c r="QBO150" s="6"/>
      <c r="QBP150" s="6"/>
      <c r="QBQ150" s="6"/>
      <c r="QBR150" s="6"/>
      <c r="QBS150" s="6"/>
      <c r="QBT150" s="6"/>
      <c r="QBU150" s="6"/>
      <c r="QBV150" s="6"/>
      <c r="QBW150" s="6"/>
      <c r="QBX150" s="6"/>
      <c r="QBY150" s="6"/>
      <c r="QBZ150" s="6"/>
      <c r="QCA150" s="6"/>
      <c r="QCB150" s="6"/>
      <c r="QCC150" s="6"/>
      <c r="QCD150" s="6"/>
      <c r="QCE150" s="6"/>
      <c r="QCF150" s="6"/>
      <c r="QCG150" s="6"/>
      <c r="QCH150" s="6"/>
      <c r="QCI150" s="6"/>
      <c r="QCJ150" s="6"/>
      <c r="QCK150" s="6"/>
      <c r="QCL150" s="6"/>
      <c r="QCM150" s="6"/>
      <c r="QCN150" s="6"/>
      <c r="QCO150" s="6"/>
      <c r="QCP150" s="6"/>
      <c r="QCQ150" s="6"/>
      <c r="QCR150" s="6"/>
      <c r="QCS150" s="6"/>
      <c r="QCT150" s="6"/>
      <c r="QCU150" s="6"/>
      <c r="QCV150" s="6"/>
      <c r="QCW150" s="6"/>
      <c r="QCX150" s="6"/>
      <c r="QCY150" s="6"/>
      <c r="QCZ150" s="6"/>
      <c r="QDA150" s="6"/>
      <c r="QDB150" s="6"/>
      <c r="QDC150" s="6"/>
      <c r="QDD150" s="6"/>
      <c r="QDE150" s="6"/>
      <c r="QDF150" s="6"/>
      <c r="QDG150" s="6"/>
      <c r="QDH150" s="6"/>
      <c r="QDI150" s="6"/>
      <c r="QDJ150" s="6"/>
      <c r="QDK150" s="6"/>
      <c r="QDL150" s="6"/>
      <c r="QDM150" s="6"/>
      <c r="QDN150" s="6"/>
      <c r="QDO150" s="6"/>
      <c r="QDP150" s="6"/>
      <c r="QDQ150" s="6"/>
      <c r="QDR150" s="6"/>
      <c r="QDS150" s="6"/>
      <c r="QDT150" s="6"/>
      <c r="QDU150" s="6"/>
      <c r="QDV150" s="6"/>
      <c r="QDW150" s="6"/>
      <c r="QDX150" s="6"/>
      <c r="QDY150" s="6"/>
      <c r="QDZ150" s="6"/>
      <c r="QEA150" s="6"/>
      <c r="QEB150" s="6"/>
      <c r="QEC150" s="6"/>
      <c r="QED150" s="6"/>
      <c r="QEE150" s="6"/>
      <c r="QEF150" s="6"/>
      <c r="QEG150" s="6"/>
      <c r="QEH150" s="6"/>
      <c r="QEI150" s="6"/>
      <c r="QEJ150" s="6"/>
      <c r="QEK150" s="6"/>
      <c r="QEL150" s="6"/>
      <c r="QEM150" s="6"/>
      <c r="QEN150" s="6"/>
      <c r="QEO150" s="6"/>
      <c r="QEP150" s="6"/>
      <c r="QEQ150" s="6"/>
      <c r="QER150" s="6"/>
      <c r="QES150" s="6"/>
      <c r="QET150" s="6"/>
      <c r="QEU150" s="6"/>
      <c r="QEV150" s="6"/>
      <c r="QEW150" s="6"/>
      <c r="QEX150" s="6"/>
      <c r="QEY150" s="6"/>
      <c r="QEZ150" s="6"/>
      <c r="QFA150" s="6"/>
      <c r="QFB150" s="6"/>
      <c r="QFC150" s="6"/>
      <c r="QFD150" s="6"/>
      <c r="QFE150" s="6"/>
      <c r="QFF150" s="6"/>
      <c r="QFG150" s="6"/>
      <c r="QFH150" s="6"/>
      <c r="QFI150" s="6"/>
      <c r="QFJ150" s="6"/>
      <c r="QFK150" s="6"/>
      <c r="QFL150" s="6"/>
      <c r="QFM150" s="6"/>
      <c r="QFN150" s="6"/>
      <c r="QFO150" s="6"/>
      <c r="QFP150" s="6"/>
      <c r="QFQ150" s="6"/>
      <c r="QFR150" s="6"/>
      <c r="QFS150" s="6"/>
      <c r="QFT150" s="6"/>
      <c r="QFU150" s="6"/>
      <c r="QFV150" s="6"/>
      <c r="QFW150" s="6"/>
      <c r="QFX150" s="6"/>
      <c r="QFY150" s="6"/>
      <c r="QFZ150" s="6"/>
      <c r="QGA150" s="6"/>
      <c r="QGB150" s="6"/>
      <c r="QGC150" s="6"/>
      <c r="QGD150" s="6"/>
      <c r="QGE150" s="6"/>
      <c r="QGF150" s="6"/>
      <c r="QGG150" s="6"/>
      <c r="QGH150" s="6"/>
      <c r="QGI150" s="6"/>
      <c r="QGJ150" s="6"/>
      <c r="QGK150" s="6"/>
      <c r="QGL150" s="6"/>
      <c r="QGM150" s="6"/>
      <c r="QGN150" s="6"/>
      <c r="QGO150" s="6"/>
      <c r="QGP150" s="6"/>
      <c r="QGQ150" s="6"/>
      <c r="QGR150" s="6"/>
      <c r="QGS150" s="6"/>
      <c r="QGT150" s="6"/>
      <c r="QGU150" s="6"/>
      <c r="QGV150" s="6"/>
      <c r="QGW150" s="6"/>
      <c r="QGX150" s="6"/>
      <c r="QGY150" s="6"/>
      <c r="QGZ150" s="6"/>
      <c r="QHA150" s="6"/>
      <c r="QHB150" s="6"/>
      <c r="QHC150" s="6"/>
      <c r="QHD150" s="6"/>
      <c r="QHE150" s="6"/>
      <c r="QHF150" s="6"/>
      <c r="QHG150" s="6"/>
      <c r="QHH150" s="6"/>
      <c r="QHI150" s="6"/>
      <c r="QHJ150" s="6"/>
      <c r="QHK150" s="6"/>
      <c r="QHL150" s="6"/>
      <c r="QHM150" s="6"/>
      <c r="QHN150" s="6"/>
      <c r="QHO150" s="6"/>
      <c r="QHP150" s="6"/>
      <c r="QHQ150" s="6"/>
      <c r="QHR150" s="6"/>
      <c r="QHS150" s="6"/>
      <c r="QHT150" s="6"/>
      <c r="QHU150" s="6"/>
      <c r="QHV150" s="6"/>
      <c r="QHW150" s="6"/>
      <c r="QHX150" s="6"/>
      <c r="QHY150" s="6"/>
      <c r="QHZ150" s="6"/>
      <c r="QIA150" s="6"/>
      <c r="QIB150" s="6"/>
      <c r="QIC150" s="6"/>
      <c r="QID150" s="6"/>
      <c r="QIE150" s="6"/>
      <c r="QIF150" s="6"/>
      <c r="QIG150" s="6"/>
      <c r="QIH150" s="6"/>
      <c r="QII150" s="6"/>
      <c r="QIJ150" s="6"/>
      <c r="QIK150" s="6"/>
      <c r="QIL150" s="6"/>
      <c r="QIM150" s="6"/>
      <c r="QIN150" s="6"/>
      <c r="QIO150" s="6"/>
      <c r="QIP150" s="6"/>
      <c r="QIQ150" s="6"/>
      <c r="QIR150" s="6"/>
      <c r="QIS150" s="6"/>
      <c r="QIT150" s="6"/>
      <c r="QIU150" s="6"/>
      <c r="QIV150" s="6"/>
      <c r="QIW150" s="6"/>
      <c r="QIX150" s="6"/>
      <c r="QIY150" s="6"/>
      <c r="QIZ150" s="6"/>
      <c r="QJA150" s="6"/>
      <c r="QJB150" s="6"/>
      <c r="QJC150" s="6"/>
      <c r="QJD150" s="6"/>
      <c r="QJE150" s="6"/>
      <c r="QJF150" s="6"/>
      <c r="QJG150" s="6"/>
      <c r="QJH150" s="6"/>
      <c r="QJI150" s="6"/>
      <c r="QJJ150" s="6"/>
      <c r="QJK150" s="6"/>
      <c r="QJL150" s="6"/>
      <c r="QJM150" s="6"/>
      <c r="QJN150" s="6"/>
      <c r="QJO150" s="6"/>
      <c r="QJP150" s="6"/>
      <c r="QJQ150" s="6"/>
      <c r="QJR150" s="6"/>
      <c r="QJS150" s="6"/>
      <c r="QJT150" s="6"/>
      <c r="QJU150" s="6"/>
      <c r="QJV150" s="6"/>
      <c r="QJW150" s="6"/>
      <c r="QJX150" s="6"/>
      <c r="QJY150" s="6"/>
      <c r="QJZ150" s="6"/>
      <c r="QKA150" s="6"/>
      <c r="QKB150" s="6"/>
      <c r="QKC150" s="6"/>
      <c r="QKD150" s="6"/>
      <c r="QKE150" s="6"/>
      <c r="QKF150" s="6"/>
      <c r="QKG150" s="6"/>
      <c r="QKH150" s="6"/>
      <c r="QKI150" s="6"/>
      <c r="QKJ150" s="6"/>
      <c r="QKK150" s="6"/>
      <c r="QKL150" s="6"/>
      <c r="QKM150" s="6"/>
      <c r="QKN150" s="6"/>
      <c r="QKO150" s="6"/>
      <c r="QKP150" s="6"/>
      <c r="QKQ150" s="6"/>
      <c r="QKR150" s="6"/>
      <c r="QKS150" s="6"/>
      <c r="QKT150" s="6"/>
      <c r="QKU150" s="6"/>
      <c r="QKV150" s="6"/>
      <c r="QKW150" s="6"/>
      <c r="QKX150" s="6"/>
      <c r="QKY150" s="6"/>
      <c r="QKZ150" s="6"/>
      <c r="QLA150" s="6"/>
      <c r="QLB150" s="6"/>
      <c r="QLC150" s="6"/>
      <c r="QLD150" s="6"/>
      <c r="QLE150" s="6"/>
      <c r="QLF150" s="6"/>
      <c r="QLG150" s="6"/>
      <c r="QLH150" s="6"/>
      <c r="QLI150" s="6"/>
      <c r="QLJ150" s="6"/>
      <c r="QLK150" s="6"/>
      <c r="QLL150" s="6"/>
      <c r="QLM150" s="6"/>
      <c r="QLN150" s="6"/>
      <c r="QLO150" s="6"/>
      <c r="QLP150" s="6"/>
      <c r="QLQ150" s="6"/>
      <c r="QLR150" s="6"/>
      <c r="QLS150" s="6"/>
      <c r="QLT150" s="6"/>
      <c r="QLU150" s="6"/>
      <c r="QLV150" s="6"/>
      <c r="QLW150" s="6"/>
      <c r="QLX150" s="6"/>
      <c r="QLY150" s="6"/>
      <c r="QLZ150" s="6"/>
      <c r="QMA150" s="6"/>
      <c r="QMB150" s="6"/>
      <c r="QMC150" s="6"/>
      <c r="QMD150" s="6"/>
      <c r="QME150" s="6"/>
      <c r="QMF150" s="6"/>
      <c r="QMG150" s="6"/>
      <c r="QMH150" s="6"/>
      <c r="QMI150" s="6"/>
      <c r="QMJ150" s="6"/>
      <c r="QMK150" s="6"/>
      <c r="QML150" s="6"/>
      <c r="QMM150" s="6"/>
      <c r="QMN150" s="6"/>
      <c r="QMO150" s="6"/>
      <c r="QMP150" s="6"/>
      <c r="QMQ150" s="6"/>
      <c r="QMR150" s="6"/>
      <c r="QMS150" s="6"/>
      <c r="QMT150" s="6"/>
      <c r="QMU150" s="6"/>
      <c r="QMV150" s="6"/>
      <c r="QMW150" s="6"/>
      <c r="QMX150" s="6"/>
      <c r="QMY150" s="6"/>
      <c r="QMZ150" s="6"/>
      <c r="QNA150" s="6"/>
      <c r="QNB150" s="6"/>
      <c r="QNC150" s="6"/>
      <c r="QND150" s="6"/>
      <c r="QNE150" s="6"/>
      <c r="QNF150" s="6"/>
      <c r="QNG150" s="6"/>
      <c r="QNH150" s="6"/>
      <c r="QNI150" s="6"/>
      <c r="QNJ150" s="6"/>
      <c r="QNK150" s="6"/>
      <c r="QNL150" s="6"/>
      <c r="QNM150" s="6"/>
      <c r="QNN150" s="6"/>
      <c r="QNO150" s="6"/>
      <c r="QNP150" s="6"/>
      <c r="QNQ150" s="6"/>
      <c r="QNR150" s="6"/>
      <c r="QNS150" s="6"/>
      <c r="QNT150" s="6"/>
      <c r="QNU150" s="6"/>
      <c r="QNV150" s="6"/>
      <c r="QNW150" s="6"/>
      <c r="QNX150" s="6"/>
      <c r="QNY150" s="6"/>
      <c r="QNZ150" s="6"/>
      <c r="QOA150" s="6"/>
      <c r="QOB150" s="6"/>
      <c r="QOC150" s="6"/>
      <c r="QOD150" s="6"/>
      <c r="QOE150" s="6"/>
      <c r="QOF150" s="6"/>
      <c r="QOG150" s="6"/>
      <c r="QOH150" s="6"/>
      <c r="QOI150" s="6"/>
      <c r="QOJ150" s="6"/>
      <c r="QOK150" s="6"/>
      <c r="QOL150" s="6"/>
      <c r="QOM150" s="6"/>
      <c r="QON150" s="6"/>
      <c r="QOO150" s="6"/>
      <c r="QOP150" s="6"/>
      <c r="QOQ150" s="6"/>
      <c r="QOR150" s="6"/>
      <c r="QOS150" s="6"/>
      <c r="QOT150" s="6"/>
      <c r="QOU150" s="6"/>
      <c r="QOV150" s="6"/>
      <c r="QOW150" s="6"/>
      <c r="QOX150" s="6"/>
      <c r="QOY150" s="6"/>
      <c r="QOZ150" s="6"/>
      <c r="QPA150" s="6"/>
      <c r="QPB150" s="6"/>
      <c r="QPC150" s="6"/>
      <c r="QPD150" s="6"/>
      <c r="QPE150" s="6"/>
      <c r="QPF150" s="6"/>
      <c r="QPG150" s="6"/>
      <c r="QPH150" s="6"/>
      <c r="QPI150" s="6"/>
      <c r="QPJ150" s="6"/>
      <c r="QPK150" s="6"/>
      <c r="QPL150" s="6"/>
      <c r="QPM150" s="6"/>
      <c r="QPN150" s="6"/>
      <c r="QPO150" s="6"/>
      <c r="QPP150" s="6"/>
      <c r="QPQ150" s="6"/>
      <c r="QPR150" s="6"/>
      <c r="QPS150" s="6"/>
      <c r="QPT150" s="6"/>
      <c r="QPU150" s="6"/>
      <c r="QPV150" s="6"/>
      <c r="QPW150" s="6"/>
      <c r="QPX150" s="6"/>
      <c r="QPY150" s="6"/>
      <c r="QPZ150" s="6"/>
      <c r="QQA150" s="6"/>
      <c r="QQB150" s="6"/>
      <c r="QQC150" s="6"/>
      <c r="QQD150" s="6"/>
      <c r="QQE150" s="6"/>
      <c r="QQF150" s="6"/>
      <c r="QQG150" s="6"/>
      <c r="QQH150" s="6"/>
      <c r="QQI150" s="6"/>
      <c r="QQJ150" s="6"/>
      <c r="QQK150" s="6"/>
      <c r="QQL150" s="6"/>
      <c r="QQM150" s="6"/>
      <c r="QQN150" s="6"/>
      <c r="QQO150" s="6"/>
      <c r="QQP150" s="6"/>
      <c r="QQQ150" s="6"/>
      <c r="QQR150" s="6"/>
      <c r="QQS150" s="6"/>
      <c r="QQT150" s="6"/>
      <c r="QQU150" s="6"/>
      <c r="QQV150" s="6"/>
      <c r="QQW150" s="6"/>
      <c r="QQX150" s="6"/>
      <c r="QQY150" s="6"/>
      <c r="QQZ150" s="6"/>
      <c r="QRA150" s="6"/>
      <c r="QRB150" s="6"/>
      <c r="QRC150" s="6"/>
      <c r="QRD150" s="6"/>
      <c r="QRE150" s="6"/>
      <c r="QRF150" s="6"/>
      <c r="QRG150" s="6"/>
      <c r="QRH150" s="6"/>
      <c r="QRI150" s="6"/>
      <c r="QRJ150" s="6"/>
      <c r="QRK150" s="6"/>
      <c r="QRL150" s="6"/>
      <c r="QRM150" s="6"/>
      <c r="QRN150" s="6"/>
      <c r="QRO150" s="6"/>
      <c r="QRP150" s="6"/>
      <c r="QRQ150" s="6"/>
      <c r="QRR150" s="6"/>
      <c r="QRS150" s="6"/>
      <c r="QRT150" s="6"/>
      <c r="QRU150" s="6"/>
      <c r="QRV150" s="6"/>
      <c r="QRW150" s="6"/>
      <c r="QRX150" s="6"/>
      <c r="QRY150" s="6"/>
      <c r="QRZ150" s="6"/>
      <c r="QSA150" s="6"/>
      <c r="QSB150" s="6"/>
      <c r="QSC150" s="6"/>
      <c r="QSD150" s="6"/>
      <c r="QSE150" s="6"/>
      <c r="QSF150" s="6"/>
      <c r="QSG150" s="6"/>
      <c r="QSH150" s="6"/>
      <c r="QSI150" s="6"/>
      <c r="QSJ150" s="6"/>
      <c r="QSK150" s="6"/>
      <c r="QSL150" s="6"/>
      <c r="QSM150" s="6"/>
      <c r="QSN150" s="6"/>
      <c r="QSO150" s="6"/>
      <c r="QSP150" s="6"/>
      <c r="QSQ150" s="6"/>
      <c r="QSR150" s="6"/>
      <c r="QSS150" s="6"/>
      <c r="QST150" s="6"/>
      <c r="QSU150" s="6"/>
      <c r="QSV150" s="6"/>
      <c r="QSW150" s="6"/>
      <c r="QSX150" s="6"/>
      <c r="QSY150" s="6"/>
      <c r="QSZ150" s="6"/>
      <c r="QTA150" s="6"/>
      <c r="QTB150" s="6"/>
      <c r="QTC150" s="6"/>
      <c r="QTD150" s="6"/>
      <c r="QTE150" s="6"/>
      <c r="QTF150" s="6"/>
      <c r="QTG150" s="6"/>
      <c r="QTH150" s="6"/>
      <c r="QTI150" s="6"/>
      <c r="QTJ150" s="6"/>
      <c r="QTK150" s="6"/>
      <c r="QTL150" s="6"/>
      <c r="QTM150" s="6"/>
      <c r="QTN150" s="6"/>
      <c r="QTO150" s="6"/>
      <c r="QTP150" s="6"/>
      <c r="QTQ150" s="6"/>
      <c r="QTR150" s="6"/>
      <c r="QTS150" s="6"/>
      <c r="QTT150" s="6"/>
      <c r="QTU150" s="6"/>
      <c r="QTV150" s="6"/>
      <c r="QTW150" s="6"/>
      <c r="QTX150" s="6"/>
      <c r="QTY150" s="6"/>
      <c r="QTZ150" s="6"/>
      <c r="QUA150" s="6"/>
      <c r="QUB150" s="6"/>
      <c r="QUC150" s="6"/>
      <c r="QUD150" s="6"/>
      <c r="QUE150" s="6"/>
      <c r="QUF150" s="6"/>
      <c r="QUG150" s="6"/>
      <c r="QUH150" s="6"/>
      <c r="QUI150" s="6"/>
      <c r="QUJ150" s="6"/>
      <c r="QUK150" s="6"/>
      <c r="QUL150" s="6"/>
      <c r="QUM150" s="6"/>
      <c r="QUN150" s="6"/>
      <c r="QUO150" s="6"/>
      <c r="QUP150" s="6"/>
      <c r="QUQ150" s="6"/>
      <c r="QUR150" s="6"/>
      <c r="QUS150" s="6"/>
      <c r="QUT150" s="6"/>
      <c r="QUU150" s="6"/>
      <c r="QUV150" s="6"/>
      <c r="QUW150" s="6"/>
      <c r="QUX150" s="6"/>
      <c r="QUY150" s="6"/>
      <c r="QUZ150" s="6"/>
      <c r="QVA150" s="6"/>
      <c r="QVB150" s="6"/>
      <c r="QVC150" s="6"/>
      <c r="QVD150" s="6"/>
      <c r="QVE150" s="6"/>
      <c r="QVF150" s="6"/>
      <c r="QVG150" s="6"/>
      <c r="QVH150" s="6"/>
      <c r="QVI150" s="6"/>
      <c r="QVJ150" s="6"/>
      <c r="QVK150" s="6"/>
      <c r="QVL150" s="6"/>
      <c r="QVM150" s="6"/>
      <c r="QVN150" s="6"/>
      <c r="QVO150" s="6"/>
      <c r="QVP150" s="6"/>
      <c r="QVQ150" s="6"/>
      <c r="QVR150" s="6"/>
      <c r="QVS150" s="6"/>
      <c r="QVT150" s="6"/>
      <c r="QVU150" s="6"/>
      <c r="QVV150" s="6"/>
      <c r="QVW150" s="6"/>
      <c r="QVX150" s="6"/>
      <c r="QVY150" s="6"/>
      <c r="QVZ150" s="6"/>
      <c r="QWA150" s="6"/>
      <c r="QWB150" s="6"/>
      <c r="QWC150" s="6"/>
      <c r="QWD150" s="6"/>
      <c r="QWE150" s="6"/>
      <c r="QWF150" s="6"/>
      <c r="QWG150" s="6"/>
      <c r="QWH150" s="6"/>
      <c r="QWI150" s="6"/>
      <c r="QWJ150" s="6"/>
      <c r="QWK150" s="6"/>
      <c r="QWL150" s="6"/>
      <c r="QWM150" s="6"/>
      <c r="QWN150" s="6"/>
      <c r="QWO150" s="6"/>
      <c r="QWP150" s="6"/>
      <c r="QWQ150" s="6"/>
      <c r="QWR150" s="6"/>
      <c r="QWS150" s="6"/>
      <c r="QWT150" s="6"/>
      <c r="QWU150" s="6"/>
      <c r="QWV150" s="6"/>
      <c r="QWW150" s="6"/>
      <c r="QWX150" s="6"/>
      <c r="QWY150" s="6"/>
      <c r="QWZ150" s="6"/>
      <c r="QXA150" s="6"/>
      <c r="QXB150" s="6"/>
      <c r="QXC150" s="6"/>
      <c r="QXD150" s="6"/>
      <c r="QXE150" s="6"/>
      <c r="QXF150" s="6"/>
      <c r="QXG150" s="6"/>
      <c r="QXH150" s="6"/>
      <c r="QXI150" s="6"/>
      <c r="QXJ150" s="6"/>
      <c r="QXK150" s="6"/>
      <c r="QXL150" s="6"/>
      <c r="QXM150" s="6"/>
      <c r="QXN150" s="6"/>
      <c r="QXO150" s="6"/>
      <c r="QXP150" s="6"/>
      <c r="QXQ150" s="6"/>
      <c r="QXR150" s="6"/>
      <c r="QXS150" s="6"/>
      <c r="QXT150" s="6"/>
      <c r="QXU150" s="6"/>
      <c r="QXV150" s="6"/>
      <c r="QXW150" s="6"/>
      <c r="QXX150" s="6"/>
      <c r="QXY150" s="6"/>
      <c r="QXZ150" s="6"/>
      <c r="QYA150" s="6"/>
      <c r="QYB150" s="6"/>
      <c r="QYC150" s="6"/>
      <c r="QYD150" s="6"/>
      <c r="QYE150" s="6"/>
      <c r="QYF150" s="6"/>
      <c r="QYG150" s="6"/>
      <c r="QYH150" s="6"/>
      <c r="QYI150" s="6"/>
      <c r="QYJ150" s="6"/>
      <c r="QYK150" s="6"/>
      <c r="QYL150" s="6"/>
      <c r="QYM150" s="6"/>
      <c r="QYN150" s="6"/>
      <c r="QYO150" s="6"/>
      <c r="QYP150" s="6"/>
      <c r="QYQ150" s="6"/>
      <c r="QYR150" s="6"/>
      <c r="QYS150" s="6"/>
      <c r="QYT150" s="6"/>
      <c r="QYU150" s="6"/>
      <c r="QYV150" s="6"/>
      <c r="QYW150" s="6"/>
      <c r="QYX150" s="6"/>
      <c r="QYY150" s="6"/>
      <c r="QYZ150" s="6"/>
      <c r="QZA150" s="6"/>
      <c r="QZB150" s="6"/>
      <c r="QZC150" s="6"/>
      <c r="QZD150" s="6"/>
      <c r="QZE150" s="6"/>
      <c r="QZF150" s="6"/>
      <c r="QZG150" s="6"/>
      <c r="QZH150" s="6"/>
      <c r="QZI150" s="6"/>
      <c r="QZJ150" s="6"/>
      <c r="QZK150" s="6"/>
      <c r="QZL150" s="6"/>
      <c r="QZM150" s="6"/>
      <c r="QZN150" s="6"/>
      <c r="QZO150" s="6"/>
      <c r="QZP150" s="6"/>
      <c r="QZQ150" s="6"/>
      <c r="QZR150" s="6"/>
      <c r="QZS150" s="6"/>
      <c r="QZT150" s="6"/>
      <c r="QZU150" s="6"/>
      <c r="QZV150" s="6"/>
      <c r="QZW150" s="6"/>
      <c r="QZX150" s="6"/>
      <c r="QZY150" s="6"/>
      <c r="QZZ150" s="6"/>
      <c r="RAA150" s="6"/>
      <c r="RAB150" s="6"/>
      <c r="RAC150" s="6"/>
      <c r="RAD150" s="6"/>
      <c r="RAE150" s="6"/>
      <c r="RAF150" s="6"/>
      <c r="RAG150" s="6"/>
      <c r="RAH150" s="6"/>
      <c r="RAI150" s="6"/>
      <c r="RAJ150" s="6"/>
      <c r="RAK150" s="6"/>
      <c r="RAL150" s="6"/>
      <c r="RAM150" s="6"/>
      <c r="RAN150" s="6"/>
      <c r="RAO150" s="6"/>
      <c r="RAP150" s="6"/>
      <c r="RAQ150" s="6"/>
      <c r="RAR150" s="6"/>
      <c r="RAS150" s="6"/>
      <c r="RAT150" s="6"/>
      <c r="RAU150" s="6"/>
      <c r="RAV150" s="6"/>
      <c r="RAW150" s="6"/>
      <c r="RAX150" s="6"/>
      <c r="RAY150" s="6"/>
      <c r="RAZ150" s="6"/>
      <c r="RBA150" s="6"/>
      <c r="RBB150" s="6"/>
      <c r="RBC150" s="6"/>
      <c r="RBD150" s="6"/>
      <c r="RBE150" s="6"/>
      <c r="RBF150" s="6"/>
      <c r="RBG150" s="6"/>
      <c r="RBH150" s="6"/>
      <c r="RBI150" s="6"/>
      <c r="RBJ150" s="6"/>
      <c r="RBK150" s="6"/>
      <c r="RBL150" s="6"/>
      <c r="RBM150" s="6"/>
      <c r="RBN150" s="6"/>
      <c r="RBO150" s="6"/>
      <c r="RBP150" s="6"/>
      <c r="RBQ150" s="6"/>
      <c r="RBR150" s="6"/>
      <c r="RBS150" s="6"/>
      <c r="RBT150" s="6"/>
      <c r="RBU150" s="6"/>
      <c r="RBV150" s="6"/>
      <c r="RBW150" s="6"/>
      <c r="RBX150" s="6"/>
      <c r="RBY150" s="6"/>
      <c r="RBZ150" s="6"/>
      <c r="RCA150" s="6"/>
      <c r="RCB150" s="6"/>
      <c r="RCC150" s="6"/>
      <c r="RCD150" s="6"/>
      <c r="RCE150" s="6"/>
      <c r="RCF150" s="6"/>
      <c r="RCG150" s="6"/>
      <c r="RCH150" s="6"/>
      <c r="RCI150" s="6"/>
      <c r="RCJ150" s="6"/>
      <c r="RCK150" s="6"/>
      <c r="RCL150" s="6"/>
      <c r="RCM150" s="6"/>
      <c r="RCN150" s="6"/>
      <c r="RCO150" s="6"/>
      <c r="RCP150" s="6"/>
      <c r="RCQ150" s="6"/>
      <c r="RCR150" s="6"/>
      <c r="RCS150" s="6"/>
      <c r="RCT150" s="6"/>
      <c r="RCU150" s="6"/>
      <c r="RCV150" s="6"/>
      <c r="RCW150" s="6"/>
      <c r="RCX150" s="6"/>
      <c r="RCY150" s="6"/>
      <c r="RCZ150" s="6"/>
      <c r="RDA150" s="6"/>
      <c r="RDB150" s="6"/>
      <c r="RDC150" s="6"/>
      <c r="RDD150" s="6"/>
      <c r="RDE150" s="6"/>
      <c r="RDF150" s="6"/>
      <c r="RDG150" s="6"/>
      <c r="RDH150" s="6"/>
      <c r="RDI150" s="6"/>
      <c r="RDJ150" s="6"/>
      <c r="RDK150" s="6"/>
      <c r="RDL150" s="6"/>
      <c r="RDM150" s="6"/>
      <c r="RDN150" s="6"/>
      <c r="RDO150" s="6"/>
      <c r="RDP150" s="6"/>
      <c r="RDQ150" s="6"/>
      <c r="RDR150" s="6"/>
      <c r="RDS150" s="6"/>
      <c r="RDT150" s="6"/>
      <c r="RDU150" s="6"/>
      <c r="RDV150" s="6"/>
      <c r="RDW150" s="6"/>
      <c r="RDX150" s="6"/>
      <c r="RDY150" s="6"/>
      <c r="RDZ150" s="6"/>
      <c r="REA150" s="6"/>
      <c r="REB150" s="6"/>
      <c r="REC150" s="6"/>
      <c r="RED150" s="6"/>
      <c r="REE150" s="6"/>
      <c r="REF150" s="6"/>
      <c r="REG150" s="6"/>
      <c r="REH150" s="6"/>
      <c r="REI150" s="6"/>
      <c r="REJ150" s="6"/>
      <c r="REK150" s="6"/>
      <c r="REL150" s="6"/>
      <c r="REM150" s="6"/>
      <c r="REN150" s="6"/>
      <c r="REO150" s="6"/>
      <c r="REP150" s="6"/>
      <c r="REQ150" s="6"/>
      <c r="RER150" s="6"/>
      <c r="RES150" s="6"/>
      <c r="RET150" s="6"/>
      <c r="REU150" s="6"/>
      <c r="REV150" s="6"/>
      <c r="REW150" s="6"/>
      <c r="REX150" s="6"/>
      <c r="REY150" s="6"/>
      <c r="REZ150" s="6"/>
      <c r="RFA150" s="6"/>
      <c r="RFB150" s="6"/>
      <c r="RFC150" s="6"/>
      <c r="RFD150" s="6"/>
      <c r="RFE150" s="6"/>
      <c r="RFF150" s="6"/>
      <c r="RFG150" s="6"/>
      <c r="RFH150" s="6"/>
      <c r="RFI150" s="6"/>
      <c r="RFJ150" s="6"/>
      <c r="RFK150" s="6"/>
      <c r="RFL150" s="6"/>
      <c r="RFM150" s="6"/>
      <c r="RFN150" s="6"/>
      <c r="RFO150" s="6"/>
      <c r="RFP150" s="6"/>
      <c r="RFQ150" s="6"/>
      <c r="RFR150" s="6"/>
      <c r="RFS150" s="6"/>
      <c r="RFT150" s="6"/>
      <c r="RFU150" s="6"/>
      <c r="RFV150" s="6"/>
      <c r="RFW150" s="6"/>
      <c r="RFX150" s="6"/>
      <c r="RFY150" s="6"/>
      <c r="RFZ150" s="6"/>
      <c r="RGA150" s="6"/>
      <c r="RGB150" s="6"/>
      <c r="RGC150" s="6"/>
      <c r="RGD150" s="6"/>
      <c r="RGE150" s="6"/>
      <c r="RGF150" s="6"/>
      <c r="RGG150" s="6"/>
      <c r="RGH150" s="6"/>
      <c r="RGI150" s="6"/>
      <c r="RGJ150" s="6"/>
      <c r="RGK150" s="6"/>
      <c r="RGL150" s="6"/>
      <c r="RGM150" s="6"/>
      <c r="RGN150" s="6"/>
      <c r="RGO150" s="6"/>
      <c r="RGP150" s="6"/>
      <c r="RGQ150" s="6"/>
      <c r="RGR150" s="6"/>
      <c r="RGS150" s="6"/>
      <c r="RGT150" s="6"/>
      <c r="RGU150" s="6"/>
      <c r="RGV150" s="6"/>
      <c r="RGW150" s="6"/>
      <c r="RGX150" s="6"/>
      <c r="RGY150" s="6"/>
      <c r="RGZ150" s="6"/>
      <c r="RHA150" s="6"/>
      <c r="RHB150" s="6"/>
      <c r="RHC150" s="6"/>
      <c r="RHD150" s="6"/>
      <c r="RHE150" s="6"/>
      <c r="RHF150" s="6"/>
      <c r="RHG150" s="6"/>
      <c r="RHH150" s="6"/>
      <c r="RHI150" s="6"/>
      <c r="RHJ150" s="6"/>
      <c r="RHK150" s="6"/>
      <c r="RHL150" s="6"/>
      <c r="RHM150" s="6"/>
      <c r="RHN150" s="6"/>
      <c r="RHO150" s="6"/>
      <c r="RHP150" s="6"/>
      <c r="RHQ150" s="6"/>
      <c r="RHR150" s="6"/>
      <c r="RHS150" s="6"/>
      <c r="RHT150" s="6"/>
      <c r="RHU150" s="6"/>
      <c r="RHV150" s="6"/>
      <c r="RHW150" s="6"/>
      <c r="RHX150" s="6"/>
      <c r="RHY150" s="6"/>
      <c r="RHZ150" s="6"/>
      <c r="RIA150" s="6"/>
      <c r="RIB150" s="6"/>
      <c r="RIC150" s="6"/>
      <c r="RID150" s="6"/>
      <c r="RIE150" s="6"/>
      <c r="RIF150" s="6"/>
      <c r="RIG150" s="6"/>
      <c r="RIH150" s="6"/>
      <c r="RII150" s="6"/>
      <c r="RIJ150" s="6"/>
      <c r="RIK150" s="6"/>
      <c r="RIL150" s="6"/>
      <c r="RIM150" s="6"/>
      <c r="RIN150" s="6"/>
      <c r="RIO150" s="6"/>
      <c r="RIP150" s="6"/>
      <c r="RIQ150" s="6"/>
      <c r="RIR150" s="6"/>
      <c r="RIS150" s="6"/>
      <c r="RIT150" s="6"/>
      <c r="RIU150" s="6"/>
      <c r="RIV150" s="6"/>
      <c r="RIW150" s="6"/>
      <c r="RIX150" s="6"/>
      <c r="RIY150" s="6"/>
      <c r="RIZ150" s="6"/>
      <c r="RJA150" s="6"/>
      <c r="RJB150" s="6"/>
      <c r="RJC150" s="6"/>
      <c r="RJD150" s="6"/>
      <c r="RJE150" s="6"/>
      <c r="RJF150" s="6"/>
      <c r="RJG150" s="6"/>
      <c r="RJH150" s="6"/>
      <c r="RJI150" s="6"/>
      <c r="RJJ150" s="6"/>
      <c r="RJK150" s="6"/>
      <c r="RJL150" s="6"/>
      <c r="RJM150" s="6"/>
      <c r="RJN150" s="6"/>
      <c r="RJO150" s="6"/>
      <c r="RJP150" s="6"/>
      <c r="RJQ150" s="6"/>
      <c r="RJR150" s="6"/>
      <c r="RJS150" s="6"/>
      <c r="RJT150" s="6"/>
      <c r="RJU150" s="6"/>
      <c r="RJV150" s="6"/>
      <c r="RJW150" s="6"/>
      <c r="RJX150" s="6"/>
      <c r="RJY150" s="6"/>
      <c r="RJZ150" s="6"/>
      <c r="RKA150" s="6"/>
      <c r="RKB150" s="6"/>
      <c r="RKC150" s="6"/>
      <c r="RKD150" s="6"/>
      <c r="RKE150" s="6"/>
      <c r="RKF150" s="6"/>
      <c r="RKG150" s="6"/>
      <c r="RKH150" s="6"/>
      <c r="RKI150" s="6"/>
      <c r="RKJ150" s="6"/>
      <c r="RKK150" s="6"/>
      <c r="RKL150" s="6"/>
      <c r="RKM150" s="6"/>
      <c r="RKN150" s="6"/>
      <c r="RKO150" s="6"/>
      <c r="RKP150" s="6"/>
      <c r="RKQ150" s="6"/>
      <c r="RKR150" s="6"/>
      <c r="RKS150" s="6"/>
      <c r="RKT150" s="6"/>
      <c r="RKU150" s="6"/>
      <c r="RKV150" s="6"/>
      <c r="RKW150" s="6"/>
      <c r="RKX150" s="6"/>
      <c r="RKY150" s="6"/>
      <c r="RKZ150" s="6"/>
      <c r="RLA150" s="6"/>
      <c r="RLB150" s="6"/>
      <c r="RLC150" s="6"/>
      <c r="RLD150" s="6"/>
      <c r="RLE150" s="6"/>
      <c r="RLF150" s="6"/>
      <c r="RLG150" s="6"/>
      <c r="RLH150" s="6"/>
      <c r="RLI150" s="6"/>
      <c r="RLJ150" s="6"/>
      <c r="RLK150" s="6"/>
      <c r="RLL150" s="6"/>
      <c r="RLM150" s="6"/>
      <c r="RLN150" s="6"/>
      <c r="RLO150" s="6"/>
      <c r="RLP150" s="6"/>
      <c r="RLQ150" s="6"/>
      <c r="RLR150" s="6"/>
      <c r="RLS150" s="6"/>
      <c r="RLT150" s="6"/>
      <c r="RLU150" s="6"/>
      <c r="RLV150" s="6"/>
      <c r="RLW150" s="6"/>
      <c r="RLX150" s="6"/>
      <c r="RLY150" s="6"/>
      <c r="RLZ150" s="6"/>
      <c r="RMA150" s="6"/>
      <c r="RMB150" s="6"/>
      <c r="RMC150" s="6"/>
      <c r="RMD150" s="6"/>
      <c r="RME150" s="6"/>
      <c r="RMF150" s="6"/>
      <c r="RMG150" s="6"/>
      <c r="RMH150" s="6"/>
      <c r="RMI150" s="6"/>
      <c r="RMJ150" s="6"/>
      <c r="RMK150" s="6"/>
      <c r="RML150" s="6"/>
      <c r="RMM150" s="6"/>
      <c r="RMN150" s="6"/>
      <c r="RMO150" s="6"/>
      <c r="RMP150" s="6"/>
      <c r="RMQ150" s="6"/>
      <c r="RMR150" s="6"/>
      <c r="RMS150" s="6"/>
      <c r="RMT150" s="6"/>
      <c r="RMU150" s="6"/>
      <c r="RMV150" s="6"/>
      <c r="RMW150" s="6"/>
      <c r="RMX150" s="6"/>
      <c r="RMY150" s="6"/>
      <c r="RMZ150" s="6"/>
      <c r="RNA150" s="6"/>
      <c r="RNB150" s="6"/>
      <c r="RNC150" s="6"/>
      <c r="RND150" s="6"/>
      <c r="RNE150" s="6"/>
      <c r="RNF150" s="6"/>
      <c r="RNG150" s="6"/>
      <c r="RNH150" s="6"/>
      <c r="RNI150" s="6"/>
      <c r="RNJ150" s="6"/>
      <c r="RNK150" s="6"/>
      <c r="RNL150" s="6"/>
      <c r="RNM150" s="6"/>
      <c r="RNN150" s="6"/>
      <c r="RNO150" s="6"/>
      <c r="RNP150" s="6"/>
      <c r="RNQ150" s="6"/>
      <c r="RNR150" s="6"/>
      <c r="RNS150" s="6"/>
      <c r="RNT150" s="6"/>
      <c r="RNU150" s="6"/>
      <c r="RNV150" s="6"/>
      <c r="RNW150" s="6"/>
      <c r="RNX150" s="6"/>
      <c r="RNY150" s="6"/>
      <c r="RNZ150" s="6"/>
      <c r="ROA150" s="6"/>
      <c r="ROB150" s="6"/>
      <c r="ROC150" s="6"/>
      <c r="ROD150" s="6"/>
      <c r="ROE150" s="6"/>
      <c r="ROF150" s="6"/>
      <c r="ROG150" s="6"/>
      <c r="ROH150" s="6"/>
      <c r="ROI150" s="6"/>
      <c r="ROJ150" s="6"/>
      <c r="ROK150" s="6"/>
      <c r="ROL150" s="6"/>
      <c r="ROM150" s="6"/>
      <c r="RON150" s="6"/>
      <c r="ROO150" s="6"/>
      <c r="ROP150" s="6"/>
      <c r="ROQ150" s="6"/>
      <c r="ROR150" s="6"/>
      <c r="ROS150" s="6"/>
      <c r="ROT150" s="6"/>
      <c r="ROU150" s="6"/>
      <c r="ROV150" s="6"/>
      <c r="ROW150" s="6"/>
      <c r="ROX150" s="6"/>
      <c r="ROY150" s="6"/>
      <c r="ROZ150" s="6"/>
      <c r="RPA150" s="6"/>
      <c r="RPB150" s="6"/>
      <c r="RPC150" s="6"/>
      <c r="RPD150" s="6"/>
      <c r="RPE150" s="6"/>
      <c r="RPF150" s="6"/>
      <c r="RPG150" s="6"/>
      <c r="RPH150" s="6"/>
      <c r="RPI150" s="6"/>
      <c r="RPJ150" s="6"/>
      <c r="RPK150" s="6"/>
      <c r="RPL150" s="6"/>
      <c r="RPM150" s="6"/>
      <c r="RPN150" s="6"/>
      <c r="RPO150" s="6"/>
      <c r="RPP150" s="6"/>
      <c r="RPQ150" s="6"/>
      <c r="RPR150" s="6"/>
      <c r="RPS150" s="6"/>
      <c r="RPT150" s="6"/>
      <c r="RPU150" s="6"/>
      <c r="RPV150" s="6"/>
      <c r="RPW150" s="6"/>
      <c r="RPX150" s="6"/>
      <c r="RPY150" s="6"/>
      <c r="RPZ150" s="6"/>
      <c r="RQA150" s="6"/>
      <c r="RQB150" s="6"/>
      <c r="RQC150" s="6"/>
      <c r="RQD150" s="6"/>
      <c r="RQE150" s="6"/>
      <c r="RQF150" s="6"/>
      <c r="RQG150" s="6"/>
      <c r="RQH150" s="6"/>
      <c r="RQI150" s="6"/>
      <c r="RQJ150" s="6"/>
      <c r="RQK150" s="6"/>
      <c r="RQL150" s="6"/>
      <c r="RQM150" s="6"/>
      <c r="RQN150" s="6"/>
      <c r="RQO150" s="6"/>
      <c r="RQP150" s="6"/>
      <c r="RQQ150" s="6"/>
      <c r="RQR150" s="6"/>
      <c r="RQS150" s="6"/>
      <c r="RQT150" s="6"/>
      <c r="RQU150" s="6"/>
      <c r="RQV150" s="6"/>
      <c r="RQW150" s="6"/>
      <c r="RQX150" s="6"/>
      <c r="RQY150" s="6"/>
      <c r="RQZ150" s="6"/>
      <c r="RRA150" s="6"/>
      <c r="RRB150" s="6"/>
      <c r="RRC150" s="6"/>
      <c r="RRD150" s="6"/>
      <c r="RRE150" s="6"/>
      <c r="RRF150" s="6"/>
      <c r="RRG150" s="6"/>
      <c r="RRH150" s="6"/>
      <c r="RRI150" s="6"/>
      <c r="RRJ150" s="6"/>
      <c r="RRK150" s="6"/>
      <c r="RRL150" s="6"/>
      <c r="RRM150" s="6"/>
      <c r="RRN150" s="6"/>
      <c r="RRO150" s="6"/>
      <c r="RRP150" s="6"/>
      <c r="RRQ150" s="6"/>
      <c r="RRR150" s="6"/>
      <c r="RRS150" s="6"/>
      <c r="RRT150" s="6"/>
      <c r="RRU150" s="6"/>
      <c r="RRV150" s="6"/>
      <c r="RRW150" s="6"/>
      <c r="RRX150" s="6"/>
      <c r="RRY150" s="6"/>
      <c r="RRZ150" s="6"/>
      <c r="RSA150" s="6"/>
      <c r="RSB150" s="6"/>
      <c r="RSC150" s="6"/>
      <c r="RSD150" s="6"/>
      <c r="RSE150" s="6"/>
      <c r="RSF150" s="6"/>
      <c r="RSG150" s="6"/>
      <c r="RSH150" s="6"/>
      <c r="RSI150" s="6"/>
      <c r="RSJ150" s="6"/>
      <c r="RSK150" s="6"/>
      <c r="RSL150" s="6"/>
      <c r="RSM150" s="6"/>
      <c r="RSN150" s="6"/>
      <c r="RSO150" s="6"/>
      <c r="RSP150" s="6"/>
      <c r="RSQ150" s="6"/>
      <c r="RSR150" s="6"/>
      <c r="RSS150" s="6"/>
      <c r="RST150" s="6"/>
      <c r="RSU150" s="6"/>
      <c r="RSV150" s="6"/>
      <c r="RSW150" s="6"/>
      <c r="RSX150" s="6"/>
      <c r="RSY150" s="6"/>
      <c r="RSZ150" s="6"/>
      <c r="RTA150" s="6"/>
      <c r="RTB150" s="6"/>
      <c r="RTC150" s="6"/>
      <c r="RTD150" s="6"/>
      <c r="RTE150" s="6"/>
      <c r="RTF150" s="6"/>
      <c r="RTG150" s="6"/>
      <c r="RTH150" s="6"/>
      <c r="RTI150" s="6"/>
      <c r="RTJ150" s="6"/>
      <c r="RTK150" s="6"/>
      <c r="RTL150" s="6"/>
      <c r="RTM150" s="6"/>
      <c r="RTN150" s="6"/>
      <c r="RTO150" s="6"/>
      <c r="RTP150" s="6"/>
      <c r="RTQ150" s="6"/>
      <c r="RTR150" s="6"/>
      <c r="RTS150" s="6"/>
      <c r="RTT150" s="6"/>
      <c r="RTU150" s="6"/>
      <c r="RTV150" s="6"/>
      <c r="RTW150" s="6"/>
      <c r="RTX150" s="6"/>
      <c r="RTY150" s="6"/>
      <c r="RTZ150" s="6"/>
      <c r="RUA150" s="6"/>
      <c r="RUB150" s="6"/>
      <c r="RUC150" s="6"/>
      <c r="RUD150" s="6"/>
      <c r="RUE150" s="6"/>
      <c r="RUF150" s="6"/>
      <c r="RUG150" s="6"/>
      <c r="RUH150" s="6"/>
      <c r="RUI150" s="6"/>
      <c r="RUJ150" s="6"/>
      <c r="RUK150" s="6"/>
      <c r="RUL150" s="6"/>
      <c r="RUM150" s="6"/>
      <c r="RUN150" s="6"/>
      <c r="RUO150" s="6"/>
      <c r="RUP150" s="6"/>
      <c r="RUQ150" s="6"/>
      <c r="RUR150" s="6"/>
      <c r="RUS150" s="6"/>
      <c r="RUT150" s="6"/>
      <c r="RUU150" s="6"/>
      <c r="RUV150" s="6"/>
      <c r="RUW150" s="6"/>
      <c r="RUX150" s="6"/>
      <c r="RUY150" s="6"/>
      <c r="RUZ150" s="6"/>
      <c r="RVA150" s="6"/>
      <c r="RVB150" s="6"/>
      <c r="RVC150" s="6"/>
      <c r="RVD150" s="6"/>
      <c r="RVE150" s="6"/>
      <c r="RVF150" s="6"/>
      <c r="RVG150" s="6"/>
      <c r="RVH150" s="6"/>
      <c r="RVI150" s="6"/>
      <c r="RVJ150" s="6"/>
      <c r="RVK150" s="6"/>
      <c r="RVL150" s="6"/>
      <c r="RVM150" s="6"/>
      <c r="RVN150" s="6"/>
      <c r="RVO150" s="6"/>
      <c r="RVP150" s="6"/>
      <c r="RVQ150" s="6"/>
      <c r="RVR150" s="6"/>
      <c r="RVS150" s="6"/>
      <c r="RVT150" s="6"/>
      <c r="RVU150" s="6"/>
      <c r="RVV150" s="6"/>
      <c r="RVW150" s="6"/>
      <c r="RVX150" s="6"/>
      <c r="RVY150" s="6"/>
      <c r="RVZ150" s="6"/>
      <c r="RWA150" s="6"/>
      <c r="RWB150" s="6"/>
      <c r="RWC150" s="6"/>
      <c r="RWD150" s="6"/>
      <c r="RWE150" s="6"/>
      <c r="RWF150" s="6"/>
      <c r="RWG150" s="6"/>
      <c r="RWH150" s="6"/>
      <c r="RWI150" s="6"/>
      <c r="RWJ150" s="6"/>
      <c r="RWK150" s="6"/>
      <c r="RWL150" s="6"/>
      <c r="RWM150" s="6"/>
      <c r="RWN150" s="6"/>
      <c r="RWO150" s="6"/>
      <c r="RWP150" s="6"/>
      <c r="RWQ150" s="6"/>
      <c r="RWR150" s="6"/>
      <c r="RWS150" s="6"/>
      <c r="RWT150" s="6"/>
      <c r="RWU150" s="6"/>
      <c r="RWV150" s="6"/>
      <c r="RWW150" s="6"/>
      <c r="RWX150" s="6"/>
      <c r="RWY150" s="6"/>
      <c r="RWZ150" s="6"/>
      <c r="RXA150" s="6"/>
      <c r="RXB150" s="6"/>
      <c r="RXC150" s="6"/>
      <c r="RXD150" s="6"/>
      <c r="RXE150" s="6"/>
      <c r="RXF150" s="6"/>
      <c r="RXG150" s="6"/>
      <c r="RXH150" s="6"/>
      <c r="RXI150" s="6"/>
      <c r="RXJ150" s="6"/>
      <c r="RXK150" s="6"/>
      <c r="RXL150" s="6"/>
      <c r="RXM150" s="6"/>
      <c r="RXN150" s="6"/>
      <c r="RXO150" s="6"/>
      <c r="RXP150" s="6"/>
      <c r="RXQ150" s="6"/>
      <c r="RXR150" s="6"/>
      <c r="RXS150" s="6"/>
      <c r="RXT150" s="6"/>
      <c r="RXU150" s="6"/>
      <c r="RXV150" s="6"/>
      <c r="RXW150" s="6"/>
      <c r="RXX150" s="6"/>
      <c r="RXY150" s="6"/>
      <c r="RXZ150" s="6"/>
      <c r="RYA150" s="6"/>
      <c r="RYB150" s="6"/>
      <c r="RYC150" s="6"/>
      <c r="RYD150" s="6"/>
      <c r="RYE150" s="6"/>
      <c r="RYF150" s="6"/>
      <c r="RYG150" s="6"/>
      <c r="RYH150" s="6"/>
      <c r="RYI150" s="6"/>
      <c r="RYJ150" s="6"/>
      <c r="RYK150" s="6"/>
      <c r="RYL150" s="6"/>
      <c r="RYM150" s="6"/>
      <c r="RYN150" s="6"/>
      <c r="RYO150" s="6"/>
      <c r="RYP150" s="6"/>
      <c r="RYQ150" s="6"/>
      <c r="RYR150" s="6"/>
      <c r="RYS150" s="6"/>
      <c r="RYT150" s="6"/>
      <c r="RYU150" s="6"/>
      <c r="RYV150" s="6"/>
      <c r="RYW150" s="6"/>
      <c r="RYX150" s="6"/>
      <c r="RYY150" s="6"/>
      <c r="RYZ150" s="6"/>
      <c r="RZA150" s="6"/>
      <c r="RZB150" s="6"/>
      <c r="RZC150" s="6"/>
      <c r="RZD150" s="6"/>
      <c r="RZE150" s="6"/>
      <c r="RZF150" s="6"/>
      <c r="RZG150" s="6"/>
      <c r="RZH150" s="6"/>
      <c r="RZI150" s="6"/>
      <c r="RZJ150" s="6"/>
      <c r="RZK150" s="6"/>
      <c r="RZL150" s="6"/>
      <c r="RZM150" s="6"/>
      <c r="RZN150" s="6"/>
      <c r="RZO150" s="6"/>
      <c r="RZP150" s="6"/>
      <c r="RZQ150" s="6"/>
      <c r="RZR150" s="6"/>
      <c r="RZS150" s="6"/>
      <c r="RZT150" s="6"/>
      <c r="RZU150" s="6"/>
      <c r="RZV150" s="6"/>
      <c r="RZW150" s="6"/>
      <c r="RZX150" s="6"/>
      <c r="RZY150" s="6"/>
      <c r="RZZ150" s="6"/>
      <c r="SAA150" s="6"/>
      <c r="SAB150" s="6"/>
      <c r="SAC150" s="6"/>
      <c r="SAD150" s="6"/>
      <c r="SAE150" s="6"/>
      <c r="SAF150" s="6"/>
      <c r="SAG150" s="6"/>
      <c r="SAH150" s="6"/>
      <c r="SAI150" s="6"/>
      <c r="SAJ150" s="6"/>
      <c r="SAK150" s="6"/>
      <c r="SAL150" s="6"/>
      <c r="SAM150" s="6"/>
      <c r="SAN150" s="6"/>
      <c r="SAO150" s="6"/>
      <c r="SAP150" s="6"/>
      <c r="SAQ150" s="6"/>
      <c r="SAR150" s="6"/>
      <c r="SAS150" s="6"/>
      <c r="SAT150" s="6"/>
      <c r="SAU150" s="6"/>
      <c r="SAV150" s="6"/>
      <c r="SAW150" s="6"/>
      <c r="SAX150" s="6"/>
      <c r="SAY150" s="6"/>
      <c r="SAZ150" s="6"/>
      <c r="SBA150" s="6"/>
      <c r="SBB150" s="6"/>
      <c r="SBC150" s="6"/>
      <c r="SBD150" s="6"/>
      <c r="SBE150" s="6"/>
      <c r="SBF150" s="6"/>
      <c r="SBG150" s="6"/>
      <c r="SBH150" s="6"/>
      <c r="SBI150" s="6"/>
      <c r="SBJ150" s="6"/>
      <c r="SBK150" s="6"/>
      <c r="SBL150" s="6"/>
      <c r="SBM150" s="6"/>
      <c r="SBN150" s="6"/>
      <c r="SBO150" s="6"/>
      <c r="SBP150" s="6"/>
      <c r="SBQ150" s="6"/>
      <c r="SBR150" s="6"/>
      <c r="SBS150" s="6"/>
      <c r="SBT150" s="6"/>
      <c r="SBU150" s="6"/>
      <c r="SBV150" s="6"/>
      <c r="SBW150" s="6"/>
      <c r="SBX150" s="6"/>
      <c r="SBY150" s="6"/>
      <c r="SBZ150" s="6"/>
      <c r="SCA150" s="6"/>
      <c r="SCB150" s="6"/>
      <c r="SCC150" s="6"/>
      <c r="SCD150" s="6"/>
      <c r="SCE150" s="6"/>
      <c r="SCF150" s="6"/>
      <c r="SCG150" s="6"/>
      <c r="SCH150" s="6"/>
      <c r="SCI150" s="6"/>
      <c r="SCJ150" s="6"/>
      <c r="SCK150" s="6"/>
      <c r="SCL150" s="6"/>
      <c r="SCM150" s="6"/>
      <c r="SCN150" s="6"/>
      <c r="SCO150" s="6"/>
      <c r="SCP150" s="6"/>
      <c r="SCQ150" s="6"/>
      <c r="SCR150" s="6"/>
      <c r="SCS150" s="6"/>
      <c r="SCT150" s="6"/>
      <c r="SCU150" s="6"/>
      <c r="SCV150" s="6"/>
      <c r="SCW150" s="6"/>
      <c r="SCX150" s="6"/>
      <c r="SCY150" s="6"/>
      <c r="SCZ150" s="6"/>
      <c r="SDA150" s="6"/>
      <c r="SDB150" s="6"/>
      <c r="SDC150" s="6"/>
      <c r="SDD150" s="6"/>
      <c r="SDE150" s="6"/>
      <c r="SDF150" s="6"/>
      <c r="SDG150" s="6"/>
      <c r="SDH150" s="6"/>
      <c r="SDI150" s="6"/>
      <c r="SDJ150" s="6"/>
      <c r="SDK150" s="6"/>
      <c r="SDL150" s="6"/>
      <c r="SDM150" s="6"/>
      <c r="SDN150" s="6"/>
      <c r="SDO150" s="6"/>
      <c r="SDP150" s="6"/>
      <c r="SDQ150" s="6"/>
      <c r="SDR150" s="6"/>
      <c r="SDS150" s="6"/>
      <c r="SDT150" s="6"/>
      <c r="SDU150" s="6"/>
      <c r="SDV150" s="6"/>
      <c r="SDW150" s="6"/>
      <c r="SDX150" s="6"/>
      <c r="SDY150" s="6"/>
      <c r="SDZ150" s="6"/>
      <c r="SEA150" s="6"/>
      <c r="SEB150" s="6"/>
      <c r="SEC150" s="6"/>
      <c r="SED150" s="6"/>
      <c r="SEE150" s="6"/>
      <c r="SEF150" s="6"/>
      <c r="SEG150" s="6"/>
      <c r="SEH150" s="6"/>
      <c r="SEI150" s="6"/>
      <c r="SEJ150" s="6"/>
      <c r="SEK150" s="6"/>
      <c r="SEL150" s="6"/>
      <c r="SEM150" s="6"/>
      <c r="SEN150" s="6"/>
      <c r="SEO150" s="6"/>
      <c r="SEP150" s="6"/>
      <c r="SEQ150" s="6"/>
      <c r="SER150" s="6"/>
      <c r="SES150" s="6"/>
      <c r="SET150" s="6"/>
      <c r="SEU150" s="6"/>
      <c r="SEV150" s="6"/>
      <c r="SEW150" s="6"/>
      <c r="SEX150" s="6"/>
      <c r="SEY150" s="6"/>
      <c r="SEZ150" s="6"/>
      <c r="SFA150" s="6"/>
      <c r="SFB150" s="6"/>
      <c r="SFC150" s="6"/>
      <c r="SFD150" s="6"/>
      <c r="SFE150" s="6"/>
      <c r="SFF150" s="6"/>
      <c r="SFG150" s="6"/>
      <c r="SFH150" s="6"/>
      <c r="SFI150" s="6"/>
      <c r="SFJ150" s="6"/>
      <c r="SFK150" s="6"/>
      <c r="SFL150" s="6"/>
      <c r="SFM150" s="6"/>
      <c r="SFN150" s="6"/>
      <c r="SFO150" s="6"/>
      <c r="SFP150" s="6"/>
      <c r="SFQ150" s="6"/>
      <c r="SFR150" s="6"/>
      <c r="SFS150" s="6"/>
      <c r="SFT150" s="6"/>
      <c r="SFU150" s="6"/>
      <c r="SFV150" s="6"/>
      <c r="SFW150" s="6"/>
      <c r="SFX150" s="6"/>
      <c r="SFY150" s="6"/>
      <c r="SFZ150" s="6"/>
      <c r="SGA150" s="6"/>
      <c r="SGB150" s="6"/>
      <c r="SGC150" s="6"/>
      <c r="SGD150" s="6"/>
      <c r="SGE150" s="6"/>
      <c r="SGF150" s="6"/>
      <c r="SGG150" s="6"/>
      <c r="SGH150" s="6"/>
      <c r="SGI150" s="6"/>
      <c r="SGJ150" s="6"/>
      <c r="SGK150" s="6"/>
      <c r="SGL150" s="6"/>
      <c r="SGM150" s="6"/>
      <c r="SGN150" s="6"/>
      <c r="SGO150" s="6"/>
      <c r="SGP150" s="6"/>
      <c r="SGQ150" s="6"/>
      <c r="SGR150" s="6"/>
      <c r="SGS150" s="6"/>
      <c r="SGT150" s="6"/>
      <c r="SGU150" s="6"/>
      <c r="SGV150" s="6"/>
      <c r="SGW150" s="6"/>
      <c r="SGX150" s="6"/>
      <c r="SGY150" s="6"/>
      <c r="SGZ150" s="6"/>
      <c r="SHA150" s="6"/>
      <c r="SHB150" s="6"/>
      <c r="SHC150" s="6"/>
      <c r="SHD150" s="6"/>
      <c r="SHE150" s="6"/>
      <c r="SHF150" s="6"/>
      <c r="SHG150" s="6"/>
      <c r="SHH150" s="6"/>
      <c r="SHI150" s="6"/>
      <c r="SHJ150" s="6"/>
      <c r="SHK150" s="6"/>
      <c r="SHL150" s="6"/>
      <c r="SHM150" s="6"/>
      <c r="SHN150" s="6"/>
      <c r="SHO150" s="6"/>
      <c r="SHP150" s="6"/>
      <c r="SHQ150" s="6"/>
      <c r="SHR150" s="6"/>
      <c r="SHS150" s="6"/>
      <c r="SHT150" s="6"/>
      <c r="SHU150" s="6"/>
      <c r="SHV150" s="6"/>
      <c r="SHW150" s="6"/>
      <c r="SHX150" s="6"/>
      <c r="SHY150" s="6"/>
      <c r="SHZ150" s="6"/>
      <c r="SIA150" s="6"/>
      <c r="SIB150" s="6"/>
      <c r="SIC150" s="6"/>
      <c r="SID150" s="6"/>
      <c r="SIE150" s="6"/>
      <c r="SIF150" s="6"/>
      <c r="SIG150" s="6"/>
      <c r="SIH150" s="6"/>
      <c r="SII150" s="6"/>
      <c r="SIJ150" s="6"/>
      <c r="SIK150" s="6"/>
      <c r="SIL150" s="6"/>
      <c r="SIM150" s="6"/>
      <c r="SIN150" s="6"/>
      <c r="SIO150" s="6"/>
      <c r="SIP150" s="6"/>
      <c r="SIQ150" s="6"/>
      <c r="SIR150" s="6"/>
      <c r="SIS150" s="6"/>
      <c r="SIT150" s="6"/>
      <c r="SIU150" s="6"/>
      <c r="SIV150" s="6"/>
      <c r="SIW150" s="6"/>
      <c r="SIX150" s="6"/>
      <c r="SIY150" s="6"/>
      <c r="SIZ150" s="6"/>
      <c r="SJA150" s="6"/>
      <c r="SJB150" s="6"/>
      <c r="SJC150" s="6"/>
      <c r="SJD150" s="6"/>
      <c r="SJE150" s="6"/>
      <c r="SJF150" s="6"/>
      <c r="SJG150" s="6"/>
      <c r="SJH150" s="6"/>
      <c r="SJI150" s="6"/>
      <c r="SJJ150" s="6"/>
      <c r="SJK150" s="6"/>
      <c r="SJL150" s="6"/>
      <c r="SJM150" s="6"/>
      <c r="SJN150" s="6"/>
      <c r="SJO150" s="6"/>
      <c r="SJP150" s="6"/>
      <c r="SJQ150" s="6"/>
      <c r="SJR150" s="6"/>
      <c r="SJS150" s="6"/>
      <c r="SJT150" s="6"/>
      <c r="SJU150" s="6"/>
      <c r="SJV150" s="6"/>
      <c r="SJW150" s="6"/>
      <c r="SJX150" s="6"/>
      <c r="SJY150" s="6"/>
      <c r="SJZ150" s="6"/>
      <c r="SKA150" s="6"/>
      <c r="SKB150" s="6"/>
      <c r="SKC150" s="6"/>
      <c r="SKD150" s="6"/>
      <c r="SKE150" s="6"/>
      <c r="SKF150" s="6"/>
      <c r="SKG150" s="6"/>
      <c r="SKH150" s="6"/>
      <c r="SKI150" s="6"/>
      <c r="SKJ150" s="6"/>
      <c r="SKK150" s="6"/>
      <c r="SKL150" s="6"/>
      <c r="SKM150" s="6"/>
      <c r="SKN150" s="6"/>
      <c r="SKO150" s="6"/>
      <c r="SKP150" s="6"/>
      <c r="SKQ150" s="6"/>
      <c r="SKR150" s="6"/>
      <c r="SKS150" s="6"/>
      <c r="SKT150" s="6"/>
      <c r="SKU150" s="6"/>
      <c r="SKV150" s="6"/>
      <c r="SKW150" s="6"/>
      <c r="SKX150" s="6"/>
      <c r="SKY150" s="6"/>
      <c r="SKZ150" s="6"/>
      <c r="SLA150" s="6"/>
      <c r="SLB150" s="6"/>
      <c r="SLC150" s="6"/>
      <c r="SLD150" s="6"/>
      <c r="SLE150" s="6"/>
      <c r="SLF150" s="6"/>
      <c r="SLG150" s="6"/>
      <c r="SLH150" s="6"/>
      <c r="SLI150" s="6"/>
      <c r="SLJ150" s="6"/>
      <c r="SLK150" s="6"/>
      <c r="SLL150" s="6"/>
      <c r="SLM150" s="6"/>
      <c r="SLN150" s="6"/>
      <c r="SLO150" s="6"/>
      <c r="SLP150" s="6"/>
      <c r="SLQ150" s="6"/>
      <c r="SLR150" s="6"/>
      <c r="SLS150" s="6"/>
      <c r="SLT150" s="6"/>
      <c r="SLU150" s="6"/>
      <c r="SLV150" s="6"/>
      <c r="SLW150" s="6"/>
      <c r="SLX150" s="6"/>
      <c r="SLY150" s="6"/>
      <c r="SLZ150" s="6"/>
      <c r="SMA150" s="6"/>
      <c r="SMB150" s="6"/>
      <c r="SMC150" s="6"/>
      <c r="SMD150" s="6"/>
      <c r="SME150" s="6"/>
      <c r="SMF150" s="6"/>
      <c r="SMG150" s="6"/>
      <c r="SMH150" s="6"/>
      <c r="SMI150" s="6"/>
      <c r="SMJ150" s="6"/>
      <c r="SMK150" s="6"/>
      <c r="SML150" s="6"/>
      <c r="SMM150" s="6"/>
      <c r="SMN150" s="6"/>
      <c r="SMO150" s="6"/>
      <c r="SMP150" s="6"/>
      <c r="SMQ150" s="6"/>
      <c r="SMR150" s="6"/>
      <c r="SMS150" s="6"/>
      <c r="SMT150" s="6"/>
      <c r="SMU150" s="6"/>
      <c r="SMV150" s="6"/>
      <c r="SMW150" s="6"/>
      <c r="SMX150" s="6"/>
      <c r="SMY150" s="6"/>
      <c r="SMZ150" s="6"/>
      <c r="SNA150" s="6"/>
      <c r="SNB150" s="6"/>
      <c r="SNC150" s="6"/>
      <c r="SND150" s="6"/>
      <c r="SNE150" s="6"/>
      <c r="SNF150" s="6"/>
      <c r="SNG150" s="6"/>
      <c r="SNH150" s="6"/>
      <c r="SNI150" s="6"/>
      <c r="SNJ150" s="6"/>
      <c r="SNK150" s="6"/>
      <c r="SNL150" s="6"/>
      <c r="SNM150" s="6"/>
      <c r="SNN150" s="6"/>
      <c r="SNO150" s="6"/>
      <c r="SNP150" s="6"/>
      <c r="SNQ150" s="6"/>
      <c r="SNR150" s="6"/>
      <c r="SNS150" s="6"/>
      <c r="SNT150" s="6"/>
      <c r="SNU150" s="6"/>
      <c r="SNV150" s="6"/>
      <c r="SNW150" s="6"/>
      <c r="SNX150" s="6"/>
      <c r="SNY150" s="6"/>
      <c r="SNZ150" s="6"/>
      <c r="SOA150" s="6"/>
      <c r="SOB150" s="6"/>
      <c r="SOC150" s="6"/>
      <c r="SOD150" s="6"/>
      <c r="SOE150" s="6"/>
      <c r="SOF150" s="6"/>
      <c r="SOG150" s="6"/>
      <c r="SOH150" s="6"/>
      <c r="SOI150" s="6"/>
      <c r="SOJ150" s="6"/>
      <c r="SOK150" s="6"/>
      <c r="SOL150" s="6"/>
      <c r="SOM150" s="6"/>
      <c r="SON150" s="6"/>
      <c r="SOO150" s="6"/>
      <c r="SOP150" s="6"/>
      <c r="SOQ150" s="6"/>
      <c r="SOR150" s="6"/>
      <c r="SOS150" s="6"/>
      <c r="SOT150" s="6"/>
      <c r="SOU150" s="6"/>
      <c r="SOV150" s="6"/>
      <c r="SOW150" s="6"/>
      <c r="SOX150" s="6"/>
      <c r="SOY150" s="6"/>
      <c r="SOZ150" s="6"/>
      <c r="SPA150" s="6"/>
      <c r="SPB150" s="6"/>
      <c r="SPC150" s="6"/>
      <c r="SPD150" s="6"/>
      <c r="SPE150" s="6"/>
      <c r="SPF150" s="6"/>
      <c r="SPG150" s="6"/>
      <c r="SPH150" s="6"/>
      <c r="SPI150" s="6"/>
      <c r="SPJ150" s="6"/>
      <c r="SPK150" s="6"/>
      <c r="SPL150" s="6"/>
      <c r="SPM150" s="6"/>
      <c r="SPN150" s="6"/>
      <c r="SPO150" s="6"/>
      <c r="SPP150" s="6"/>
      <c r="SPQ150" s="6"/>
      <c r="SPR150" s="6"/>
      <c r="SPS150" s="6"/>
      <c r="SPT150" s="6"/>
      <c r="SPU150" s="6"/>
      <c r="SPV150" s="6"/>
      <c r="SPW150" s="6"/>
      <c r="SPX150" s="6"/>
      <c r="SPY150" s="6"/>
      <c r="SPZ150" s="6"/>
      <c r="SQA150" s="6"/>
      <c r="SQB150" s="6"/>
      <c r="SQC150" s="6"/>
      <c r="SQD150" s="6"/>
      <c r="SQE150" s="6"/>
      <c r="SQF150" s="6"/>
      <c r="SQG150" s="6"/>
      <c r="SQH150" s="6"/>
      <c r="SQI150" s="6"/>
      <c r="SQJ150" s="6"/>
      <c r="SQK150" s="6"/>
      <c r="SQL150" s="6"/>
      <c r="SQM150" s="6"/>
      <c r="SQN150" s="6"/>
      <c r="SQO150" s="6"/>
      <c r="SQP150" s="6"/>
      <c r="SQQ150" s="6"/>
      <c r="SQR150" s="6"/>
      <c r="SQS150" s="6"/>
      <c r="SQT150" s="6"/>
      <c r="SQU150" s="6"/>
      <c r="SQV150" s="6"/>
      <c r="SQW150" s="6"/>
      <c r="SQX150" s="6"/>
      <c r="SQY150" s="6"/>
      <c r="SQZ150" s="6"/>
      <c r="SRA150" s="6"/>
      <c r="SRB150" s="6"/>
      <c r="SRC150" s="6"/>
      <c r="SRD150" s="6"/>
      <c r="SRE150" s="6"/>
      <c r="SRF150" s="6"/>
      <c r="SRG150" s="6"/>
      <c r="SRH150" s="6"/>
      <c r="SRI150" s="6"/>
      <c r="SRJ150" s="6"/>
      <c r="SRK150" s="6"/>
      <c r="SRL150" s="6"/>
      <c r="SRM150" s="6"/>
      <c r="SRN150" s="6"/>
      <c r="SRO150" s="6"/>
      <c r="SRP150" s="6"/>
      <c r="SRQ150" s="6"/>
      <c r="SRR150" s="6"/>
      <c r="SRS150" s="6"/>
      <c r="SRT150" s="6"/>
      <c r="SRU150" s="6"/>
      <c r="SRV150" s="6"/>
      <c r="SRW150" s="6"/>
      <c r="SRX150" s="6"/>
      <c r="SRY150" s="6"/>
      <c r="SRZ150" s="6"/>
      <c r="SSA150" s="6"/>
      <c r="SSB150" s="6"/>
      <c r="SSC150" s="6"/>
      <c r="SSD150" s="6"/>
      <c r="SSE150" s="6"/>
      <c r="SSF150" s="6"/>
      <c r="SSG150" s="6"/>
      <c r="SSH150" s="6"/>
      <c r="SSI150" s="6"/>
      <c r="SSJ150" s="6"/>
      <c r="SSK150" s="6"/>
      <c r="SSL150" s="6"/>
      <c r="SSM150" s="6"/>
      <c r="SSN150" s="6"/>
      <c r="SSO150" s="6"/>
      <c r="SSP150" s="6"/>
      <c r="SSQ150" s="6"/>
      <c r="SSR150" s="6"/>
      <c r="SSS150" s="6"/>
      <c r="SST150" s="6"/>
      <c r="SSU150" s="6"/>
      <c r="SSV150" s="6"/>
      <c r="SSW150" s="6"/>
      <c r="SSX150" s="6"/>
      <c r="SSY150" s="6"/>
      <c r="SSZ150" s="6"/>
      <c r="STA150" s="6"/>
      <c r="STB150" s="6"/>
      <c r="STC150" s="6"/>
      <c r="STD150" s="6"/>
      <c r="STE150" s="6"/>
      <c r="STF150" s="6"/>
      <c r="STG150" s="6"/>
      <c r="STH150" s="6"/>
      <c r="STI150" s="6"/>
      <c r="STJ150" s="6"/>
      <c r="STK150" s="6"/>
      <c r="STL150" s="6"/>
      <c r="STM150" s="6"/>
      <c r="STN150" s="6"/>
      <c r="STO150" s="6"/>
      <c r="STP150" s="6"/>
      <c r="STQ150" s="6"/>
      <c r="STR150" s="6"/>
      <c r="STS150" s="6"/>
      <c r="STT150" s="6"/>
      <c r="STU150" s="6"/>
      <c r="STV150" s="6"/>
      <c r="STW150" s="6"/>
      <c r="STX150" s="6"/>
      <c r="STY150" s="6"/>
      <c r="STZ150" s="6"/>
      <c r="SUA150" s="6"/>
      <c r="SUB150" s="6"/>
      <c r="SUC150" s="6"/>
      <c r="SUD150" s="6"/>
      <c r="SUE150" s="6"/>
      <c r="SUF150" s="6"/>
      <c r="SUG150" s="6"/>
      <c r="SUH150" s="6"/>
      <c r="SUI150" s="6"/>
      <c r="SUJ150" s="6"/>
      <c r="SUK150" s="6"/>
      <c r="SUL150" s="6"/>
      <c r="SUM150" s="6"/>
      <c r="SUN150" s="6"/>
      <c r="SUO150" s="6"/>
      <c r="SUP150" s="6"/>
      <c r="SUQ150" s="6"/>
      <c r="SUR150" s="6"/>
      <c r="SUS150" s="6"/>
      <c r="SUT150" s="6"/>
      <c r="SUU150" s="6"/>
      <c r="SUV150" s="6"/>
      <c r="SUW150" s="6"/>
      <c r="SUX150" s="6"/>
      <c r="SUY150" s="6"/>
      <c r="SUZ150" s="6"/>
      <c r="SVA150" s="6"/>
      <c r="SVB150" s="6"/>
      <c r="SVC150" s="6"/>
      <c r="SVD150" s="6"/>
      <c r="SVE150" s="6"/>
      <c r="SVF150" s="6"/>
      <c r="SVG150" s="6"/>
      <c r="SVH150" s="6"/>
      <c r="SVI150" s="6"/>
      <c r="SVJ150" s="6"/>
      <c r="SVK150" s="6"/>
      <c r="SVL150" s="6"/>
      <c r="SVM150" s="6"/>
      <c r="SVN150" s="6"/>
      <c r="SVO150" s="6"/>
      <c r="SVP150" s="6"/>
      <c r="SVQ150" s="6"/>
      <c r="SVR150" s="6"/>
      <c r="SVS150" s="6"/>
      <c r="SVT150" s="6"/>
      <c r="SVU150" s="6"/>
      <c r="SVV150" s="6"/>
      <c r="SVW150" s="6"/>
      <c r="SVX150" s="6"/>
      <c r="SVY150" s="6"/>
      <c r="SVZ150" s="6"/>
      <c r="SWA150" s="6"/>
      <c r="SWB150" s="6"/>
      <c r="SWC150" s="6"/>
      <c r="SWD150" s="6"/>
      <c r="SWE150" s="6"/>
      <c r="SWF150" s="6"/>
      <c r="SWG150" s="6"/>
      <c r="SWH150" s="6"/>
      <c r="SWI150" s="6"/>
      <c r="SWJ150" s="6"/>
      <c r="SWK150" s="6"/>
      <c r="SWL150" s="6"/>
      <c r="SWM150" s="6"/>
      <c r="SWN150" s="6"/>
      <c r="SWO150" s="6"/>
      <c r="SWP150" s="6"/>
      <c r="SWQ150" s="6"/>
      <c r="SWR150" s="6"/>
      <c r="SWS150" s="6"/>
      <c r="SWT150" s="6"/>
      <c r="SWU150" s="6"/>
      <c r="SWV150" s="6"/>
      <c r="SWW150" s="6"/>
      <c r="SWX150" s="6"/>
      <c r="SWY150" s="6"/>
      <c r="SWZ150" s="6"/>
      <c r="SXA150" s="6"/>
      <c r="SXB150" s="6"/>
      <c r="SXC150" s="6"/>
      <c r="SXD150" s="6"/>
      <c r="SXE150" s="6"/>
      <c r="SXF150" s="6"/>
      <c r="SXG150" s="6"/>
      <c r="SXH150" s="6"/>
      <c r="SXI150" s="6"/>
      <c r="SXJ150" s="6"/>
      <c r="SXK150" s="6"/>
      <c r="SXL150" s="6"/>
      <c r="SXM150" s="6"/>
      <c r="SXN150" s="6"/>
      <c r="SXO150" s="6"/>
      <c r="SXP150" s="6"/>
      <c r="SXQ150" s="6"/>
      <c r="SXR150" s="6"/>
      <c r="SXS150" s="6"/>
      <c r="SXT150" s="6"/>
      <c r="SXU150" s="6"/>
      <c r="SXV150" s="6"/>
      <c r="SXW150" s="6"/>
      <c r="SXX150" s="6"/>
      <c r="SXY150" s="6"/>
      <c r="SXZ150" s="6"/>
      <c r="SYA150" s="6"/>
      <c r="SYB150" s="6"/>
      <c r="SYC150" s="6"/>
      <c r="SYD150" s="6"/>
      <c r="SYE150" s="6"/>
      <c r="SYF150" s="6"/>
      <c r="SYG150" s="6"/>
      <c r="SYH150" s="6"/>
      <c r="SYI150" s="6"/>
      <c r="SYJ150" s="6"/>
      <c r="SYK150" s="6"/>
      <c r="SYL150" s="6"/>
      <c r="SYM150" s="6"/>
      <c r="SYN150" s="6"/>
      <c r="SYO150" s="6"/>
      <c r="SYP150" s="6"/>
      <c r="SYQ150" s="6"/>
      <c r="SYR150" s="6"/>
      <c r="SYS150" s="6"/>
      <c r="SYT150" s="6"/>
      <c r="SYU150" s="6"/>
      <c r="SYV150" s="6"/>
      <c r="SYW150" s="6"/>
      <c r="SYX150" s="6"/>
      <c r="SYY150" s="6"/>
      <c r="SYZ150" s="6"/>
      <c r="SZA150" s="6"/>
      <c r="SZB150" s="6"/>
      <c r="SZC150" s="6"/>
      <c r="SZD150" s="6"/>
      <c r="SZE150" s="6"/>
      <c r="SZF150" s="6"/>
      <c r="SZG150" s="6"/>
      <c r="SZH150" s="6"/>
      <c r="SZI150" s="6"/>
      <c r="SZJ150" s="6"/>
      <c r="SZK150" s="6"/>
      <c r="SZL150" s="6"/>
      <c r="SZM150" s="6"/>
      <c r="SZN150" s="6"/>
      <c r="SZO150" s="6"/>
      <c r="SZP150" s="6"/>
      <c r="SZQ150" s="6"/>
      <c r="SZR150" s="6"/>
      <c r="SZS150" s="6"/>
      <c r="SZT150" s="6"/>
      <c r="SZU150" s="6"/>
      <c r="SZV150" s="6"/>
      <c r="SZW150" s="6"/>
      <c r="SZX150" s="6"/>
      <c r="SZY150" s="6"/>
      <c r="SZZ150" s="6"/>
      <c r="TAA150" s="6"/>
      <c r="TAB150" s="6"/>
      <c r="TAC150" s="6"/>
      <c r="TAD150" s="6"/>
      <c r="TAE150" s="6"/>
      <c r="TAF150" s="6"/>
      <c r="TAG150" s="6"/>
      <c r="TAH150" s="6"/>
      <c r="TAI150" s="6"/>
      <c r="TAJ150" s="6"/>
      <c r="TAK150" s="6"/>
      <c r="TAL150" s="6"/>
      <c r="TAM150" s="6"/>
      <c r="TAN150" s="6"/>
      <c r="TAO150" s="6"/>
      <c r="TAP150" s="6"/>
      <c r="TAQ150" s="6"/>
      <c r="TAR150" s="6"/>
      <c r="TAS150" s="6"/>
      <c r="TAT150" s="6"/>
      <c r="TAU150" s="6"/>
      <c r="TAV150" s="6"/>
      <c r="TAW150" s="6"/>
      <c r="TAX150" s="6"/>
      <c r="TAY150" s="6"/>
      <c r="TAZ150" s="6"/>
      <c r="TBA150" s="6"/>
      <c r="TBB150" s="6"/>
      <c r="TBC150" s="6"/>
      <c r="TBD150" s="6"/>
      <c r="TBE150" s="6"/>
      <c r="TBF150" s="6"/>
      <c r="TBG150" s="6"/>
      <c r="TBH150" s="6"/>
      <c r="TBI150" s="6"/>
      <c r="TBJ150" s="6"/>
      <c r="TBK150" s="6"/>
      <c r="TBL150" s="6"/>
      <c r="TBM150" s="6"/>
      <c r="TBN150" s="6"/>
      <c r="TBO150" s="6"/>
      <c r="TBP150" s="6"/>
      <c r="TBQ150" s="6"/>
      <c r="TBR150" s="6"/>
      <c r="TBS150" s="6"/>
      <c r="TBT150" s="6"/>
      <c r="TBU150" s="6"/>
      <c r="TBV150" s="6"/>
      <c r="TBW150" s="6"/>
      <c r="TBX150" s="6"/>
      <c r="TBY150" s="6"/>
      <c r="TBZ150" s="6"/>
      <c r="TCA150" s="6"/>
      <c r="TCB150" s="6"/>
      <c r="TCC150" s="6"/>
      <c r="TCD150" s="6"/>
      <c r="TCE150" s="6"/>
      <c r="TCF150" s="6"/>
      <c r="TCG150" s="6"/>
      <c r="TCH150" s="6"/>
      <c r="TCI150" s="6"/>
      <c r="TCJ150" s="6"/>
      <c r="TCK150" s="6"/>
      <c r="TCL150" s="6"/>
      <c r="TCM150" s="6"/>
      <c r="TCN150" s="6"/>
      <c r="TCO150" s="6"/>
      <c r="TCP150" s="6"/>
      <c r="TCQ150" s="6"/>
      <c r="TCR150" s="6"/>
      <c r="TCS150" s="6"/>
      <c r="TCT150" s="6"/>
      <c r="TCU150" s="6"/>
      <c r="TCV150" s="6"/>
      <c r="TCW150" s="6"/>
      <c r="TCX150" s="6"/>
      <c r="TCY150" s="6"/>
      <c r="TCZ150" s="6"/>
      <c r="TDA150" s="6"/>
      <c r="TDB150" s="6"/>
      <c r="TDC150" s="6"/>
      <c r="TDD150" s="6"/>
      <c r="TDE150" s="6"/>
      <c r="TDF150" s="6"/>
      <c r="TDG150" s="6"/>
      <c r="TDH150" s="6"/>
      <c r="TDI150" s="6"/>
      <c r="TDJ150" s="6"/>
      <c r="TDK150" s="6"/>
      <c r="TDL150" s="6"/>
      <c r="TDM150" s="6"/>
      <c r="TDN150" s="6"/>
      <c r="TDO150" s="6"/>
      <c r="TDP150" s="6"/>
      <c r="TDQ150" s="6"/>
      <c r="TDR150" s="6"/>
      <c r="TDS150" s="6"/>
      <c r="TDT150" s="6"/>
      <c r="TDU150" s="6"/>
      <c r="TDV150" s="6"/>
      <c r="TDW150" s="6"/>
      <c r="TDX150" s="6"/>
      <c r="TDY150" s="6"/>
      <c r="TDZ150" s="6"/>
      <c r="TEA150" s="6"/>
      <c r="TEB150" s="6"/>
      <c r="TEC150" s="6"/>
      <c r="TED150" s="6"/>
      <c r="TEE150" s="6"/>
      <c r="TEF150" s="6"/>
      <c r="TEG150" s="6"/>
      <c r="TEH150" s="6"/>
      <c r="TEI150" s="6"/>
      <c r="TEJ150" s="6"/>
      <c r="TEK150" s="6"/>
      <c r="TEL150" s="6"/>
      <c r="TEM150" s="6"/>
      <c r="TEN150" s="6"/>
      <c r="TEO150" s="6"/>
      <c r="TEP150" s="6"/>
      <c r="TEQ150" s="6"/>
      <c r="TER150" s="6"/>
      <c r="TES150" s="6"/>
      <c r="TET150" s="6"/>
      <c r="TEU150" s="6"/>
      <c r="TEV150" s="6"/>
      <c r="TEW150" s="6"/>
      <c r="TEX150" s="6"/>
      <c r="TEY150" s="6"/>
      <c r="TEZ150" s="6"/>
      <c r="TFA150" s="6"/>
      <c r="TFB150" s="6"/>
      <c r="TFC150" s="6"/>
      <c r="TFD150" s="6"/>
      <c r="TFE150" s="6"/>
      <c r="TFF150" s="6"/>
      <c r="TFG150" s="6"/>
      <c r="TFH150" s="6"/>
      <c r="TFI150" s="6"/>
      <c r="TFJ150" s="6"/>
      <c r="TFK150" s="6"/>
      <c r="TFL150" s="6"/>
      <c r="TFM150" s="6"/>
      <c r="TFN150" s="6"/>
      <c r="TFO150" s="6"/>
      <c r="TFP150" s="6"/>
      <c r="TFQ150" s="6"/>
      <c r="TFR150" s="6"/>
      <c r="TFS150" s="6"/>
      <c r="TFT150" s="6"/>
      <c r="TFU150" s="6"/>
      <c r="TFV150" s="6"/>
      <c r="TFW150" s="6"/>
      <c r="TFX150" s="6"/>
      <c r="TFY150" s="6"/>
      <c r="TFZ150" s="6"/>
      <c r="TGA150" s="6"/>
      <c r="TGB150" s="6"/>
      <c r="TGC150" s="6"/>
      <c r="TGD150" s="6"/>
      <c r="TGE150" s="6"/>
      <c r="TGF150" s="6"/>
      <c r="TGG150" s="6"/>
      <c r="TGH150" s="6"/>
      <c r="TGI150" s="6"/>
      <c r="TGJ150" s="6"/>
      <c r="TGK150" s="6"/>
      <c r="TGL150" s="6"/>
      <c r="TGM150" s="6"/>
      <c r="TGN150" s="6"/>
      <c r="TGO150" s="6"/>
      <c r="TGP150" s="6"/>
      <c r="TGQ150" s="6"/>
      <c r="TGR150" s="6"/>
      <c r="TGS150" s="6"/>
      <c r="TGT150" s="6"/>
      <c r="TGU150" s="6"/>
      <c r="TGV150" s="6"/>
      <c r="TGW150" s="6"/>
      <c r="TGX150" s="6"/>
      <c r="TGY150" s="6"/>
      <c r="TGZ150" s="6"/>
      <c r="THA150" s="6"/>
      <c r="THB150" s="6"/>
      <c r="THC150" s="6"/>
      <c r="THD150" s="6"/>
      <c r="THE150" s="6"/>
      <c r="THF150" s="6"/>
      <c r="THG150" s="6"/>
      <c r="THH150" s="6"/>
      <c r="THI150" s="6"/>
      <c r="THJ150" s="6"/>
      <c r="THK150" s="6"/>
      <c r="THL150" s="6"/>
      <c r="THM150" s="6"/>
      <c r="THN150" s="6"/>
      <c r="THO150" s="6"/>
      <c r="THP150" s="6"/>
      <c r="THQ150" s="6"/>
      <c r="THR150" s="6"/>
      <c r="THS150" s="6"/>
      <c r="THT150" s="6"/>
      <c r="THU150" s="6"/>
      <c r="THV150" s="6"/>
      <c r="THW150" s="6"/>
      <c r="THX150" s="6"/>
      <c r="THY150" s="6"/>
      <c r="THZ150" s="6"/>
      <c r="TIA150" s="6"/>
      <c r="TIB150" s="6"/>
      <c r="TIC150" s="6"/>
      <c r="TID150" s="6"/>
      <c r="TIE150" s="6"/>
      <c r="TIF150" s="6"/>
      <c r="TIG150" s="6"/>
      <c r="TIH150" s="6"/>
      <c r="TII150" s="6"/>
      <c r="TIJ150" s="6"/>
      <c r="TIK150" s="6"/>
      <c r="TIL150" s="6"/>
      <c r="TIM150" s="6"/>
      <c r="TIN150" s="6"/>
      <c r="TIO150" s="6"/>
      <c r="TIP150" s="6"/>
      <c r="TIQ150" s="6"/>
      <c r="TIR150" s="6"/>
      <c r="TIS150" s="6"/>
      <c r="TIT150" s="6"/>
      <c r="TIU150" s="6"/>
      <c r="TIV150" s="6"/>
      <c r="TIW150" s="6"/>
      <c r="TIX150" s="6"/>
      <c r="TIY150" s="6"/>
      <c r="TIZ150" s="6"/>
      <c r="TJA150" s="6"/>
      <c r="TJB150" s="6"/>
      <c r="TJC150" s="6"/>
      <c r="TJD150" s="6"/>
      <c r="TJE150" s="6"/>
      <c r="TJF150" s="6"/>
      <c r="TJG150" s="6"/>
      <c r="TJH150" s="6"/>
      <c r="TJI150" s="6"/>
      <c r="TJJ150" s="6"/>
      <c r="TJK150" s="6"/>
      <c r="TJL150" s="6"/>
      <c r="TJM150" s="6"/>
      <c r="TJN150" s="6"/>
      <c r="TJO150" s="6"/>
      <c r="TJP150" s="6"/>
      <c r="TJQ150" s="6"/>
      <c r="TJR150" s="6"/>
      <c r="TJS150" s="6"/>
      <c r="TJT150" s="6"/>
      <c r="TJU150" s="6"/>
      <c r="TJV150" s="6"/>
      <c r="TJW150" s="6"/>
      <c r="TJX150" s="6"/>
      <c r="TJY150" s="6"/>
      <c r="TJZ150" s="6"/>
      <c r="TKA150" s="6"/>
      <c r="TKB150" s="6"/>
      <c r="TKC150" s="6"/>
      <c r="TKD150" s="6"/>
      <c r="TKE150" s="6"/>
      <c r="TKF150" s="6"/>
      <c r="TKG150" s="6"/>
      <c r="TKH150" s="6"/>
      <c r="TKI150" s="6"/>
      <c r="TKJ150" s="6"/>
      <c r="TKK150" s="6"/>
      <c r="TKL150" s="6"/>
      <c r="TKM150" s="6"/>
      <c r="TKN150" s="6"/>
      <c r="TKO150" s="6"/>
      <c r="TKP150" s="6"/>
      <c r="TKQ150" s="6"/>
      <c r="TKR150" s="6"/>
      <c r="TKS150" s="6"/>
      <c r="TKT150" s="6"/>
      <c r="TKU150" s="6"/>
      <c r="TKV150" s="6"/>
      <c r="TKW150" s="6"/>
      <c r="TKX150" s="6"/>
      <c r="TKY150" s="6"/>
      <c r="TKZ150" s="6"/>
      <c r="TLA150" s="6"/>
      <c r="TLB150" s="6"/>
      <c r="TLC150" s="6"/>
      <c r="TLD150" s="6"/>
      <c r="TLE150" s="6"/>
      <c r="TLF150" s="6"/>
      <c r="TLG150" s="6"/>
      <c r="TLH150" s="6"/>
      <c r="TLI150" s="6"/>
      <c r="TLJ150" s="6"/>
      <c r="TLK150" s="6"/>
      <c r="TLL150" s="6"/>
      <c r="TLM150" s="6"/>
      <c r="TLN150" s="6"/>
      <c r="TLO150" s="6"/>
      <c r="TLP150" s="6"/>
      <c r="TLQ150" s="6"/>
      <c r="TLR150" s="6"/>
      <c r="TLS150" s="6"/>
      <c r="TLT150" s="6"/>
      <c r="TLU150" s="6"/>
      <c r="TLV150" s="6"/>
      <c r="TLW150" s="6"/>
      <c r="TLX150" s="6"/>
      <c r="TLY150" s="6"/>
      <c r="TLZ150" s="6"/>
      <c r="TMA150" s="6"/>
      <c r="TMB150" s="6"/>
      <c r="TMC150" s="6"/>
      <c r="TMD150" s="6"/>
      <c r="TME150" s="6"/>
      <c r="TMF150" s="6"/>
      <c r="TMG150" s="6"/>
      <c r="TMH150" s="6"/>
      <c r="TMI150" s="6"/>
      <c r="TMJ150" s="6"/>
      <c r="TMK150" s="6"/>
      <c r="TML150" s="6"/>
      <c r="TMM150" s="6"/>
      <c r="TMN150" s="6"/>
      <c r="TMO150" s="6"/>
      <c r="TMP150" s="6"/>
      <c r="TMQ150" s="6"/>
      <c r="TMR150" s="6"/>
      <c r="TMS150" s="6"/>
      <c r="TMT150" s="6"/>
      <c r="TMU150" s="6"/>
      <c r="TMV150" s="6"/>
      <c r="TMW150" s="6"/>
      <c r="TMX150" s="6"/>
      <c r="TMY150" s="6"/>
      <c r="TMZ150" s="6"/>
      <c r="TNA150" s="6"/>
      <c r="TNB150" s="6"/>
      <c r="TNC150" s="6"/>
      <c r="TND150" s="6"/>
      <c r="TNE150" s="6"/>
      <c r="TNF150" s="6"/>
      <c r="TNG150" s="6"/>
      <c r="TNH150" s="6"/>
      <c r="TNI150" s="6"/>
      <c r="TNJ150" s="6"/>
      <c r="TNK150" s="6"/>
      <c r="TNL150" s="6"/>
      <c r="TNM150" s="6"/>
      <c r="TNN150" s="6"/>
      <c r="TNO150" s="6"/>
      <c r="TNP150" s="6"/>
      <c r="TNQ150" s="6"/>
      <c r="TNR150" s="6"/>
      <c r="TNS150" s="6"/>
      <c r="TNT150" s="6"/>
      <c r="TNU150" s="6"/>
      <c r="TNV150" s="6"/>
      <c r="TNW150" s="6"/>
      <c r="TNX150" s="6"/>
      <c r="TNY150" s="6"/>
      <c r="TNZ150" s="6"/>
      <c r="TOA150" s="6"/>
      <c r="TOB150" s="6"/>
      <c r="TOC150" s="6"/>
      <c r="TOD150" s="6"/>
      <c r="TOE150" s="6"/>
      <c r="TOF150" s="6"/>
      <c r="TOG150" s="6"/>
      <c r="TOH150" s="6"/>
      <c r="TOI150" s="6"/>
      <c r="TOJ150" s="6"/>
      <c r="TOK150" s="6"/>
      <c r="TOL150" s="6"/>
      <c r="TOM150" s="6"/>
      <c r="TON150" s="6"/>
      <c r="TOO150" s="6"/>
      <c r="TOP150" s="6"/>
      <c r="TOQ150" s="6"/>
      <c r="TOR150" s="6"/>
      <c r="TOS150" s="6"/>
      <c r="TOT150" s="6"/>
      <c r="TOU150" s="6"/>
      <c r="TOV150" s="6"/>
      <c r="TOW150" s="6"/>
      <c r="TOX150" s="6"/>
      <c r="TOY150" s="6"/>
      <c r="TOZ150" s="6"/>
      <c r="TPA150" s="6"/>
      <c r="TPB150" s="6"/>
      <c r="TPC150" s="6"/>
      <c r="TPD150" s="6"/>
      <c r="TPE150" s="6"/>
      <c r="TPF150" s="6"/>
      <c r="TPG150" s="6"/>
      <c r="TPH150" s="6"/>
      <c r="TPI150" s="6"/>
      <c r="TPJ150" s="6"/>
      <c r="TPK150" s="6"/>
      <c r="TPL150" s="6"/>
      <c r="TPM150" s="6"/>
      <c r="TPN150" s="6"/>
      <c r="TPO150" s="6"/>
      <c r="TPP150" s="6"/>
      <c r="TPQ150" s="6"/>
      <c r="TPR150" s="6"/>
      <c r="TPS150" s="6"/>
      <c r="TPT150" s="6"/>
      <c r="TPU150" s="6"/>
      <c r="TPV150" s="6"/>
      <c r="TPW150" s="6"/>
      <c r="TPX150" s="6"/>
      <c r="TPY150" s="6"/>
      <c r="TPZ150" s="6"/>
      <c r="TQA150" s="6"/>
      <c r="TQB150" s="6"/>
      <c r="TQC150" s="6"/>
      <c r="TQD150" s="6"/>
      <c r="TQE150" s="6"/>
      <c r="TQF150" s="6"/>
      <c r="TQG150" s="6"/>
      <c r="TQH150" s="6"/>
      <c r="TQI150" s="6"/>
      <c r="TQJ150" s="6"/>
      <c r="TQK150" s="6"/>
      <c r="TQL150" s="6"/>
      <c r="TQM150" s="6"/>
      <c r="TQN150" s="6"/>
      <c r="TQO150" s="6"/>
      <c r="TQP150" s="6"/>
      <c r="TQQ150" s="6"/>
      <c r="TQR150" s="6"/>
      <c r="TQS150" s="6"/>
      <c r="TQT150" s="6"/>
      <c r="TQU150" s="6"/>
      <c r="TQV150" s="6"/>
      <c r="TQW150" s="6"/>
      <c r="TQX150" s="6"/>
      <c r="TQY150" s="6"/>
      <c r="TQZ150" s="6"/>
      <c r="TRA150" s="6"/>
      <c r="TRB150" s="6"/>
      <c r="TRC150" s="6"/>
      <c r="TRD150" s="6"/>
      <c r="TRE150" s="6"/>
      <c r="TRF150" s="6"/>
      <c r="TRG150" s="6"/>
      <c r="TRH150" s="6"/>
      <c r="TRI150" s="6"/>
      <c r="TRJ150" s="6"/>
      <c r="TRK150" s="6"/>
      <c r="TRL150" s="6"/>
      <c r="TRM150" s="6"/>
      <c r="TRN150" s="6"/>
      <c r="TRO150" s="6"/>
      <c r="TRP150" s="6"/>
      <c r="TRQ150" s="6"/>
      <c r="TRR150" s="6"/>
      <c r="TRS150" s="6"/>
      <c r="TRT150" s="6"/>
      <c r="TRU150" s="6"/>
      <c r="TRV150" s="6"/>
      <c r="TRW150" s="6"/>
      <c r="TRX150" s="6"/>
      <c r="TRY150" s="6"/>
      <c r="TRZ150" s="6"/>
      <c r="TSA150" s="6"/>
      <c r="TSB150" s="6"/>
      <c r="TSC150" s="6"/>
      <c r="TSD150" s="6"/>
      <c r="TSE150" s="6"/>
      <c r="TSF150" s="6"/>
      <c r="TSG150" s="6"/>
      <c r="TSH150" s="6"/>
      <c r="TSI150" s="6"/>
      <c r="TSJ150" s="6"/>
      <c r="TSK150" s="6"/>
      <c r="TSL150" s="6"/>
      <c r="TSM150" s="6"/>
      <c r="TSN150" s="6"/>
      <c r="TSO150" s="6"/>
      <c r="TSP150" s="6"/>
      <c r="TSQ150" s="6"/>
      <c r="TSR150" s="6"/>
      <c r="TSS150" s="6"/>
      <c r="TST150" s="6"/>
      <c r="TSU150" s="6"/>
      <c r="TSV150" s="6"/>
      <c r="TSW150" s="6"/>
      <c r="TSX150" s="6"/>
      <c r="TSY150" s="6"/>
      <c r="TSZ150" s="6"/>
      <c r="TTA150" s="6"/>
      <c r="TTB150" s="6"/>
      <c r="TTC150" s="6"/>
      <c r="TTD150" s="6"/>
      <c r="TTE150" s="6"/>
      <c r="TTF150" s="6"/>
      <c r="TTG150" s="6"/>
      <c r="TTH150" s="6"/>
      <c r="TTI150" s="6"/>
      <c r="TTJ150" s="6"/>
      <c r="TTK150" s="6"/>
      <c r="TTL150" s="6"/>
      <c r="TTM150" s="6"/>
      <c r="TTN150" s="6"/>
      <c r="TTO150" s="6"/>
      <c r="TTP150" s="6"/>
      <c r="TTQ150" s="6"/>
      <c r="TTR150" s="6"/>
      <c r="TTS150" s="6"/>
      <c r="TTT150" s="6"/>
      <c r="TTU150" s="6"/>
      <c r="TTV150" s="6"/>
      <c r="TTW150" s="6"/>
      <c r="TTX150" s="6"/>
      <c r="TTY150" s="6"/>
      <c r="TTZ150" s="6"/>
      <c r="TUA150" s="6"/>
      <c r="TUB150" s="6"/>
      <c r="TUC150" s="6"/>
      <c r="TUD150" s="6"/>
      <c r="TUE150" s="6"/>
      <c r="TUF150" s="6"/>
      <c r="TUG150" s="6"/>
      <c r="TUH150" s="6"/>
      <c r="TUI150" s="6"/>
      <c r="TUJ150" s="6"/>
      <c r="TUK150" s="6"/>
      <c r="TUL150" s="6"/>
      <c r="TUM150" s="6"/>
      <c r="TUN150" s="6"/>
      <c r="TUO150" s="6"/>
      <c r="TUP150" s="6"/>
      <c r="TUQ150" s="6"/>
      <c r="TUR150" s="6"/>
      <c r="TUS150" s="6"/>
      <c r="TUT150" s="6"/>
      <c r="TUU150" s="6"/>
      <c r="TUV150" s="6"/>
      <c r="TUW150" s="6"/>
      <c r="TUX150" s="6"/>
      <c r="TUY150" s="6"/>
      <c r="TUZ150" s="6"/>
      <c r="TVA150" s="6"/>
      <c r="TVB150" s="6"/>
      <c r="TVC150" s="6"/>
      <c r="TVD150" s="6"/>
      <c r="TVE150" s="6"/>
      <c r="TVF150" s="6"/>
      <c r="TVG150" s="6"/>
      <c r="TVH150" s="6"/>
      <c r="TVI150" s="6"/>
      <c r="TVJ150" s="6"/>
      <c r="TVK150" s="6"/>
      <c r="TVL150" s="6"/>
      <c r="TVM150" s="6"/>
      <c r="TVN150" s="6"/>
      <c r="TVO150" s="6"/>
      <c r="TVP150" s="6"/>
      <c r="TVQ150" s="6"/>
      <c r="TVR150" s="6"/>
      <c r="TVS150" s="6"/>
      <c r="TVT150" s="6"/>
      <c r="TVU150" s="6"/>
      <c r="TVV150" s="6"/>
      <c r="TVW150" s="6"/>
      <c r="TVX150" s="6"/>
      <c r="TVY150" s="6"/>
      <c r="TVZ150" s="6"/>
      <c r="TWA150" s="6"/>
      <c r="TWB150" s="6"/>
      <c r="TWC150" s="6"/>
      <c r="TWD150" s="6"/>
      <c r="TWE150" s="6"/>
      <c r="TWF150" s="6"/>
      <c r="TWG150" s="6"/>
      <c r="TWH150" s="6"/>
      <c r="TWI150" s="6"/>
      <c r="TWJ150" s="6"/>
      <c r="TWK150" s="6"/>
      <c r="TWL150" s="6"/>
      <c r="TWM150" s="6"/>
      <c r="TWN150" s="6"/>
      <c r="TWO150" s="6"/>
      <c r="TWP150" s="6"/>
      <c r="TWQ150" s="6"/>
      <c r="TWR150" s="6"/>
      <c r="TWS150" s="6"/>
      <c r="TWT150" s="6"/>
      <c r="TWU150" s="6"/>
      <c r="TWV150" s="6"/>
      <c r="TWW150" s="6"/>
      <c r="TWX150" s="6"/>
      <c r="TWY150" s="6"/>
      <c r="TWZ150" s="6"/>
      <c r="TXA150" s="6"/>
      <c r="TXB150" s="6"/>
      <c r="TXC150" s="6"/>
      <c r="TXD150" s="6"/>
      <c r="TXE150" s="6"/>
      <c r="TXF150" s="6"/>
      <c r="TXG150" s="6"/>
      <c r="TXH150" s="6"/>
      <c r="TXI150" s="6"/>
      <c r="TXJ150" s="6"/>
      <c r="TXK150" s="6"/>
      <c r="TXL150" s="6"/>
      <c r="TXM150" s="6"/>
      <c r="TXN150" s="6"/>
      <c r="TXO150" s="6"/>
      <c r="TXP150" s="6"/>
      <c r="TXQ150" s="6"/>
      <c r="TXR150" s="6"/>
      <c r="TXS150" s="6"/>
      <c r="TXT150" s="6"/>
      <c r="TXU150" s="6"/>
      <c r="TXV150" s="6"/>
      <c r="TXW150" s="6"/>
      <c r="TXX150" s="6"/>
      <c r="TXY150" s="6"/>
      <c r="TXZ150" s="6"/>
      <c r="TYA150" s="6"/>
      <c r="TYB150" s="6"/>
      <c r="TYC150" s="6"/>
      <c r="TYD150" s="6"/>
      <c r="TYE150" s="6"/>
      <c r="TYF150" s="6"/>
      <c r="TYG150" s="6"/>
      <c r="TYH150" s="6"/>
      <c r="TYI150" s="6"/>
      <c r="TYJ150" s="6"/>
      <c r="TYK150" s="6"/>
      <c r="TYL150" s="6"/>
      <c r="TYM150" s="6"/>
      <c r="TYN150" s="6"/>
      <c r="TYO150" s="6"/>
      <c r="TYP150" s="6"/>
      <c r="TYQ150" s="6"/>
      <c r="TYR150" s="6"/>
      <c r="TYS150" s="6"/>
      <c r="TYT150" s="6"/>
      <c r="TYU150" s="6"/>
      <c r="TYV150" s="6"/>
      <c r="TYW150" s="6"/>
      <c r="TYX150" s="6"/>
      <c r="TYY150" s="6"/>
      <c r="TYZ150" s="6"/>
      <c r="TZA150" s="6"/>
      <c r="TZB150" s="6"/>
      <c r="TZC150" s="6"/>
      <c r="TZD150" s="6"/>
      <c r="TZE150" s="6"/>
      <c r="TZF150" s="6"/>
      <c r="TZG150" s="6"/>
      <c r="TZH150" s="6"/>
      <c r="TZI150" s="6"/>
      <c r="TZJ150" s="6"/>
      <c r="TZK150" s="6"/>
      <c r="TZL150" s="6"/>
      <c r="TZM150" s="6"/>
      <c r="TZN150" s="6"/>
      <c r="TZO150" s="6"/>
      <c r="TZP150" s="6"/>
      <c r="TZQ150" s="6"/>
      <c r="TZR150" s="6"/>
      <c r="TZS150" s="6"/>
      <c r="TZT150" s="6"/>
      <c r="TZU150" s="6"/>
      <c r="TZV150" s="6"/>
      <c r="TZW150" s="6"/>
      <c r="TZX150" s="6"/>
      <c r="TZY150" s="6"/>
      <c r="TZZ150" s="6"/>
      <c r="UAA150" s="6"/>
      <c r="UAB150" s="6"/>
      <c r="UAC150" s="6"/>
      <c r="UAD150" s="6"/>
      <c r="UAE150" s="6"/>
      <c r="UAF150" s="6"/>
      <c r="UAG150" s="6"/>
      <c r="UAH150" s="6"/>
      <c r="UAI150" s="6"/>
      <c r="UAJ150" s="6"/>
      <c r="UAK150" s="6"/>
      <c r="UAL150" s="6"/>
      <c r="UAM150" s="6"/>
      <c r="UAN150" s="6"/>
      <c r="UAO150" s="6"/>
      <c r="UAP150" s="6"/>
      <c r="UAQ150" s="6"/>
      <c r="UAR150" s="6"/>
      <c r="UAS150" s="6"/>
      <c r="UAT150" s="6"/>
      <c r="UAU150" s="6"/>
      <c r="UAV150" s="6"/>
      <c r="UAW150" s="6"/>
      <c r="UAX150" s="6"/>
      <c r="UAY150" s="6"/>
      <c r="UAZ150" s="6"/>
      <c r="UBA150" s="6"/>
      <c r="UBB150" s="6"/>
      <c r="UBC150" s="6"/>
      <c r="UBD150" s="6"/>
      <c r="UBE150" s="6"/>
      <c r="UBF150" s="6"/>
      <c r="UBG150" s="6"/>
      <c r="UBH150" s="6"/>
      <c r="UBI150" s="6"/>
      <c r="UBJ150" s="6"/>
      <c r="UBK150" s="6"/>
      <c r="UBL150" s="6"/>
      <c r="UBM150" s="6"/>
      <c r="UBN150" s="6"/>
      <c r="UBO150" s="6"/>
      <c r="UBP150" s="6"/>
      <c r="UBQ150" s="6"/>
      <c r="UBR150" s="6"/>
      <c r="UBS150" s="6"/>
      <c r="UBT150" s="6"/>
      <c r="UBU150" s="6"/>
      <c r="UBV150" s="6"/>
      <c r="UBW150" s="6"/>
      <c r="UBX150" s="6"/>
      <c r="UBY150" s="6"/>
      <c r="UBZ150" s="6"/>
      <c r="UCA150" s="6"/>
      <c r="UCB150" s="6"/>
      <c r="UCC150" s="6"/>
      <c r="UCD150" s="6"/>
      <c r="UCE150" s="6"/>
      <c r="UCF150" s="6"/>
      <c r="UCG150" s="6"/>
      <c r="UCH150" s="6"/>
      <c r="UCI150" s="6"/>
      <c r="UCJ150" s="6"/>
      <c r="UCK150" s="6"/>
      <c r="UCL150" s="6"/>
      <c r="UCM150" s="6"/>
      <c r="UCN150" s="6"/>
      <c r="UCO150" s="6"/>
      <c r="UCP150" s="6"/>
      <c r="UCQ150" s="6"/>
      <c r="UCR150" s="6"/>
      <c r="UCS150" s="6"/>
      <c r="UCT150" s="6"/>
      <c r="UCU150" s="6"/>
      <c r="UCV150" s="6"/>
      <c r="UCW150" s="6"/>
      <c r="UCX150" s="6"/>
      <c r="UCY150" s="6"/>
      <c r="UCZ150" s="6"/>
      <c r="UDA150" s="6"/>
      <c r="UDB150" s="6"/>
      <c r="UDC150" s="6"/>
      <c r="UDD150" s="6"/>
      <c r="UDE150" s="6"/>
      <c r="UDF150" s="6"/>
      <c r="UDG150" s="6"/>
      <c r="UDH150" s="6"/>
      <c r="UDI150" s="6"/>
      <c r="UDJ150" s="6"/>
      <c r="UDK150" s="6"/>
      <c r="UDL150" s="6"/>
      <c r="UDM150" s="6"/>
      <c r="UDN150" s="6"/>
      <c r="UDO150" s="6"/>
      <c r="UDP150" s="6"/>
      <c r="UDQ150" s="6"/>
      <c r="UDR150" s="6"/>
      <c r="UDS150" s="6"/>
      <c r="UDT150" s="6"/>
      <c r="UDU150" s="6"/>
      <c r="UDV150" s="6"/>
      <c r="UDW150" s="6"/>
      <c r="UDX150" s="6"/>
      <c r="UDY150" s="6"/>
      <c r="UDZ150" s="6"/>
      <c r="UEA150" s="6"/>
      <c r="UEB150" s="6"/>
      <c r="UEC150" s="6"/>
      <c r="UED150" s="6"/>
      <c r="UEE150" s="6"/>
      <c r="UEF150" s="6"/>
      <c r="UEG150" s="6"/>
      <c r="UEH150" s="6"/>
      <c r="UEI150" s="6"/>
      <c r="UEJ150" s="6"/>
      <c r="UEK150" s="6"/>
      <c r="UEL150" s="6"/>
      <c r="UEM150" s="6"/>
      <c r="UEN150" s="6"/>
      <c r="UEO150" s="6"/>
      <c r="UEP150" s="6"/>
      <c r="UEQ150" s="6"/>
      <c r="UER150" s="6"/>
      <c r="UES150" s="6"/>
      <c r="UET150" s="6"/>
      <c r="UEU150" s="6"/>
      <c r="UEV150" s="6"/>
      <c r="UEW150" s="6"/>
      <c r="UEX150" s="6"/>
      <c r="UEY150" s="6"/>
      <c r="UEZ150" s="6"/>
      <c r="UFA150" s="6"/>
      <c r="UFB150" s="6"/>
      <c r="UFC150" s="6"/>
      <c r="UFD150" s="6"/>
      <c r="UFE150" s="6"/>
      <c r="UFF150" s="6"/>
      <c r="UFG150" s="6"/>
      <c r="UFH150" s="6"/>
      <c r="UFI150" s="6"/>
      <c r="UFJ150" s="6"/>
      <c r="UFK150" s="6"/>
      <c r="UFL150" s="6"/>
      <c r="UFM150" s="6"/>
      <c r="UFN150" s="6"/>
      <c r="UFO150" s="6"/>
      <c r="UFP150" s="6"/>
      <c r="UFQ150" s="6"/>
      <c r="UFR150" s="6"/>
      <c r="UFS150" s="6"/>
      <c r="UFT150" s="6"/>
      <c r="UFU150" s="6"/>
      <c r="UFV150" s="6"/>
      <c r="UFW150" s="6"/>
      <c r="UFX150" s="6"/>
      <c r="UFY150" s="6"/>
      <c r="UFZ150" s="6"/>
      <c r="UGA150" s="6"/>
      <c r="UGB150" s="6"/>
      <c r="UGC150" s="6"/>
      <c r="UGD150" s="6"/>
      <c r="UGE150" s="6"/>
      <c r="UGF150" s="6"/>
      <c r="UGG150" s="6"/>
      <c r="UGH150" s="6"/>
      <c r="UGI150" s="6"/>
      <c r="UGJ150" s="6"/>
      <c r="UGK150" s="6"/>
      <c r="UGL150" s="6"/>
      <c r="UGM150" s="6"/>
      <c r="UGN150" s="6"/>
      <c r="UGO150" s="6"/>
      <c r="UGP150" s="6"/>
      <c r="UGQ150" s="6"/>
      <c r="UGR150" s="6"/>
      <c r="UGS150" s="6"/>
      <c r="UGT150" s="6"/>
      <c r="UGU150" s="6"/>
      <c r="UGV150" s="6"/>
      <c r="UGW150" s="6"/>
      <c r="UGX150" s="6"/>
      <c r="UGY150" s="6"/>
      <c r="UGZ150" s="6"/>
      <c r="UHA150" s="6"/>
      <c r="UHB150" s="6"/>
      <c r="UHC150" s="6"/>
      <c r="UHD150" s="6"/>
      <c r="UHE150" s="6"/>
      <c r="UHF150" s="6"/>
      <c r="UHG150" s="6"/>
      <c r="UHH150" s="6"/>
      <c r="UHI150" s="6"/>
      <c r="UHJ150" s="6"/>
      <c r="UHK150" s="6"/>
      <c r="UHL150" s="6"/>
      <c r="UHM150" s="6"/>
      <c r="UHN150" s="6"/>
      <c r="UHO150" s="6"/>
      <c r="UHP150" s="6"/>
      <c r="UHQ150" s="6"/>
      <c r="UHR150" s="6"/>
      <c r="UHS150" s="6"/>
      <c r="UHT150" s="6"/>
      <c r="UHU150" s="6"/>
      <c r="UHV150" s="6"/>
      <c r="UHW150" s="6"/>
      <c r="UHX150" s="6"/>
      <c r="UHY150" s="6"/>
      <c r="UHZ150" s="6"/>
      <c r="UIA150" s="6"/>
      <c r="UIB150" s="6"/>
      <c r="UIC150" s="6"/>
      <c r="UID150" s="6"/>
      <c r="UIE150" s="6"/>
      <c r="UIF150" s="6"/>
      <c r="UIG150" s="6"/>
      <c r="UIH150" s="6"/>
      <c r="UII150" s="6"/>
      <c r="UIJ150" s="6"/>
      <c r="UIK150" s="6"/>
      <c r="UIL150" s="6"/>
      <c r="UIM150" s="6"/>
      <c r="UIN150" s="6"/>
      <c r="UIO150" s="6"/>
      <c r="UIP150" s="6"/>
      <c r="UIQ150" s="6"/>
      <c r="UIR150" s="6"/>
      <c r="UIS150" s="6"/>
      <c r="UIT150" s="6"/>
      <c r="UIU150" s="6"/>
      <c r="UIV150" s="6"/>
      <c r="UIW150" s="6"/>
      <c r="UIX150" s="6"/>
      <c r="UIY150" s="6"/>
      <c r="UIZ150" s="6"/>
      <c r="UJA150" s="6"/>
      <c r="UJB150" s="6"/>
      <c r="UJC150" s="6"/>
      <c r="UJD150" s="6"/>
      <c r="UJE150" s="6"/>
      <c r="UJF150" s="6"/>
      <c r="UJG150" s="6"/>
      <c r="UJH150" s="6"/>
      <c r="UJI150" s="6"/>
      <c r="UJJ150" s="6"/>
      <c r="UJK150" s="6"/>
      <c r="UJL150" s="6"/>
      <c r="UJM150" s="6"/>
      <c r="UJN150" s="6"/>
      <c r="UJO150" s="6"/>
      <c r="UJP150" s="6"/>
      <c r="UJQ150" s="6"/>
      <c r="UJR150" s="6"/>
      <c r="UJS150" s="6"/>
      <c r="UJT150" s="6"/>
      <c r="UJU150" s="6"/>
      <c r="UJV150" s="6"/>
      <c r="UJW150" s="6"/>
      <c r="UJX150" s="6"/>
      <c r="UJY150" s="6"/>
      <c r="UJZ150" s="6"/>
      <c r="UKA150" s="6"/>
      <c r="UKB150" s="6"/>
      <c r="UKC150" s="6"/>
      <c r="UKD150" s="6"/>
      <c r="UKE150" s="6"/>
      <c r="UKF150" s="6"/>
      <c r="UKG150" s="6"/>
      <c r="UKH150" s="6"/>
      <c r="UKI150" s="6"/>
      <c r="UKJ150" s="6"/>
      <c r="UKK150" s="6"/>
      <c r="UKL150" s="6"/>
      <c r="UKM150" s="6"/>
      <c r="UKN150" s="6"/>
      <c r="UKO150" s="6"/>
      <c r="UKP150" s="6"/>
      <c r="UKQ150" s="6"/>
      <c r="UKR150" s="6"/>
      <c r="UKS150" s="6"/>
      <c r="UKT150" s="6"/>
      <c r="UKU150" s="6"/>
      <c r="UKV150" s="6"/>
      <c r="UKW150" s="6"/>
      <c r="UKX150" s="6"/>
      <c r="UKY150" s="6"/>
      <c r="UKZ150" s="6"/>
      <c r="ULA150" s="6"/>
      <c r="ULB150" s="6"/>
      <c r="ULC150" s="6"/>
      <c r="ULD150" s="6"/>
      <c r="ULE150" s="6"/>
      <c r="ULF150" s="6"/>
      <c r="ULG150" s="6"/>
      <c r="ULH150" s="6"/>
      <c r="ULI150" s="6"/>
      <c r="ULJ150" s="6"/>
      <c r="ULK150" s="6"/>
      <c r="ULL150" s="6"/>
      <c r="ULM150" s="6"/>
      <c r="ULN150" s="6"/>
      <c r="ULO150" s="6"/>
      <c r="ULP150" s="6"/>
      <c r="ULQ150" s="6"/>
      <c r="ULR150" s="6"/>
      <c r="ULS150" s="6"/>
      <c r="ULT150" s="6"/>
      <c r="ULU150" s="6"/>
      <c r="ULV150" s="6"/>
      <c r="ULW150" s="6"/>
      <c r="ULX150" s="6"/>
      <c r="ULY150" s="6"/>
      <c r="ULZ150" s="6"/>
      <c r="UMA150" s="6"/>
      <c r="UMB150" s="6"/>
      <c r="UMC150" s="6"/>
      <c r="UMD150" s="6"/>
      <c r="UME150" s="6"/>
      <c r="UMF150" s="6"/>
      <c r="UMG150" s="6"/>
      <c r="UMH150" s="6"/>
      <c r="UMI150" s="6"/>
      <c r="UMJ150" s="6"/>
      <c r="UMK150" s="6"/>
      <c r="UML150" s="6"/>
      <c r="UMM150" s="6"/>
      <c r="UMN150" s="6"/>
      <c r="UMO150" s="6"/>
      <c r="UMP150" s="6"/>
      <c r="UMQ150" s="6"/>
      <c r="UMR150" s="6"/>
      <c r="UMS150" s="6"/>
      <c r="UMT150" s="6"/>
      <c r="UMU150" s="6"/>
      <c r="UMV150" s="6"/>
      <c r="UMW150" s="6"/>
      <c r="UMX150" s="6"/>
      <c r="UMY150" s="6"/>
      <c r="UMZ150" s="6"/>
      <c r="UNA150" s="6"/>
      <c r="UNB150" s="6"/>
      <c r="UNC150" s="6"/>
      <c r="UND150" s="6"/>
      <c r="UNE150" s="6"/>
      <c r="UNF150" s="6"/>
      <c r="UNG150" s="6"/>
      <c r="UNH150" s="6"/>
      <c r="UNI150" s="6"/>
      <c r="UNJ150" s="6"/>
      <c r="UNK150" s="6"/>
      <c r="UNL150" s="6"/>
      <c r="UNM150" s="6"/>
      <c r="UNN150" s="6"/>
      <c r="UNO150" s="6"/>
      <c r="UNP150" s="6"/>
      <c r="UNQ150" s="6"/>
      <c r="UNR150" s="6"/>
      <c r="UNS150" s="6"/>
      <c r="UNT150" s="6"/>
      <c r="UNU150" s="6"/>
      <c r="UNV150" s="6"/>
      <c r="UNW150" s="6"/>
      <c r="UNX150" s="6"/>
      <c r="UNY150" s="6"/>
      <c r="UNZ150" s="6"/>
      <c r="UOA150" s="6"/>
      <c r="UOB150" s="6"/>
      <c r="UOC150" s="6"/>
      <c r="UOD150" s="6"/>
      <c r="UOE150" s="6"/>
      <c r="UOF150" s="6"/>
      <c r="UOG150" s="6"/>
      <c r="UOH150" s="6"/>
      <c r="UOI150" s="6"/>
      <c r="UOJ150" s="6"/>
      <c r="UOK150" s="6"/>
      <c r="UOL150" s="6"/>
      <c r="UOM150" s="6"/>
      <c r="UON150" s="6"/>
      <c r="UOO150" s="6"/>
      <c r="UOP150" s="6"/>
      <c r="UOQ150" s="6"/>
      <c r="UOR150" s="6"/>
      <c r="UOS150" s="6"/>
      <c r="UOT150" s="6"/>
      <c r="UOU150" s="6"/>
      <c r="UOV150" s="6"/>
      <c r="UOW150" s="6"/>
      <c r="UOX150" s="6"/>
      <c r="UOY150" s="6"/>
      <c r="UOZ150" s="6"/>
      <c r="UPA150" s="6"/>
      <c r="UPB150" s="6"/>
      <c r="UPC150" s="6"/>
      <c r="UPD150" s="6"/>
      <c r="UPE150" s="6"/>
      <c r="UPF150" s="6"/>
      <c r="UPG150" s="6"/>
      <c r="UPH150" s="6"/>
      <c r="UPI150" s="6"/>
      <c r="UPJ150" s="6"/>
      <c r="UPK150" s="6"/>
      <c r="UPL150" s="6"/>
      <c r="UPM150" s="6"/>
      <c r="UPN150" s="6"/>
      <c r="UPO150" s="6"/>
      <c r="UPP150" s="6"/>
      <c r="UPQ150" s="6"/>
      <c r="UPR150" s="6"/>
      <c r="UPS150" s="6"/>
      <c r="UPT150" s="6"/>
      <c r="UPU150" s="6"/>
      <c r="UPV150" s="6"/>
      <c r="UPW150" s="6"/>
      <c r="UPX150" s="6"/>
      <c r="UPY150" s="6"/>
      <c r="UPZ150" s="6"/>
      <c r="UQA150" s="6"/>
      <c r="UQB150" s="6"/>
      <c r="UQC150" s="6"/>
      <c r="UQD150" s="6"/>
      <c r="UQE150" s="6"/>
      <c r="UQF150" s="6"/>
      <c r="UQG150" s="6"/>
      <c r="UQH150" s="6"/>
      <c r="UQI150" s="6"/>
      <c r="UQJ150" s="6"/>
      <c r="UQK150" s="6"/>
      <c r="UQL150" s="6"/>
      <c r="UQM150" s="6"/>
      <c r="UQN150" s="6"/>
      <c r="UQO150" s="6"/>
      <c r="UQP150" s="6"/>
      <c r="UQQ150" s="6"/>
      <c r="UQR150" s="6"/>
      <c r="UQS150" s="6"/>
      <c r="UQT150" s="6"/>
      <c r="UQU150" s="6"/>
      <c r="UQV150" s="6"/>
      <c r="UQW150" s="6"/>
      <c r="UQX150" s="6"/>
      <c r="UQY150" s="6"/>
      <c r="UQZ150" s="6"/>
      <c r="URA150" s="6"/>
      <c r="URB150" s="6"/>
      <c r="URC150" s="6"/>
      <c r="URD150" s="6"/>
      <c r="URE150" s="6"/>
      <c r="URF150" s="6"/>
      <c r="URG150" s="6"/>
      <c r="URH150" s="6"/>
      <c r="URI150" s="6"/>
      <c r="URJ150" s="6"/>
      <c r="URK150" s="6"/>
      <c r="URL150" s="6"/>
      <c r="URM150" s="6"/>
      <c r="URN150" s="6"/>
      <c r="URO150" s="6"/>
      <c r="URP150" s="6"/>
      <c r="URQ150" s="6"/>
      <c r="URR150" s="6"/>
      <c r="URS150" s="6"/>
      <c r="URT150" s="6"/>
      <c r="URU150" s="6"/>
      <c r="URV150" s="6"/>
      <c r="URW150" s="6"/>
      <c r="URX150" s="6"/>
      <c r="URY150" s="6"/>
      <c r="URZ150" s="6"/>
      <c r="USA150" s="6"/>
      <c r="USB150" s="6"/>
      <c r="USC150" s="6"/>
      <c r="USD150" s="6"/>
      <c r="USE150" s="6"/>
      <c r="USF150" s="6"/>
      <c r="USG150" s="6"/>
      <c r="USH150" s="6"/>
      <c r="USI150" s="6"/>
      <c r="USJ150" s="6"/>
      <c r="USK150" s="6"/>
      <c r="USL150" s="6"/>
      <c r="USM150" s="6"/>
      <c r="USN150" s="6"/>
      <c r="USO150" s="6"/>
      <c r="USP150" s="6"/>
      <c r="USQ150" s="6"/>
      <c r="USR150" s="6"/>
      <c r="USS150" s="6"/>
      <c r="UST150" s="6"/>
      <c r="USU150" s="6"/>
      <c r="USV150" s="6"/>
      <c r="USW150" s="6"/>
      <c r="USX150" s="6"/>
      <c r="USY150" s="6"/>
      <c r="USZ150" s="6"/>
      <c r="UTA150" s="6"/>
      <c r="UTB150" s="6"/>
      <c r="UTC150" s="6"/>
      <c r="UTD150" s="6"/>
      <c r="UTE150" s="6"/>
      <c r="UTF150" s="6"/>
      <c r="UTG150" s="6"/>
      <c r="UTH150" s="6"/>
      <c r="UTI150" s="6"/>
      <c r="UTJ150" s="6"/>
      <c r="UTK150" s="6"/>
      <c r="UTL150" s="6"/>
      <c r="UTM150" s="6"/>
      <c r="UTN150" s="6"/>
      <c r="UTO150" s="6"/>
      <c r="UTP150" s="6"/>
      <c r="UTQ150" s="6"/>
      <c r="UTR150" s="6"/>
      <c r="UTS150" s="6"/>
      <c r="UTT150" s="6"/>
      <c r="UTU150" s="6"/>
      <c r="UTV150" s="6"/>
      <c r="UTW150" s="6"/>
      <c r="UTX150" s="6"/>
      <c r="UTY150" s="6"/>
      <c r="UTZ150" s="6"/>
      <c r="UUA150" s="6"/>
      <c r="UUB150" s="6"/>
      <c r="UUC150" s="6"/>
      <c r="UUD150" s="6"/>
      <c r="UUE150" s="6"/>
      <c r="UUF150" s="6"/>
      <c r="UUG150" s="6"/>
      <c r="UUH150" s="6"/>
      <c r="UUI150" s="6"/>
      <c r="UUJ150" s="6"/>
      <c r="UUK150" s="6"/>
      <c r="UUL150" s="6"/>
      <c r="UUM150" s="6"/>
      <c r="UUN150" s="6"/>
      <c r="UUO150" s="6"/>
      <c r="UUP150" s="6"/>
      <c r="UUQ150" s="6"/>
      <c r="UUR150" s="6"/>
      <c r="UUS150" s="6"/>
      <c r="UUT150" s="6"/>
      <c r="UUU150" s="6"/>
      <c r="UUV150" s="6"/>
      <c r="UUW150" s="6"/>
      <c r="UUX150" s="6"/>
      <c r="UUY150" s="6"/>
      <c r="UUZ150" s="6"/>
      <c r="UVA150" s="6"/>
      <c r="UVB150" s="6"/>
      <c r="UVC150" s="6"/>
      <c r="UVD150" s="6"/>
      <c r="UVE150" s="6"/>
      <c r="UVF150" s="6"/>
      <c r="UVG150" s="6"/>
      <c r="UVH150" s="6"/>
      <c r="UVI150" s="6"/>
      <c r="UVJ150" s="6"/>
      <c r="UVK150" s="6"/>
      <c r="UVL150" s="6"/>
      <c r="UVM150" s="6"/>
      <c r="UVN150" s="6"/>
      <c r="UVO150" s="6"/>
      <c r="UVP150" s="6"/>
      <c r="UVQ150" s="6"/>
      <c r="UVR150" s="6"/>
      <c r="UVS150" s="6"/>
      <c r="UVT150" s="6"/>
      <c r="UVU150" s="6"/>
      <c r="UVV150" s="6"/>
      <c r="UVW150" s="6"/>
      <c r="UVX150" s="6"/>
      <c r="UVY150" s="6"/>
      <c r="UVZ150" s="6"/>
      <c r="UWA150" s="6"/>
      <c r="UWB150" s="6"/>
      <c r="UWC150" s="6"/>
      <c r="UWD150" s="6"/>
      <c r="UWE150" s="6"/>
      <c r="UWF150" s="6"/>
      <c r="UWG150" s="6"/>
      <c r="UWH150" s="6"/>
      <c r="UWI150" s="6"/>
      <c r="UWJ150" s="6"/>
      <c r="UWK150" s="6"/>
      <c r="UWL150" s="6"/>
      <c r="UWM150" s="6"/>
      <c r="UWN150" s="6"/>
      <c r="UWO150" s="6"/>
      <c r="UWP150" s="6"/>
      <c r="UWQ150" s="6"/>
      <c r="UWR150" s="6"/>
      <c r="UWS150" s="6"/>
      <c r="UWT150" s="6"/>
      <c r="UWU150" s="6"/>
      <c r="UWV150" s="6"/>
      <c r="UWW150" s="6"/>
      <c r="UWX150" s="6"/>
      <c r="UWY150" s="6"/>
      <c r="UWZ150" s="6"/>
      <c r="UXA150" s="6"/>
      <c r="UXB150" s="6"/>
      <c r="UXC150" s="6"/>
      <c r="UXD150" s="6"/>
      <c r="UXE150" s="6"/>
      <c r="UXF150" s="6"/>
      <c r="UXG150" s="6"/>
      <c r="UXH150" s="6"/>
      <c r="UXI150" s="6"/>
      <c r="UXJ150" s="6"/>
      <c r="UXK150" s="6"/>
      <c r="UXL150" s="6"/>
      <c r="UXM150" s="6"/>
      <c r="UXN150" s="6"/>
      <c r="UXO150" s="6"/>
      <c r="UXP150" s="6"/>
      <c r="UXQ150" s="6"/>
      <c r="UXR150" s="6"/>
      <c r="UXS150" s="6"/>
      <c r="UXT150" s="6"/>
      <c r="UXU150" s="6"/>
      <c r="UXV150" s="6"/>
      <c r="UXW150" s="6"/>
      <c r="UXX150" s="6"/>
      <c r="UXY150" s="6"/>
      <c r="UXZ150" s="6"/>
      <c r="UYA150" s="6"/>
      <c r="UYB150" s="6"/>
      <c r="UYC150" s="6"/>
      <c r="UYD150" s="6"/>
      <c r="UYE150" s="6"/>
      <c r="UYF150" s="6"/>
      <c r="UYG150" s="6"/>
      <c r="UYH150" s="6"/>
      <c r="UYI150" s="6"/>
      <c r="UYJ150" s="6"/>
      <c r="UYK150" s="6"/>
      <c r="UYL150" s="6"/>
      <c r="UYM150" s="6"/>
      <c r="UYN150" s="6"/>
      <c r="UYO150" s="6"/>
      <c r="UYP150" s="6"/>
      <c r="UYQ150" s="6"/>
      <c r="UYR150" s="6"/>
      <c r="UYS150" s="6"/>
      <c r="UYT150" s="6"/>
      <c r="UYU150" s="6"/>
      <c r="UYV150" s="6"/>
      <c r="UYW150" s="6"/>
      <c r="UYX150" s="6"/>
      <c r="UYY150" s="6"/>
      <c r="UYZ150" s="6"/>
      <c r="UZA150" s="6"/>
      <c r="UZB150" s="6"/>
      <c r="UZC150" s="6"/>
      <c r="UZD150" s="6"/>
      <c r="UZE150" s="6"/>
      <c r="UZF150" s="6"/>
      <c r="UZG150" s="6"/>
      <c r="UZH150" s="6"/>
      <c r="UZI150" s="6"/>
      <c r="UZJ150" s="6"/>
      <c r="UZK150" s="6"/>
      <c r="UZL150" s="6"/>
      <c r="UZM150" s="6"/>
      <c r="UZN150" s="6"/>
      <c r="UZO150" s="6"/>
      <c r="UZP150" s="6"/>
      <c r="UZQ150" s="6"/>
      <c r="UZR150" s="6"/>
      <c r="UZS150" s="6"/>
      <c r="UZT150" s="6"/>
      <c r="UZU150" s="6"/>
      <c r="UZV150" s="6"/>
      <c r="UZW150" s="6"/>
      <c r="UZX150" s="6"/>
      <c r="UZY150" s="6"/>
      <c r="UZZ150" s="6"/>
      <c r="VAA150" s="6"/>
      <c r="VAB150" s="6"/>
      <c r="VAC150" s="6"/>
      <c r="VAD150" s="6"/>
      <c r="VAE150" s="6"/>
      <c r="VAF150" s="6"/>
      <c r="VAG150" s="6"/>
      <c r="VAH150" s="6"/>
      <c r="VAI150" s="6"/>
      <c r="VAJ150" s="6"/>
      <c r="VAK150" s="6"/>
      <c r="VAL150" s="6"/>
      <c r="VAM150" s="6"/>
      <c r="VAN150" s="6"/>
      <c r="VAO150" s="6"/>
      <c r="VAP150" s="6"/>
      <c r="VAQ150" s="6"/>
      <c r="VAR150" s="6"/>
      <c r="VAS150" s="6"/>
      <c r="VAT150" s="6"/>
      <c r="VAU150" s="6"/>
      <c r="VAV150" s="6"/>
      <c r="VAW150" s="6"/>
      <c r="VAX150" s="6"/>
      <c r="VAY150" s="6"/>
      <c r="VAZ150" s="6"/>
      <c r="VBA150" s="6"/>
      <c r="VBB150" s="6"/>
      <c r="VBC150" s="6"/>
      <c r="VBD150" s="6"/>
      <c r="VBE150" s="6"/>
      <c r="VBF150" s="6"/>
      <c r="VBG150" s="6"/>
      <c r="VBH150" s="6"/>
      <c r="VBI150" s="6"/>
      <c r="VBJ150" s="6"/>
      <c r="VBK150" s="6"/>
      <c r="VBL150" s="6"/>
      <c r="VBM150" s="6"/>
      <c r="VBN150" s="6"/>
      <c r="VBO150" s="6"/>
      <c r="VBP150" s="6"/>
      <c r="VBQ150" s="6"/>
      <c r="VBR150" s="6"/>
      <c r="VBS150" s="6"/>
      <c r="VBT150" s="6"/>
      <c r="VBU150" s="6"/>
      <c r="VBV150" s="6"/>
      <c r="VBW150" s="6"/>
      <c r="VBX150" s="6"/>
      <c r="VBY150" s="6"/>
      <c r="VBZ150" s="6"/>
      <c r="VCA150" s="6"/>
      <c r="VCB150" s="6"/>
      <c r="VCC150" s="6"/>
      <c r="VCD150" s="6"/>
      <c r="VCE150" s="6"/>
      <c r="VCF150" s="6"/>
      <c r="VCG150" s="6"/>
      <c r="VCH150" s="6"/>
      <c r="VCI150" s="6"/>
      <c r="VCJ150" s="6"/>
      <c r="VCK150" s="6"/>
      <c r="VCL150" s="6"/>
      <c r="VCM150" s="6"/>
      <c r="VCN150" s="6"/>
      <c r="VCO150" s="6"/>
      <c r="VCP150" s="6"/>
      <c r="VCQ150" s="6"/>
      <c r="VCR150" s="6"/>
      <c r="VCS150" s="6"/>
      <c r="VCT150" s="6"/>
      <c r="VCU150" s="6"/>
      <c r="VCV150" s="6"/>
      <c r="VCW150" s="6"/>
      <c r="VCX150" s="6"/>
      <c r="VCY150" s="6"/>
      <c r="VCZ150" s="6"/>
      <c r="VDA150" s="6"/>
      <c r="VDB150" s="6"/>
      <c r="VDC150" s="6"/>
      <c r="VDD150" s="6"/>
      <c r="VDE150" s="6"/>
      <c r="VDF150" s="6"/>
      <c r="VDG150" s="6"/>
      <c r="VDH150" s="6"/>
      <c r="VDI150" s="6"/>
      <c r="VDJ150" s="6"/>
      <c r="VDK150" s="6"/>
      <c r="VDL150" s="6"/>
      <c r="VDM150" s="6"/>
      <c r="VDN150" s="6"/>
      <c r="VDO150" s="6"/>
      <c r="VDP150" s="6"/>
      <c r="VDQ150" s="6"/>
      <c r="VDR150" s="6"/>
      <c r="VDS150" s="6"/>
      <c r="VDT150" s="6"/>
      <c r="VDU150" s="6"/>
      <c r="VDV150" s="6"/>
      <c r="VDW150" s="6"/>
      <c r="VDX150" s="6"/>
      <c r="VDY150" s="6"/>
      <c r="VDZ150" s="6"/>
      <c r="VEA150" s="6"/>
      <c r="VEB150" s="6"/>
      <c r="VEC150" s="6"/>
      <c r="VED150" s="6"/>
      <c r="VEE150" s="6"/>
      <c r="VEF150" s="6"/>
      <c r="VEG150" s="6"/>
      <c r="VEH150" s="6"/>
      <c r="VEI150" s="6"/>
      <c r="VEJ150" s="6"/>
      <c r="VEK150" s="6"/>
      <c r="VEL150" s="6"/>
      <c r="VEM150" s="6"/>
      <c r="VEN150" s="6"/>
      <c r="VEO150" s="6"/>
      <c r="VEP150" s="6"/>
      <c r="VEQ150" s="6"/>
      <c r="VER150" s="6"/>
      <c r="VES150" s="6"/>
      <c r="VET150" s="6"/>
      <c r="VEU150" s="6"/>
      <c r="VEV150" s="6"/>
      <c r="VEW150" s="6"/>
      <c r="VEX150" s="6"/>
      <c r="VEY150" s="6"/>
      <c r="VEZ150" s="6"/>
      <c r="VFA150" s="6"/>
      <c r="VFB150" s="6"/>
      <c r="VFC150" s="6"/>
      <c r="VFD150" s="6"/>
      <c r="VFE150" s="6"/>
      <c r="VFF150" s="6"/>
      <c r="VFG150" s="6"/>
      <c r="VFH150" s="6"/>
      <c r="VFI150" s="6"/>
      <c r="VFJ150" s="6"/>
      <c r="VFK150" s="6"/>
      <c r="VFL150" s="6"/>
      <c r="VFM150" s="6"/>
      <c r="VFN150" s="6"/>
      <c r="VFO150" s="6"/>
      <c r="VFP150" s="6"/>
      <c r="VFQ150" s="6"/>
      <c r="VFR150" s="6"/>
      <c r="VFS150" s="6"/>
      <c r="VFT150" s="6"/>
      <c r="VFU150" s="6"/>
      <c r="VFV150" s="6"/>
      <c r="VFW150" s="6"/>
      <c r="VFX150" s="6"/>
      <c r="VFY150" s="6"/>
      <c r="VFZ150" s="6"/>
      <c r="VGA150" s="6"/>
      <c r="VGB150" s="6"/>
      <c r="VGC150" s="6"/>
      <c r="VGD150" s="6"/>
      <c r="VGE150" s="6"/>
      <c r="VGF150" s="6"/>
      <c r="VGG150" s="6"/>
      <c r="VGH150" s="6"/>
      <c r="VGI150" s="6"/>
      <c r="VGJ150" s="6"/>
      <c r="VGK150" s="6"/>
      <c r="VGL150" s="6"/>
      <c r="VGM150" s="6"/>
      <c r="VGN150" s="6"/>
      <c r="VGO150" s="6"/>
      <c r="VGP150" s="6"/>
      <c r="VGQ150" s="6"/>
      <c r="VGR150" s="6"/>
      <c r="VGS150" s="6"/>
      <c r="VGT150" s="6"/>
      <c r="VGU150" s="6"/>
      <c r="VGV150" s="6"/>
      <c r="VGW150" s="6"/>
      <c r="VGX150" s="6"/>
      <c r="VGY150" s="6"/>
      <c r="VGZ150" s="6"/>
      <c r="VHA150" s="6"/>
      <c r="VHB150" s="6"/>
      <c r="VHC150" s="6"/>
      <c r="VHD150" s="6"/>
      <c r="VHE150" s="6"/>
      <c r="VHF150" s="6"/>
      <c r="VHG150" s="6"/>
      <c r="VHH150" s="6"/>
      <c r="VHI150" s="6"/>
      <c r="VHJ150" s="6"/>
      <c r="VHK150" s="6"/>
      <c r="VHL150" s="6"/>
      <c r="VHM150" s="6"/>
      <c r="VHN150" s="6"/>
      <c r="VHO150" s="6"/>
      <c r="VHP150" s="6"/>
      <c r="VHQ150" s="6"/>
      <c r="VHR150" s="6"/>
      <c r="VHS150" s="6"/>
      <c r="VHT150" s="6"/>
      <c r="VHU150" s="6"/>
      <c r="VHV150" s="6"/>
      <c r="VHW150" s="6"/>
      <c r="VHX150" s="6"/>
      <c r="VHY150" s="6"/>
      <c r="VHZ150" s="6"/>
      <c r="VIA150" s="6"/>
      <c r="VIB150" s="6"/>
      <c r="VIC150" s="6"/>
      <c r="VID150" s="6"/>
      <c r="VIE150" s="6"/>
      <c r="VIF150" s="6"/>
      <c r="VIG150" s="6"/>
      <c r="VIH150" s="6"/>
      <c r="VII150" s="6"/>
      <c r="VIJ150" s="6"/>
      <c r="VIK150" s="6"/>
      <c r="VIL150" s="6"/>
      <c r="VIM150" s="6"/>
      <c r="VIN150" s="6"/>
      <c r="VIO150" s="6"/>
      <c r="VIP150" s="6"/>
      <c r="VIQ150" s="6"/>
      <c r="VIR150" s="6"/>
      <c r="VIS150" s="6"/>
      <c r="VIT150" s="6"/>
      <c r="VIU150" s="6"/>
      <c r="VIV150" s="6"/>
      <c r="VIW150" s="6"/>
      <c r="VIX150" s="6"/>
      <c r="VIY150" s="6"/>
      <c r="VIZ150" s="6"/>
      <c r="VJA150" s="6"/>
      <c r="VJB150" s="6"/>
      <c r="VJC150" s="6"/>
      <c r="VJD150" s="6"/>
      <c r="VJE150" s="6"/>
      <c r="VJF150" s="6"/>
      <c r="VJG150" s="6"/>
      <c r="VJH150" s="6"/>
      <c r="VJI150" s="6"/>
      <c r="VJJ150" s="6"/>
      <c r="VJK150" s="6"/>
      <c r="VJL150" s="6"/>
      <c r="VJM150" s="6"/>
      <c r="VJN150" s="6"/>
      <c r="VJO150" s="6"/>
      <c r="VJP150" s="6"/>
      <c r="VJQ150" s="6"/>
      <c r="VJR150" s="6"/>
      <c r="VJS150" s="6"/>
      <c r="VJT150" s="6"/>
      <c r="VJU150" s="6"/>
      <c r="VJV150" s="6"/>
      <c r="VJW150" s="6"/>
      <c r="VJX150" s="6"/>
      <c r="VJY150" s="6"/>
      <c r="VJZ150" s="6"/>
      <c r="VKA150" s="6"/>
      <c r="VKB150" s="6"/>
      <c r="VKC150" s="6"/>
      <c r="VKD150" s="6"/>
      <c r="VKE150" s="6"/>
      <c r="VKF150" s="6"/>
      <c r="VKG150" s="6"/>
      <c r="VKH150" s="6"/>
      <c r="VKI150" s="6"/>
      <c r="VKJ150" s="6"/>
      <c r="VKK150" s="6"/>
      <c r="VKL150" s="6"/>
      <c r="VKM150" s="6"/>
      <c r="VKN150" s="6"/>
      <c r="VKO150" s="6"/>
      <c r="VKP150" s="6"/>
      <c r="VKQ150" s="6"/>
      <c r="VKR150" s="6"/>
      <c r="VKS150" s="6"/>
      <c r="VKT150" s="6"/>
      <c r="VKU150" s="6"/>
      <c r="VKV150" s="6"/>
      <c r="VKW150" s="6"/>
      <c r="VKX150" s="6"/>
      <c r="VKY150" s="6"/>
      <c r="VKZ150" s="6"/>
      <c r="VLA150" s="6"/>
      <c r="VLB150" s="6"/>
      <c r="VLC150" s="6"/>
      <c r="VLD150" s="6"/>
      <c r="VLE150" s="6"/>
      <c r="VLF150" s="6"/>
      <c r="VLG150" s="6"/>
      <c r="VLH150" s="6"/>
      <c r="VLI150" s="6"/>
      <c r="VLJ150" s="6"/>
      <c r="VLK150" s="6"/>
      <c r="VLL150" s="6"/>
      <c r="VLM150" s="6"/>
      <c r="VLN150" s="6"/>
      <c r="VLO150" s="6"/>
      <c r="VLP150" s="6"/>
      <c r="VLQ150" s="6"/>
      <c r="VLR150" s="6"/>
      <c r="VLS150" s="6"/>
      <c r="VLT150" s="6"/>
      <c r="VLU150" s="6"/>
      <c r="VLV150" s="6"/>
      <c r="VLW150" s="6"/>
      <c r="VLX150" s="6"/>
      <c r="VLY150" s="6"/>
      <c r="VLZ150" s="6"/>
      <c r="VMA150" s="6"/>
      <c r="VMB150" s="6"/>
      <c r="VMC150" s="6"/>
      <c r="VMD150" s="6"/>
      <c r="VME150" s="6"/>
      <c r="VMF150" s="6"/>
      <c r="VMG150" s="6"/>
      <c r="VMH150" s="6"/>
      <c r="VMI150" s="6"/>
      <c r="VMJ150" s="6"/>
      <c r="VMK150" s="6"/>
      <c r="VML150" s="6"/>
      <c r="VMM150" s="6"/>
      <c r="VMN150" s="6"/>
      <c r="VMO150" s="6"/>
      <c r="VMP150" s="6"/>
      <c r="VMQ150" s="6"/>
      <c r="VMR150" s="6"/>
      <c r="VMS150" s="6"/>
      <c r="VMT150" s="6"/>
      <c r="VMU150" s="6"/>
      <c r="VMV150" s="6"/>
      <c r="VMW150" s="6"/>
      <c r="VMX150" s="6"/>
      <c r="VMY150" s="6"/>
      <c r="VMZ150" s="6"/>
      <c r="VNA150" s="6"/>
      <c r="VNB150" s="6"/>
      <c r="VNC150" s="6"/>
      <c r="VND150" s="6"/>
      <c r="VNE150" s="6"/>
      <c r="VNF150" s="6"/>
      <c r="VNG150" s="6"/>
      <c r="VNH150" s="6"/>
      <c r="VNI150" s="6"/>
      <c r="VNJ150" s="6"/>
      <c r="VNK150" s="6"/>
      <c r="VNL150" s="6"/>
      <c r="VNM150" s="6"/>
      <c r="VNN150" s="6"/>
      <c r="VNO150" s="6"/>
      <c r="VNP150" s="6"/>
      <c r="VNQ150" s="6"/>
      <c r="VNR150" s="6"/>
      <c r="VNS150" s="6"/>
      <c r="VNT150" s="6"/>
      <c r="VNU150" s="6"/>
      <c r="VNV150" s="6"/>
      <c r="VNW150" s="6"/>
      <c r="VNX150" s="6"/>
      <c r="VNY150" s="6"/>
      <c r="VNZ150" s="6"/>
      <c r="VOA150" s="6"/>
      <c r="VOB150" s="6"/>
      <c r="VOC150" s="6"/>
      <c r="VOD150" s="6"/>
      <c r="VOE150" s="6"/>
      <c r="VOF150" s="6"/>
      <c r="VOG150" s="6"/>
      <c r="VOH150" s="6"/>
      <c r="VOI150" s="6"/>
      <c r="VOJ150" s="6"/>
      <c r="VOK150" s="6"/>
      <c r="VOL150" s="6"/>
      <c r="VOM150" s="6"/>
      <c r="VON150" s="6"/>
      <c r="VOO150" s="6"/>
      <c r="VOP150" s="6"/>
      <c r="VOQ150" s="6"/>
      <c r="VOR150" s="6"/>
      <c r="VOS150" s="6"/>
      <c r="VOT150" s="6"/>
      <c r="VOU150" s="6"/>
      <c r="VOV150" s="6"/>
      <c r="VOW150" s="6"/>
      <c r="VOX150" s="6"/>
      <c r="VOY150" s="6"/>
      <c r="VOZ150" s="6"/>
      <c r="VPA150" s="6"/>
      <c r="VPB150" s="6"/>
      <c r="VPC150" s="6"/>
      <c r="VPD150" s="6"/>
      <c r="VPE150" s="6"/>
      <c r="VPF150" s="6"/>
      <c r="VPG150" s="6"/>
      <c r="VPH150" s="6"/>
      <c r="VPI150" s="6"/>
      <c r="VPJ150" s="6"/>
      <c r="VPK150" s="6"/>
      <c r="VPL150" s="6"/>
      <c r="VPM150" s="6"/>
      <c r="VPN150" s="6"/>
      <c r="VPO150" s="6"/>
      <c r="VPP150" s="6"/>
      <c r="VPQ150" s="6"/>
      <c r="VPR150" s="6"/>
      <c r="VPS150" s="6"/>
      <c r="VPT150" s="6"/>
      <c r="VPU150" s="6"/>
      <c r="VPV150" s="6"/>
      <c r="VPW150" s="6"/>
      <c r="VPX150" s="6"/>
      <c r="VPY150" s="6"/>
      <c r="VPZ150" s="6"/>
      <c r="VQA150" s="6"/>
      <c r="VQB150" s="6"/>
      <c r="VQC150" s="6"/>
      <c r="VQD150" s="6"/>
      <c r="VQE150" s="6"/>
      <c r="VQF150" s="6"/>
      <c r="VQG150" s="6"/>
      <c r="VQH150" s="6"/>
      <c r="VQI150" s="6"/>
      <c r="VQJ150" s="6"/>
      <c r="VQK150" s="6"/>
      <c r="VQL150" s="6"/>
      <c r="VQM150" s="6"/>
      <c r="VQN150" s="6"/>
      <c r="VQO150" s="6"/>
      <c r="VQP150" s="6"/>
      <c r="VQQ150" s="6"/>
      <c r="VQR150" s="6"/>
      <c r="VQS150" s="6"/>
      <c r="VQT150" s="6"/>
      <c r="VQU150" s="6"/>
      <c r="VQV150" s="6"/>
      <c r="VQW150" s="6"/>
      <c r="VQX150" s="6"/>
      <c r="VQY150" s="6"/>
      <c r="VQZ150" s="6"/>
      <c r="VRA150" s="6"/>
      <c r="VRB150" s="6"/>
      <c r="VRC150" s="6"/>
      <c r="VRD150" s="6"/>
      <c r="VRE150" s="6"/>
      <c r="VRF150" s="6"/>
      <c r="VRG150" s="6"/>
      <c r="VRH150" s="6"/>
      <c r="VRI150" s="6"/>
      <c r="VRJ150" s="6"/>
      <c r="VRK150" s="6"/>
      <c r="VRL150" s="6"/>
      <c r="VRM150" s="6"/>
      <c r="VRN150" s="6"/>
      <c r="VRO150" s="6"/>
      <c r="VRP150" s="6"/>
      <c r="VRQ150" s="6"/>
      <c r="VRR150" s="6"/>
      <c r="VRS150" s="6"/>
      <c r="VRT150" s="6"/>
      <c r="VRU150" s="6"/>
      <c r="VRV150" s="6"/>
      <c r="VRW150" s="6"/>
      <c r="VRX150" s="6"/>
      <c r="VRY150" s="6"/>
      <c r="VRZ150" s="6"/>
      <c r="VSA150" s="6"/>
      <c r="VSB150" s="6"/>
      <c r="VSC150" s="6"/>
      <c r="VSD150" s="6"/>
      <c r="VSE150" s="6"/>
      <c r="VSF150" s="6"/>
      <c r="VSG150" s="6"/>
      <c r="VSH150" s="6"/>
      <c r="VSI150" s="6"/>
      <c r="VSJ150" s="6"/>
      <c r="VSK150" s="6"/>
      <c r="VSL150" s="6"/>
      <c r="VSM150" s="6"/>
      <c r="VSN150" s="6"/>
      <c r="VSO150" s="6"/>
      <c r="VSP150" s="6"/>
      <c r="VSQ150" s="6"/>
      <c r="VSR150" s="6"/>
      <c r="VSS150" s="6"/>
      <c r="VST150" s="6"/>
      <c r="VSU150" s="6"/>
      <c r="VSV150" s="6"/>
      <c r="VSW150" s="6"/>
      <c r="VSX150" s="6"/>
      <c r="VSY150" s="6"/>
      <c r="VSZ150" s="6"/>
      <c r="VTA150" s="6"/>
      <c r="VTB150" s="6"/>
      <c r="VTC150" s="6"/>
      <c r="VTD150" s="6"/>
      <c r="VTE150" s="6"/>
      <c r="VTF150" s="6"/>
      <c r="VTG150" s="6"/>
      <c r="VTH150" s="6"/>
      <c r="VTI150" s="6"/>
      <c r="VTJ150" s="6"/>
      <c r="VTK150" s="6"/>
      <c r="VTL150" s="6"/>
      <c r="VTM150" s="6"/>
      <c r="VTN150" s="6"/>
      <c r="VTO150" s="6"/>
      <c r="VTP150" s="6"/>
      <c r="VTQ150" s="6"/>
      <c r="VTR150" s="6"/>
      <c r="VTS150" s="6"/>
      <c r="VTT150" s="6"/>
      <c r="VTU150" s="6"/>
      <c r="VTV150" s="6"/>
      <c r="VTW150" s="6"/>
      <c r="VTX150" s="6"/>
      <c r="VTY150" s="6"/>
      <c r="VTZ150" s="6"/>
      <c r="VUA150" s="6"/>
      <c r="VUB150" s="6"/>
      <c r="VUC150" s="6"/>
      <c r="VUD150" s="6"/>
      <c r="VUE150" s="6"/>
      <c r="VUF150" s="6"/>
      <c r="VUG150" s="6"/>
      <c r="VUH150" s="6"/>
      <c r="VUI150" s="6"/>
      <c r="VUJ150" s="6"/>
      <c r="VUK150" s="6"/>
      <c r="VUL150" s="6"/>
      <c r="VUM150" s="6"/>
      <c r="VUN150" s="6"/>
      <c r="VUO150" s="6"/>
      <c r="VUP150" s="6"/>
      <c r="VUQ150" s="6"/>
      <c r="VUR150" s="6"/>
      <c r="VUS150" s="6"/>
      <c r="VUT150" s="6"/>
      <c r="VUU150" s="6"/>
      <c r="VUV150" s="6"/>
      <c r="VUW150" s="6"/>
      <c r="VUX150" s="6"/>
      <c r="VUY150" s="6"/>
      <c r="VUZ150" s="6"/>
      <c r="VVA150" s="6"/>
      <c r="VVB150" s="6"/>
      <c r="VVC150" s="6"/>
      <c r="VVD150" s="6"/>
      <c r="VVE150" s="6"/>
      <c r="VVF150" s="6"/>
      <c r="VVG150" s="6"/>
      <c r="VVH150" s="6"/>
      <c r="VVI150" s="6"/>
      <c r="VVJ150" s="6"/>
      <c r="VVK150" s="6"/>
      <c r="VVL150" s="6"/>
      <c r="VVM150" s="6"/>
      <c r="VVN150" s="6"/>
      <c r="VVO150" s="6"/>
      <c r="VVP150" s="6"/>
      <c r="VVQ150" s="6"/>
      <c r="VVR150" s="6"/>
      <c r="VVS150" s="6"/>
      <c r="VVT150" s="6"/>
      <c r="VVU150" s="6"/>
      <c r="VVV150" s="6"/>
      <c r="VVW150" s="6"/>
      <c r="VVX150" s="6"/>
      <c r="VVY150" s="6"/>
      <c r="VVZ150" s="6"/>
      <c r="VWA150" s="6"/>
      <c r="VWB150" s="6"/>
      <c r="VWC150" s="6"/>
      <c r="VWD150" s="6"/>
      <c r="VWE150" s="6"/>
      <c r="VWF150" s="6"/>
      <c r="VWG150" s="6"/>
      <c r="VWH150" s="6"/>
      <c r="VWI150" s="6"/>
      <c r="VWJ150" s="6"/>
      <c r="VWK150" s="6"/>
      <c r="VWL150" s="6"/>
      <c r="VWM150" s="6"/>
      <c r="VWN150" s="6"/>
      <c r="VWO150" s="6"/>
      <c r="VWP150" s="6"/>
      <c r="VWQ150" s="6"/>
      <c r="VWR150" s="6"/>
      <c r="VWS150" s="6"/>
      <c r="VWT150" s="6"/>
      <c r="VWU150" s="6"/>
      <c r="VWV150" s="6"/>
      <c r="VWW150" s="6"/>
      <c r="VWX150" s="6"/>
      <c r="VWY150" s="6"/>
      <c r="VWZ150" s="6"/>
      <c r="VXA150" s="6"/>
      <c r="VXB150" s="6"/>
      <c r="VXC150" s="6"/>
      <c r="VXD150" s="6"/>
      <c r="VXE150" s="6"/>
      <c r="VXF150" s="6"/>
      <c r="VXG150" s="6"/>
      <c r="VXH150" s="6"/>
      <c r="VXI150" s="6"/>
      <c r="VXJ150" s="6"/>
      <c r="VXK150" s="6"/>
      <c r="VXL150" s="6"/>
      <c r="VXM150" s="6"/>
      <c r="VXN150" s="6"/>
      <c r="VXO150" s="6"/>
      <c r="VXP150" s="6"/>
      <c r="VXQ150" s="6"/>
      <c r="VXR150" s="6"/>
      <c r="VXS150" s="6"/>
      <c r="VXT150" s="6"/>
      <c r="VXU150" s="6"/>
      <c r="VXV150" s="6"/>
      <c r="VXW150" s="6"/>
      <c r="VXX150" s="6"/>
      <c r="VXY150" s="6"/>
      <c r="VXZ150" s="6"/>
      <c r="VYA150" s="6"/>
      <c r="VYB150" s="6"/>
      <c r="VYC150" s="6"/>
      <c r="VYD150" s="6"/>
      <c r="VYE150" s="6"/>
      <c r="VYF150" s="6"/>
      <c r="VYG150" s="6"/>
      <c r="VYH150" s="6"/>
      <c r="VYI150" s="6"/>
      <c r="VYJ150" s="6"/>
      <c r="VYK150" s="6"/>
      <c r="VYL150" s="6"/>
      <c r="VYM150" s="6"/>
      <c r="VYN150" s="6"/>
      <c r="VYO150" s="6"/>
      <c r="VYP150" s="6"/>
      <c r="VYQ150" s="6"/>
      <c r="VYR150" s="6"/>
      <c r="VYS150" s="6"/>
      <c r="VYT150" s="6"/>
      <c r="VYU150" s="6"/>
      <c r="VYV150" s="6"/>
      <c r="VYW150" s="6"/>
      <c r="VYX150" s="6"/>
      <c r="VYY150" s="6"/>
      <c r="VYZ150" s="6"/>
      <c r="VZA150" s="6"/>
      <c r="VZB150" s="6"/>
      <c r="VZC150" s="6"/>
      <c r="VZD150" s="6"/>
      <c r="VZE150" s="6"/>
      <c r="VZF150" s="6"/>
      <c r="VZG150" s="6"/>
      <c r="VZH150" s="6"/>
      <c r="VZI150" s="6"/>
      <c r="VZJ150" s="6"/>
      <c r="VZK150" s="6"/>
      <c r="VZL150" s="6"/>
      <c r="VZM150" s="6"/>
      <c r="VZN150" s="6"/>
      <c r="VZO150" s="6"/>
      <c r="VZP150" s="6"/>
      <c r="VZQ150" s="6"/>
      <c r="VZR150" s="6"/>
      <c r="VZS150" s="6"/>
      <c r="VZT150" s="6"/>
      <c r="VZU150" s="6"/>
      <c r="VZV150" s="6"/>
      <c r="VZW150" s="6"/>
      <c r="VZX150" s="6"/>
      <c r="VZY150" s="6"/>
      <c r="VZZ150" s="6"/>
      <c r="WAA150" s="6"/>
      <c r="WAB150" s="6"/>
      <c r="WAC150" s="6"/>
      <c r="WAD150" s="6"/>
      <c r="WAE150" s="6"/>
      <c r="WAF150" s="6"/>
      <c r="WAG150" s="6"/>
      <c r="WAH150" s="6"/>
      <c r="WAI150" s="6"/>
      <c r="WAJ150" s="6"/>
      <c r="WAK150" s="6"/>
      <c r="WAL150" s="6"/>
      <c r="WAM150" s="6"/>
      <c r="WAN150" s="6"/>
      <c r="WAO150" s="6"/>
      <c r="WAP150" s="6"/>
      <c r="WAQ150" s="6"/>
      <c r="WAR150" s="6"/>
      <c r="WAS150" s="6"/>
      <c r="WAT150" s="6"/>
      <c r="WAU150" s="6"/>
      <c r="WAV150" s="6"/>
      <c r="WAW150" s="6"/>
      <c r="WAX150" s="6"/>
      <c r="WAY150" s="6"/>
      <c r="WAZ150" s="6"/>
      <c r="WBA150" s="6"/>
      <c r="WBB150" s="6"/>
      <c r="WBC150" s="6"/>
      <c r="WBD150" s="6"/>
      <c r="WBE150" s="6"/>
      <c r="WBF150" s="6"/>
      <c r="WBG150" s="6"/>
      <c r="WBH150" s="6"/>
      <c r="WBI150" s="6"/>
      <c r="WBJ150" s="6"/>
      <c r="WBK150" s="6"/>
      <c r="WBL150" s="6"/>
      <c r="WBM150" s="6"/>
      <c r="WBN150" s="6"/>
      <c r="WBO150" s="6"/>
      <c r="WBP150" s="6"/>
      <c r="WBQ150" s="6"/>
      <c r="WBR150" s="6"/>
      <c r="WBS150" s="6"/>
      <c r="WBT150" s="6"/>
      <c r="WBU150" s="6"/>
      <c r="WBV150" s="6"/>
      <c r="WBW150" s="6"/>
      <c r="WBX150" s="6"/>
      <c r="WBY150" s="6"/>
      <c r="WBZ150" s="6"/>
      <c r="WCA150" s="6"/>
      <c r="WCB150" s="6"/>
      <c r="WCC150" s="6"/>
      <c r="WCD150" s="6"/>
      <c r="WCE150" s="6"/>
      <c r="WCF150" s="6"/>
      <c r="WCG150" s="6"/>
      <c r="WCH150" s="6"/>
      <c r="WCI150" s="6"/>
      <c r="WCJ150" s="6"/>
      <c r="WCK150" s="6"/>
      <c r="WCL150" s="6"/>
      <c r="WCM150" s="6"/>
      <c r="WCN150" s="6"/>
      <c r="WCO150" s="6"/>
      <c r="WCP150" s="6"/>
      <c r="WCQ150" s="6"/>
      <c r="WCR150" s="6"/>
      <c r="WCS150" s="6"/>
      <c r="WCT150" s="6"/>
      <c r="WCU150" s="6"/>
      <c r="WCV150" s="6"/>
      <c r="WCW150" s="6"/>
      <c r="WCX150" s="6"/>
      <c r="WCY150" s="6"/>
      <c r="WCZ150" s="6"/>
      <c r="WDA150" s="6"/>
      <c r="WDB150" s="6"/>
      <c r="WDC150" s="6"/>
      <c r="WDD150" s="6"/>
      <c r="WDE150" s="6"/>
      <c r="WDF150" s="6"/>
      <c r="WDG150" s="6"/>
      <c r="WDH150" s="6"/>
      <c r="WDI150" s="6"/>
      <c r="WDJ150" s="6"/>
      <c r="WDK150" s="6"/>
      <c r="WDL150" s="6"/>
      <c r="WDM150" s="6"/>
      <c r="WDN150" s="6"/>
      <c r="WDO150" s="6"/>
      <c r="WDP150" s="6"/>
      <c r="WDQ150" s="6"/>
      <c r="WDR150" s="6"/>
      <c r="WDS150" s="6"/>
      <c r="WDT150" s="6"/>
      <c r="WDU150" s="6"/>
      <c r="WDV150" s="6"/>
      <c r="WDW150" s="6"/>
      <c r="WDX150" s="6"/>
      <c r="WDY150" s="6"/>
      <c r="WDZ150" s="6"/>
      <c r="WEA150" s="6"/>
      <c r="WEB150" s="6"/>
      <c r="WEC150" s="6"/>
      <c r="WED150" s="6"/>
      <c r="WEE150" s="6"/>
      <c r="WEF150" s="6"/>
      <c r="WEG150" s="6"/>
      <c r="WEH150" s="6"/>
      <c r="WEI150" s="6"/>
      <c r="WEJ150" s="6"/>
      <c r="WEK150" s="6"/>
      <c r="WEL150" s="6"/>
      <c r="WEM150" s="6"/>
      <c r="WEN150" s="6"/>
      <c r="WEO150" s="6"/>
      <c r="WEP150" s="6"/>
      <c r="WEQ150" s="6"/>
      <c r="WER150" s="6"/>
      <c r="WES150" s="6"/>
      <c r="WET150" s="6"/>
      <c r="WEU150" s="6"/>
      <c r="WEV150" s="6"/>
      <c r="WEW150" s="6"/>
      <c r="WEX150" s="6"/>
      <c r="WEY150" s="6"/>
      <c r="WEZ150" s="6"/>
      <c r="WFA150" s="6"/>
      <c r="WFB150" s="6"/>
      <c r="WFC150" s="6"/>
      <c r="WFD150" s="6"/>
      <c r="WFE150" s="6"/>
      <c r="WFF150" s="6"/>
      <c r="WFG150" s="6"/>
      <c r="WFH150" s="6"/>
      <c r="WFI150" s="6"/>
      <c r="WFJ150" s="6"/>
      <c r="WFK150" s="6"/>
      <c r="WFL150" s="6"/>
      <c r="WFM150" s="6"/>
      <c r="WFN150" s="6"/>
      <c r="WFO150" s="6"/>
      <c r="WFP150" s="6"/>
      <c r="WFQ150" s="6"/>
      <c r="WFR150" s="6"/>
      <c r="WFS150" s="6"/>
      <c r="WFT150" s="6"/>
      <c r="WFU150" s="6"/>
      <c r="WFV150" s="6"/>
      <c r="WFW150" s="6"/>
      <c r="WFX150" s="6"/>
      <c r="WFY150" s="6"/>
      <c r="WFZ150" s="6"/>
      <c r="WGA150" s="6"/>
      <c r="WGB150" s="6"/>
      <c r="WGC150" s="6"/>
      <c r="WGD150" s="6"/>
      <c r="WGE150" s="6"/>
      <c r="WGF150" s="6"/>
      <c r="WGG150" s="6"/>
      <c r="WGH150" s="6"/>
      <c r="WGI150" s="6"/>
      <c r="WGJ150" s="6"/>
      <c r="WGK150" s="6"/>
      <c r="WGL150" s="6"/>
      <c r="WGM150" s="6"/>
      <c r="WGN150" s="6"/>
      <c r="WGO150" s="6"/>
      <c r="WGP150" s="6"/>
      <c r="WGQ150" s="6"/>
      <c r="WGR150" s="6"/>
      <c r="WGS150" s="6"/>
      <c r="WGT150" s="6"/>
      <c r="WGU150" s="6"/>
      <c r="WGV150" s="6"/>
      <c r="WGW150" s="6"/>
      <c r="WGX150" s="6"/>
      <c r="WGY150" s="6"/>
      <c r="WGZ150" s="6"/>
      <c r="WHA150" s="6"/>
      <c r="WHB150" s="6"/>
      <c r="WHC150" s="6"/>
      <c r="WHD150" s="6"/>
      <c r="WHE150" s="6"/>
      <c r="WHF150" s="6"/>
      <c r="WHG150" s="6"/>
      <c r="WHH150" s="6"/>
      <c r="WHI150" s="6"/>
      <c r="WHJ150" s="6"/>
      <c r="WHK150" s="6"/>
      <c r="WHL150" s="6"/>
      <c r="WHM150" s="6"/>
      <c r="WHN150" s="6"/>
      <c r="WHO150" s="6"/>
      <c r="WHP150" s="6"/>
      <c r="WHQ150" s="6"/>
      <c r="WHR150" s="6"/>
      <c r="WHS150" s="6"/>
      <c r="WHT150" s="6"/>
      <c r="WHU150" s="6"/>
      <c r="WHV150" s="6"/>
      <c r="WHW150" s="6"/>
      <c r="WHX150" s="6"/>
      <c r="WHY150" s="6"/>
      <c r="WHZ150" s="6"/>
      <c r="WIA150" s="6"/>
      <c r="WIB150" s="6"/>
      <c r="WIC150" s="6"/>
      <c r="WID150" s="6"/>
      <c r="WIE150" s="6"/>
      <c r="WIF150" s="6"/>
      <c r="WIG150" s="6"/>
      <c r="WIH150" s="6"/>
      <c r="WII150" s="6"/>
      <c r="WIJ150" s="6"/>
      <c r="WIK150" s="6"/>
      <c r="WIL150" s="6"/>
      <c r="WIM150" s="6"/>
      <c r="WIN150" s="6"/>
      <c r="WIO150" s="6"/>
      <c r="WIP150" s="6"/>
      <c r="WIQ150" s="6"/>
      <c r="WIR150" s="6"/>
      <c r="WIS150" s="6"/>
      <c r="WIT150" s="6"/>
      <c r="WIU150" s="6"/>
      <c r="WIV150" s="6"/>
      <c r="WIW150" s="6"/>
      <c r="WIX150" s="6"/>
      <c r="WIY150" s="6"/>
      <c r="WIZ150" s="6"/>
      <c r="WJA150" s="6"/>
      <c r="WJB150" s="6"/>
      <c r="WJC150" s="6"/>
      <c r="WJD150" s="6"/>
      <c r="WJE150" s="6"/>
      <c r="WJF150" s="6"/>
      <c r="WJG150" s="6"/>
      <c r="WJH150" s="6"/>
      <c r="WJI150" s="6"/>
      <c r="WJJ150" s="6"/>
      <c r="WJK150" s="6"/>
      <c r="WJL150" s="6"/>
      <c r="WJM150" s="6"/>
      <c r="WJN150" s="6"/>
      <c r="WJO150" s="6"/>
      <c r="WJP150" s="6"/>
      <c r="WJQ150" s="6"/>
      <c r="WJR150" s="6"/>
      <c r="WJS150" s="6"/>
      <c r="WJT150" s="6"/>
      <c r="WJU150" s="6"/>
      <c r="WJV150" s="6"/>
      <c r="WJW150" s="6"/>
      <c r="WJX150" s="6"/>
      <c r="WJY150" s="6"/>
      <c r="WJZ150" s="6"/>
      <c r="WKA150" s="6"/>
      <c r="WKB150" s="6"/>
      <c r="WKC150" s="6"/>
      <c r="WKD150" s="6"/>
      <c r="WKE150" s="6"/>
      <c r="WKF150" s="6"/>
      <c r="WKG150" s="6"/>
      <c r="WKH150" s="6"/>
      <c r="WKI150" s="6"/>
      <c r="WKJ150" s="6"/>
      <c r="WKK150" s="6"/>
      <c r="WKL150" s="6"/>
      <c r="WKM150" s="6"/>
      <c r="WKN150" s="6"/>
      <c r="WKO150" s="6"/>
      <c r="WKP150" s="6"/>
      <c r="WKQ150" s="6"/>
      <c r="WKR150" s="6"/>
      <c r="WKS150" s="6"/>
      <c r="WKT150" s="6"/>
      <c r="WKU150" s="6"/>
      <c r="WKV150" s="6"/>
      <c r="WKW150" s="6"/>
      <c r="WKX150" s="6"/>
      <c r="WKY150" s="6"/>
      <c r="WKZ150" s="6"/>
      <c r="WLA150" s="6"/>
      <c r="WLB150" s="6"/>
      <c r="WLC150" s="6"/>
      <c r="WLD150" s="6"/>
      <c r="WLE150" s="6"/>
      <c r="WLF150" s="6"/>
      <c r="WLG150" s="6"/>
      <c r="WLH150" s="6"/>
      <c r="WLI150" s="6"/>
      <c r="WLJ150" s="6"/>
      <c r="WLK150" s="6"/>
      <c r="WLL150" s="6"/>
      <c r="WLM150" s="6"/>
      <c r="WLN150" s="6"/>
      <c r="WLO150" s="6"/>
      <c r="WLP150" s="6"/>
      <c r="WLQ150" s="6"/>
      <c r="WLR150" s="6"/>
      <c r="WLS150" s="6"/>
      <c r="WLT150" s="6"/>
      <c r="WLU150" s="6"/>
      <c r="WLV150" s="6"/>
      <c r="WLW150" s="6"/>
      <c r="WLX150" s="6"/>
      <c r="WLY150" s="6"/>
      <c r="WLZ150" s="6"/>
      <c r="WMA150" s="6"/>
      <c r="WMB150" s="6"/>
      <c r="WMC150" s="6"/>
      <c r="WMD150" s="6"/>
      <c r="WME150" s="6"/>
      <c r="WMF150" s="6"/>
      <c r="WMG150" s="6"/>
      <c r="WMH150" s="6"/>
      <c r="WMI150" s="6"/>
      <c r="WMJ150" s="6"/>
      <c r="WMK150" s="6"/>
      <c r="WML150" s="6"/>
      <c r="WMM150" s="6"/>
      <c r="WMN150" s="6"/>
      <c r="WMO150" s="6"/>
      <c r="WMP150" s="6"/>
      <c r="WMQ150" s="6"/>
      <c r="WMR150" s="6"/>
      <c r="WMS150" s="6"/>
      <c r="WMT150" s="6"/>
      <c r="WMU150" s="6"/>
      <c r="WMV150" s="6"/>
      <c r="WMW150" s="6"/>
      <c r="WMX150" s="6"/>
      <c r="WMY150" s="6"/>
      <c r="WMZ150" s="6"/>
      <c r="WNA150" s="6"/>
      <c r="WNB150" s="6"/>
      <c r="WNC150" s="6"/>
      <c r="WND150" s="6"/>
      <c r="WNE150" s="6"/>
      <c r="WNF150" s="6"/>
      <c r="WNG150" s="6"/>
      <c r="WNH150" s="6"/>
      <c r="WNI150" s="6"/>
      <c r="WNJ150" s="6"/>
      <c r="WNK150" s="6"/>
      <c r="WNL150" s="6"/>
      <c r="WNM150" s="6"/>
      <c r="WNN150" s="6"/>
      <c r="WNO150" s="6"/>
      <c r="WNP150" s="6"/>
      <c r="WNQ150" s="6"/>
      <c r="WNR150" s="6"/>
      <c r="WNS150" s="6"/>
      <c r="WNT150" s="6"/>
      <c r="WNU150" s="6"/>
      <c r="WNV150" s="6"/>
      <c r="WNW150" s="6"/>
      <c r="WNX150" s="6"/>
      <c r="WNY150" s="6"/>
      <c r="WNZ150" s="6"/>
      <c r="WOA150" s="6"/>
      <c r="WOB150" s="6"/>
      <c r="WOC150" s="6"/>
      <c r="WOD150" s="6"/>
      <c r="WOE150" s="6"/>
      <c r="WOF150" s="6"/>
      <c r="WOG150" s="6"/>
      <c r="WOH150" s="6"/>
      <c r="WOI150" s="6"/>
      <c r="WOJ150" s="6"/>
      <c r="WOK150" s="6"/>
      <c r="WOL150" s="6"/>
      <c r="WOM150" s="6"/>
      <c r="WON150" s="6"/>
      <c r="WOO150" s="6"/>
      <c r="WOP150" s="6"/>
      <c r="WOQ150" s="6"/>
      <c r="WOR150" s="6"/>
      <c r="WOS150" s="6"/>
      <c r="WOT150" s="6"/>
      <c r="WOU150" s="6"/>
      <c r="WOV150" s="6"/>
      <c r="WOW150" s="6"/>
      <c r="WOX150" s="6"/>
      <c r="WOY150" s="6"/>
      <c r="WOZ150" s="6"/>
      <c r="WPA150" s="6"/>
      <c r="WPB150" s="6"/>
      <c r="WPC150" s="6"/>
      <c r="WPD150" s="6"/>
      <c r="WPE150" s="6"/>
      <c r="WPF150" s="6"/>
      <c r="WPG150" s="6"/>
      <c r="WPH150" s="6"/>
      <c r="WPI150" s="6"/>
      <c r="WPJ150" s="6"/>
      <c r="WPK150" s="6"/>
      <c r="WPL150" s="6"/>
      <c r="WPM150" s="6"/>
      <c r="WPN150" s="6"/>
      <c r="WPO150" s="6"/>
      <c r="WPP150" s="6"/>
      <c r="WPQ150" s="6"/>
      <c r="WPR150" s="6"/>
      <c r="WPS150" s="6"/>
      <c r="WPT150" s="6"/>
      <c r="WPU150" s="6"/>
      <c r="WPV150" s="6"/>
      <c r="WPW150" s="6"/>
      <c r="WPX150" s="6"/>
      <c r="WPY150" s="6"/>
      <c r="WPZ150" s="6"/>
      <c r="WQA150" s="6"/>
      <c r="WQB150" s="6"/>
      <c r="WQC150" s="6"/>
      <c r="WQD150" s="6"/>
      <c r="WQE150" s="6"/>
      <c r="WQF150" s="6"/>
      <c r="WQG150" s="6"/>
      <c r="WQH150" s="6"/>
      <c r="WQI150" s="6"/>
      <c r="WQJ150" s="6"/>
      <c r="WQK150" s="6"/>
      <c r="WQL150" s="6"/>
      <c r="WQM150" s="6"/>
      <c r="WQN150" s="6"/>
      <c r="WQO150" s="6"/>
      <c r="WQP150" s="6"/>
      <c r="WQQ150" s="6"/>
      <c r="WQR150" s="6"/>
      <c r="WQS150" s="6"/>
      <c r="WQT150" s="6"/>
      <c r="WQU150" s="6"/>
      <c r="WQV150" s="6"/>
      <c r="WQW150" s="6"/>
      <c r="WQX150" s="6"/>
      <c r="WQY150" s="6"/>
      <c r="WQZ150" s="6"/>
      <c r="WRA150" s="6"/>
      <c r="WRB150" s="6"/>
      <c r="WRC150" s="6"/>
      <c r="WRD150" s="6"/>
      <c r="WRE150" s="6"/>
      <c r="WRF150" s="6"/>
      <c r="WRG150" s="6"/>
      <c r="WRH150" s="6"/>
      <c r="WRI150" s="6"/>
      <c r="WRJ150" s="6"/>
      <c r="WRK150" s="6"/>
      <c r="WRL150" s="6"/>
      <c r="WRM150" s="6"/>
      <c r="WRN150" s="6"/>
      <c r="WRO150" s="6"/>
      <c r="WRP150" s="6"/>
      <c r="WRQ150" s="6"/>
      <c r="WRR150" s="6"/>
      <c r="WRS150" s="6"/>
      <c r="WRT150" s="6"/>
      <c r="WRU150" s="6"/>
      <c r="WRV150" s="6"/>
      <c r="WRW150" s="6"/>
      <c r="WRX150" s="6"/>
      <c r="WRY150" s="6"/>
      <c r="WRZ150" s="6"/>
      <c r="WSA150" s="6"/>
      <c r="WSB150" s="6"/>
      <c r="WSC150" s="6"/>
      <c r="WSD150" s="6"/>
      <c r="WSE150" s="6"/>
      <c r="WSF150" s="6"/>
      <c r="WSG150" s="6"/>
      <c r="WSH150" s="6"/>
      <c r="WSI150" s="6"/>
      <c r="WSJ150" s="6"/>
      <c r="WSK150" s="6"/>
      <c r="WSL150" s="6"/>
      <c r="WSM150" s="6"/>
      <c r="WSN150" s="6"/>
      <c r="WSO150" s="6"/>
      <c r="WSP150" s="6"/>
      <c r="WSQ150" s="6"/>
      <c r="WSR150" s="6"/>
      <c r="WSS150" s="6"/>
      <c r="WST150" s="6"/>
      <c r="WSU150" s="6"/>
      <c r="WSV150" s="6"/>
      <c r="WSW150" s="6"/>
      <c r="WSX150" s="6"/>
      <c r="WSY150" s="6"/>
      <c r="WSZ150" s="6"/>
      <c r="WTA150" s="6"/>
      <c r="WTB150" s="6"/>
      <c r="WTC150" s="6"/>
      <c r="WTD150" s="6"/>
      <c r="WTE150" s="6"/>
      <c r="WTF150" s="6"/>
      <c r="WTG150" s="6"/>
      <c r="WTH150" s="6"/>
      <c r="WTI150" s="6"/>
      <c r="WTJ150" s="6"/>
      <c r="WTK150" s="6"/>
      <c r="WTL150" s="6"/>
      <c r="WTM150" s="6"/>
      <c r="WTN150" s="6"/>
      <c r="WTO150" s="6"/>
      <c r="WTP150" s="6"/>
      <c r="WTQ150" s="6"/>
      <c r="WTR150" s="6"/>
      <c r="WTS150" s="6"/>
      <c r="WTT150" s="6"/>
      <c r="WTU150" s="6"/>
      <c r="WTV150" s="6"/>
      <c r="WTW150" s="6"/>
      <c r="WTX150" s="6"/>
      <c r="WTY150" s="6"/>
      <c r="WTZ150" s="6"/>
      <c r="WUA150" s="6"/>
      <c r="WUB150" s="6"/>
      <c r="WUC150" s="6"/>
      <c r="WUD150" s="6"/>
      <c r="WUE150" s="6"/>
      <c r="WUF150" s="6"/>
      <c r="WUG150" s="6"/>
      <c r="WUH150" s="6"/>
      <c r="WUI150" s="6"/>
      <c r="WUJ150" s="6"/>
      <c r="WUK150" s="6"/>
      <c r="WUL150" s="6"/>
      <c r="WUM150" s="6"/>
      <c r="WUN150" s="6"/>
      <c r="WUO150" s="6"/>
      <c r="WUP150" s="6"/>
      <c r="WUQ150" s="6"/>
      <c r="WUR150" s="6"/>
      <c r="WUS150" s="6"/>
      <c r="WUT150" s="6"/>
      <c r="WUU150" s="6"/>
      <c r="WUV150" s="6"/>
      <c r="WUW150" s="6"/>
      <c r="WUX150" s="6"/>
      <c r="WUY150" s="6"/>
      <c r="WUZ150" s="6"/>
      <c r="WVA150" s="6"/>
      <c r="WVB150" s="6"/>
      <c r="WVC150" s="6"/>
      <c r="WVD150" s="6"/>
      <c r="WVE150" s="6"/>
      <c r="WVF150" s="6"/>
      <c r="WVG150" s="6"/>
      <c r="WVH150" s="6"/>
      <c r="WVI150" s="6"/>
      <c r="WVJ150" s="6"/>
      <c r="WVK150" s="6"/>
      <c r="WVL150" s="6"/>
      <c r="WVM150" s="6"/>
      <c r="WVN150" s="6"/>
      <c r="WVO150" s="6"/>
      <c r="WVP150" s="6"/>
      <c r="WVQ150" s="6"/>
      <c r="WVR150" s="6"/>
      <c r="WVS150" s="6"/>
      <c r="WVT150" s="6"/>
      <c r="WVU150" s="6"/>
      <c r="WVV150" s="6"/>
      <c r="WVW150" s="6"/>
      <c r="WVX150" s="6"/>
      <c r="WVY150" s="6"/>
      <c r="WVZ150" s="6"/>
      <c r="WWA150" s="6"/>
      <c r="WWB150" s="6"/>
      <c r="WWC150" s="6"/>
      <c r="WWD150" s="6"/>
      <c r="WWE150" s="6"/>
      <c r="WWF150" s="6"/>
      <c r="WWG150" s="6"/>
      <c r="WWH150" s="6"/>
      <c r="WWI150" s="6"/>
      <c r="WWJ150" s="6"/>
      <c r="WWK150" s="6"/>
      <c r="WWL150" s="6"/>
      <c r="WWM150" s="6"/>
      <c r="WWN150" s="6"/>
      <c r="WWO150" s="6"/>
      <c r="WWP150" s="6"/>
      <c r="WWQ150" s="6"/>
      <c r="WWR150" s="6"/>
      <c r="WWS150" s="6"/>
      <c r="WWT150" s="6"/>
      <c r="WWU150" s="6"/>
      <c r="WWV150" s="6"/>
      <c r="WWW150" s="6"/>
      <c r="WWX150" s="6"/>
      <c r="WWY150" s="6"/>
      <c r="WWZ150" s="6"/>
      <c r="WXA150" s="6"/>
      <c r="WXB150" s="6"/>
      <c r="WXC150" s="6"/>
      <c r="WXD150" s="6"/>
      <c r="WXE150" s="6"/>
      <c r="WXF150" s="6"/>
      <c r="WXG150" s="6"/>
      <c r="WXH150" s="6"/>
      <c r="WXI150" s="6"/>
      <c r="WXJ150" s="6"/>
      <c r="WXK150" s="6"/>
      <c r="WXL150" s="6"/>
      <c r="WXM150" s="6"/>
      <c r="WXN150" s="6"/>
      <c r="WXO150" s="6"/>
      <c r="WXP150" s="6"/>
      <c r="WXQ150" s="6"/>
      <c r="WXR150" s="6"/>
      <c r="WXS150" s="6"/>
      <c r="WXT150" s="6"/>
      <c r="WXU150" s="6"/>
      <c r="WXV150" s="6"/>
      <c r="WXW150" s="6"/>
      <c r="WXX150" s="6"/>
      <c r="WXY150" s="6"/>
      <c r="WXZ150" s="6"/>
      <c r="WYA150" s="6"/>
      <c r="WYB150" s="6"/>
      <c r="WYC150" s="6"/>
      <c r="WYD150" s="6"/>
      <c r="WYE150" s="6"/>
      <c r="WYF150" s="6"/>
      <c r="WYG150" s="6"/>
      <c r="WYH150" s="6"/>
      <c r="WYI150" s="6"/>
      <c r="WYJ150" s="6"/>
      <c r="WYK150" s="6"/>
      <c r="WYL150" s="6"/>
      <c r="WYM150" s="6"/>
      <c r="WYN150" s="6"/>
      <c r="WYO150" s="6"/>
      <c r="WYP150" s="6"/>
      <c r="WYQ150" s="6"/>
      <c r="WYR150" s="6"/>
      <c r="WYS150" s="6"/>
      <c r="WYT150" s="6"/>
      <c r="WYU150" s="6"/>
      <c r="WYV150" s="6"/>
      <c r="WYW150" s="6"/>
      <c r="WYX150" s="6"/>
      <c r="WYY150" s="6"/>
      <c r="WYZ150" s="6"/>
      <c r="WZA150" s="6"/>
      <c r="WZB150" s="6"/>
      <c r="WZC150" s="6"/>
      <c r="WZD150" s="6"/>
      <c r="WZE150" s="6"/>
      <c r="WZF150" s="6"/>
      <c r="WZG150" s="6"/>
      <c r="WZH150" s="6"/>
      <c r="WZI150" s="6"/>
      <c r="WZJ150" s="6"/>
      <c r="WZK150" s="6"/>
      <c r="WZL150" s="6"/>
      <c r="WZM150" s="6"/>
      <c r="WZN150" s="6"/>
      <c r="WZO150" s="6"/>
      <c r="WZP150" s="6"/>
      <c r="WZQ150" s="6"/>
      <c r="WZR150" s="6"/>
      <c r="WZS150" s="6"/>
      <c r="WZT150" s="6"/>
      <c r="WZU150" s="6"/>
      <c r="WZV150" s="6"/>
      <c r="WZW150" s="6"/>
      <c r="WZX150" s="6"/>
      <c r="WZY150" s="6"/>
      <c r="WZZ150" s="6"/>
      <c r="XAA150" s="6"/>
      <c r="XAB150" s="6"/>
      <c r="XAC150" s="6"/>
      <c r="XAD150" s="6"/>
      <c r="XAE150" s="6"/>
      <c r="XAF150" s="6"/>
      <c r="XAG150" s="6"/>
      <c r="XAH150" s="6"/>
      <c r="XAI150" s="6"/>
      <c r="XAJ150" s="6"/>
      <c r="XAK150" s="6"/>
      <c r="XAL150" s="6"/>
      <c r="XAM150" s="6"/>
      <c r="XAN150" s="6"/>
      <c r="XAO150" s="6"/>
      <c r="XAP150" s="6"/>
      <c r="XAQ150" s="6"/>
      <c r="XAR150" s="6"/>
      <c r="XAS150" s="6"/>
      <c r="XAT150" s="6"/>
      <c r="XAU150" s="6"/>
      <c r="XAV150" s="6"/>
      <c r="XAW150" s="6"/>
      <c r="XAX150" s="6"/>
      <c r="XAY150" s="6"/>
      <c r="XAZ150" s="6"/>
      <c r="XBA150" s="6"/>
      <c r="XBB150" s="6"/>
      <c r="XBC150" s="6"/>
      <c r="XBD150" s="6"/>
      <c r="XBE150" s="6"/>
      <c r="XBF150" s="6"/>
      <c r="XBG150" s="6"/>
      <c r="XBH150" s="6"/>
      <c r="XBI150" s="6"/>
      <c r="XBJ150" s="6"/>
      <c r="XBK150" s="6"/>
      <c r="XBL150" s="6"/>
      <c r="XBM150" s="6"/>
      <c r="XBN150" s="6"/>
      <c r="XBO150" s="6"/>
      <c r="XBP150" s="6"/>
      <c r="XBQ150" s="6"/>
      <c r="XBR150" s="6"/>
      <c r="XBS150" s="6"/>
      <c r="XBT150" s="6"/>
      <c r="XBU150" s="6"/>
      <c r="XBV150" s="6"/>
      <c r="XBW150" s="6"/>
      <c r="XBX150" s="6"/>
      <c r="XBY150" s="6"/>
      <c r="XBZ150" s="6"/>
      <c r="XCA150" s="6"/>
      <c r="XCB150" s="6"/>
      <c r="XCC150" s="6"/>
      <c r="XCD150" s="6"/>
      <c r="XCE150" s="6"/>
      <c r="XCF150" s="6"/>
      <c r="XCG150" s="6"/>
      <c r="XCH150" s="6"/>
      <c r="XCI150" s="6"/>
      <c r="XCJ150" s="6"/>
      <c r="XCK150" s="6"/>
      <c r="XCL150" s="6"/>
      <c r="XCM150" s="6"/>
      <c r="XCN150" s="6"/>
      <c r="XCO150" s="6"/>
      <c r="XCP150" s="6"/>
      <c r="XCQ150" s="6"/>
      <c r="XCR150" s="6"/>
      <c r="XCS150" s="6"/>
      <c r="XCT150" s="6"/>
      <c r="XCU150" s="6"/>
      <c r="XCV150" s="6"/>
      <c r="XCW150" s="6"/>
      <c r="XCX150" s="6"/>
      <c r="XCY150" s="6"/>
      <c r="XCZ150" s="6"/>
      <c r="XDA150" s="6"/>
      <c r="XDB150" s="6"/>
      <c r="XDC150" s="6"/>
      <c r="XDD150" s="6"/>
      <c r="XDE150" s="6"/>
      <c r="XDF150" s="6"/>
      <c r="XDG150" s="6"/>
      <c r="XDH150" s="6"/>
      <c r="XDI150" s="6"/>
      <c r="XDJ150" s="6"/>
      <c r="XDK150" s="6"/>
      <c r="XDL150" s="6"/>
      <c r="XDM150" s="6"/>
      <c r="XDN150" s="6"/>
      <c r="XDO150" s="6"/>
      <c r="XDP150" s="6"/>
      <c r="XDQ150" s="6"/>
      <c r="XDR150" s="6"/>
      <c r="XDS150" s="6"/>
      <c r="XDT150" s="6"/>
      <c r="XDU150" s="6"/>
      <c r="XDV150" s="6"/>
      <c r="XDW150" s="6"/>
      <c r="XDX150" s="6"/>
      <c r="XDY150" s="6"/>
      <c r="XDZ150" s="6"/>
      <c r="XEA150" s="6"/>
      <c r="XEB150" s="6"/>
      <c r="XEC150" s="6"/>
      <c r="XED150" s="6"/>
      <c r="XEE150" s="6"/>
      <c r="XEF150" s="6"/>
      <c r="XEG150" s="6"/>
      <c r="XEH150" s="6"/>
      <c r="XEI150" s="6"/>
      <c r="XEJ150" s="6"/>
      <c r="XEK150" s="6"/>
      <c r="XEL150" s="6"/>
      <c r="XEM150" s="6"/>
      <c r="XEN150" s="6"/>
      <c r="XEO150" s="6"/>
      <c r="XEP150" s="6"/>
      <c r="XEQ150" s="6"/>
      <c r="XER150" s="6"/>
      <c r="XES150" s="6"/>
      <c r="XET150" s="6"/>
      <c r="XEU150" s="6"/>
      <c r="XEV150" s="6"/>
      <c r="XEW150" s="6"/>
      <c r="XEX150" s="6"/>
      <c r="XEY150" s="6"/>
      <c r="XEZ150" s="6"/>
      <c r="XFA150" s="6"/>
      <c r="XFB150" s="6"/>
      <c r="XFC150" s="6"/>
      <c r="XFD150" s="6"/>
    </row>
    <row r="152" spans="1:9">
      <c r="A152">
        <v>1.51881666666667</v>
      </c>
      <c r="B152">
        <v>2.00138666666667</v>
      </c>
      <c r="C152">
        <v>2.66961333333333</v>
      </c>
      <c r="D152">
        <v>2.91648666666667</v>
      </c>
      <c r="E152">
        <v>3.04489</v>
      </c>
      <c r="F152">
        <v>3.05152666666667</v>
      </c>
      <c r="G152">
        <v>3.04671666666667</v>
      </c>
      <c r="H152">
        <v>3.05715666666667</v>
      </c>
      <c r="I152">
        <v>3.07026666666667</v>
      </c>
    </row>
    <row r="153" spans="1:9">
      <c r="A153" s="6">
        <v>0.0174893230921675</v>
      </c>
      <c r="B153" s="6">
        <v>0.0492398648341858</v>
      </c>
      <c r="C153" s="6">
        <v>0.117957562236971</v>
      </c>
      <c r="D153" s="6">
        <v>0.0499192710505896</v>
      </c>
      <c r="E153" s="6">
        <v>0.0226107186971135</v>
      </c>
      <c r="F153" s="6">
        <v>0.0511286014759731</v>
      </c>
      <c r="G153" s="6">
        <v>0.102495312846762</v>
      </c>
      <c r="H153" s="6">
        <v>0.0395103634787409</v>
      </c>
      <c r="I153" s="6">
        <v>0.0346300229409235</v>
      </c>
    </row>
    <row r="158" spans="6:14">
      <c r="F158" s="6">
        <v>0.0511286014759731</v>
      </c>
      <c r="G158" s="6">
        <v>0.102495312846762</v>
      </c>
      <c r="H158" s="6">
        <v>0.0395103634787409</v>
      </c>
      <c r="I158" s="6">
        <v>0.0346300229409235</v>
      </c>
      <c r="J158" s="6">
        <f t="shared" ref="F158:N158" si="20">(((J139-J153)^2+(J119-J153)^2+(J99-J153)^2)/3)^(1/2)</f>
        <v>0</v>
      </c>
      <c r="K158" s="6">
        <f t="shared" si="20"/>
        <v>0</v>
      </c>
      <c r="L158" s="6">
        <f t="shared" si="20"/>
        <v>0</v>
      </c>
      <c r="M158" s="6">
        <f t="shared" si="20"/>
        <v>0</v>
      </c>
      <c r="N158" s="6">
        <f t="shared" si="20"/>
        <v>0</v>
      </c>
    </row>
    <row r="421" spans="1:4">
      <c r="A421" t="s">
        <v>6680</v>
      </c>
      <c r="B421" t="s">
        <v>6681</v>
      </c>
      <c r="C421" t="s">
        <v>6682</v>
      </c>
      <c r="D421" t="s">
        <v>6683</v>
      </c>
    </row>
    <row r="422" spans="1:4">
      <c r="A422" t="s">
        <v>6684</v>
      </c>
      <c r="B422" t="s">
        <v>6685</v>
      </c>
      <c r="C422" t="s">
        <v>6686</v>
      </c>
      <c r="D422" t="s">
        <v>6687</v>
      </c>
    </row>
    <row r="423" spans="1:4">
      <c r="A423" t="s">
        <v>6688</v>
      </c>
      <c r="B423" t="s">
        <v>6689</v>
      </c>
      <c r="C423" t="s">
        <v>6690</v>
      </c>
      <c r="D423" t="s">
        <v>6691</v>
      </c>
    </row>
    <row r="424" spans="1:4">
      <c r="A424" t="s">
        <v>6692</v>
      </c>
      <c r="B424" t="s">
        <v>6693</v>
      </c>
      <c r="C424" t="s">
        <v>6694</v>
      </c>
      <c r="D424" t="s">
        <v>6695</v>
      </c>
    </row>
    <row r="425" spans="1:4">
      <c r="A425" t="s">
        <v>6696</v>
      </c>
      <c r="B425" t="s">
        <v>6697</v>
      </c>
      <c r="C425" t="s">
        <v>6698</v>
      </c>
      <c r="D425" t="s">
        <v>6699</v>
      </c>
    </row>
    <row r="426" spans="1:4">
      <c r="A426" t="s">
        <v>6700</v>
      </c>
      <c r="B426" t="s">
        <v>6701</v>
      </c>
      <c r="C426" t="s">
        <v>6702</v>
      </c>
      <c r="D426" t="s">
        <v>6703</v>
      </c>
    </row>
    <row r="427" spans="1:4">
      <c r="A427" t="s">
        <v>6704</v>
      </c>
      <c r="B427" t="s">
        <v>6705</v>
      </c>
      <c r="C427" t="s">
        <v>6706</v>
      </c>
      <c r="D427" t="s">
        <v>6707</v>
      </c>
    </row>
    <row r="428" spans="1:4">
      <c r="A428" t="s">
        <v>6708</v>
      </c>
      <c r="B428" t="s">
        <v>6709</v>
      </c>
      <c r="C428" t="s">
        <v>6710</v>
      </c>
      <c r="D428" t="s">
        <v>6711</v>
      </c>
    </row>
    <row r="429" spans="1:4">
      <c r="A429" t="s">
        <v>6712</v>
      </c>
      <c r="B429" t="s">
        <v>6713</v>
      </c>
      <c r="C429" t="s">
        <v>6714</v>
      </c>
      <c r="D429" t="s">
        <v>6715</v>
      </c>
    </row>
    <row r="430" spans="1:4">
      <c r="A430" t="s">
        <v>6716</v>
      </c>
      <c r="B430" t="s">
        <v>6717</v>
      </c>
      <c r="C430" t="s">
        <v>6718</v>
      </c>
      <c r="D430" t="s">
        <v>6719</v>
      </c>
    </row>
    <row r="431" spans="1:4">
      <c r="A431" t="s">
        <v>6720</v>
      </c>
      <c r="B431" t="s">
        <v>6721</v>
      </c>
      <c r="C431" t="s">
        <v>6722</v>
      </c>
      <c r="D431" t="s">
        <v>6723</v>
      </c>
    </row>
    <row r="432" spans="1:4">
      <c r="A432" t="s">
        <v>6724</v>
      </c>
      <c r="B432" t="s">
        <v>6725</v>
      </c>
      <c r="C432" t="s">
        <v>6726</v>
      </c>
      <c r="D432" t="s">
        <v>6727</v>
      </c>
    </row>
    <row r="433" spans="1:4">
      <c r="A433" t="s">
        <v>6728</v>
      </c>
      <c r="B433" t="s">
        <v>6729</v>
      </c>
      <c r="C433" t="s">
        <v>6730</v>
      </c>
      <c r="D433" t="s">
        <v>6731</v>
      </c>
    </row>
    <row r="434" spans="1:4">
      <c r="A434" t="s">
        <v>6732</v>
      </c>
      <c r="B434" t="s">
        <v>6733</v>
      </c>
      <c r="C434" t="s">
        <v>6734</v>
      </c>
      <c r="D434" t="s">
        <v>6735</v>
      </c>
    </row>
    <row r="435" spans="1:4">
      <c r="A435" t="s">
        <v>6736</v>
      </c>
      <c r="B435" t="s">
        <v>6737</v>
      </c>
      <c r="C435" t="s">
        <v>6738</v>
      </c>
      <c r="D435" t="s">
        <v>6739</v>
      </c>
    </row>
    <row r="436" spans="1:4">
      <c r="A436" t="s">
        <v>6740</v>
      </c>
      <c r="B436" t="s">
        <v>6741</v>
      </c>
      <c r="C436" t="s">
        <v>6742</v>
      </c>
      <c r="D436" t="s">
        <v>6743</v>
      </c>
    </row>
    <row r="437" spans="1:4">
      <c r="A437" t="s">
        <v>6744</v>
      </c>
      <c r="B437" t="s">
        <v>6745</v>
      </c>
      <c r="C437" t="s">
        <v>6746</v>
      </c>
      <c r="D437" t="s">
        <v>6747</v>
      </c>
    </row>
    <row r="438" spans="1:4">
      <c r="A438" t="s">
        <v>6748</v>
      </c>
      <c r="B438" t="s">
        <v>6749</v>
      </c>
      <c r="C438" t="s">
        <v>6750</v>
      </c>
      <c r="D438" t="s">
        <v>6751</v>
      </c>
    </row>
    <row r="439" spans="1:4">
      <c r="A439" t="s">
        <v>6752</v>
      </c>
      <c r="B439" t="s">
        <v>6753</v>
      </c>
      <c r="C439" t="s">
        <v>6754</v>
      </c>
      <c r="D439" t="s">
        <v>6755</v>
      </c>
    </row>
    <row r="440" spans="1:4">
      <c r="A440" t="s">
        <v>6756</v>
      </c>
      <c r="B440" t="s">
        <v>6757</v>
      </c>
      <c r="C440" t="s">
        <v>6758</v>
      </c>
      <c r="D440" t="s">
        <v>6759</v>
      </c>
    </row>
    <row r="441" spans="1:4">
      <c r="A441" t="s">
        <v>6760</v>
      </c>
      <c r="B441" t="s">
        <v>6761</v>
      </c>
      <c r="C441" t="s">
        <v>6762</v>
      </c>
      <c r="D441" t="s">
        <v>6763</v>
      </c>
    </row>
    <row r="442" spans="1:4">
      <c r="A442" t="s">
        <v>6764</v>
      </c>
      <c r="B442" t="s">
        <v>6765</v>
      </c>
      <c r="C442" t="s">
        <v>6766</v>
      </c>
      <c r="D442" t="s">
        <v>6767</v>
      </c>
    </row>
    <row r="443" spans="1:4">
      <c r="A443" t="s">
        <v>6768</v>
      </c>
      <c r="B443" t="s">
        <v>6769</v>
      </c>
      <c r="C443" t="s">
        <v>6770</v>
      </c>
      <c r="D443" t="s">
        <v>6771</v>
      </c>
    </row>
    <row r="444" spans="1:4">
      <c r="A444" t="s">
        <v>6772</v>
      </c>
      <c r="B444" t="s">
        <v>6773</v>
      </c>
      <c r="C444" t="s">
        <v>6774</v>
      </c>
      <c r="D444" t="s">
        <v>6775</v>
      </c>
    </row>
    <row r="445" spans="1:4">
      <c r="A445" t="s">
        <v>6776</v>
      </c>
      <c r="B445" t="s">
        <v>6777</v>
      </c>
      <c r="C445" t="s">
        <v>6778</v>
      </c>
      <c r="D445" t="s">
        <v>6779</v>
      </c>
    </row>
    <row r="446" spans="1:4">
      <c r="A446" t="s">
        <v>6780</v>
      </c>
      <c r="B446" t="s">
        <v>6781</v>
      </c>
      <c r="C446" t="s">
        <v>6782</v>
      </c>
      <c r="D446" t="s">
        <v>6783</v>
      </c>
    </row>
    <row r="447" spans="1:4">
      <c r="A447" t="s">
        <v>6784</v>
      </c>
      <c r="B447" t="s">
        <v>6785</v>
      </c>
      <c r="C447" t="s">
        <v>6786</v>
      </c>
      <c r="D447" t="s">
        <v>6787</v>
      </c>
    </row>
    <row r="448" spans="1:4">
      <c r="A448" t="s">
        <v>6788</v>
      </c>
      <c r="B448" t="s">
        <v>6789</v>
      </c>
      <c r="C448" t="s">
        <v>6790</v>
      </c>
      <c r="D448" t="s">
        <v>6791</v>
      </c>
    </row>
    <row r="449" spans="1:4">
      <c r="A449" t="s">
        <v>6792</v>
      </c>
      <c r="B449" t="s">
        <v>6793</v>
      </c>
      <c r="C449" t="s">
        <v>6794</v>
      </c>
      <c r="D449" t="s">
        <v>6795</v>
      </c>
    </row>
    <row r="450" spans="1:4">
      <c r="A450" t="s">
        <v>6796</v>
      </c>
      <c r="B450" t="s">
        <v>6797</v>
      </c>
      <c r="C450" t="s">
        <v>6798</v>
      </c>
      <c r="D450" t="s">
        <v>6799</v>
      </c>
    </row>
    <row r="451" spans="1:4">
      <c r="A451" t="s">
        <v>6800</v>
      </c>
      <c r="B451" t="s">
        <v>6801</v>
      </c>
      <c r="C451" t="s">
        <v>6802</v>
      </c>
      <c r="D451" t="s">
        <v>6803</v>
      </c>
    </row>
    <row r="452" spans="1:4">
      <c r="A452" t="s">
        <v>6804</v>
      </c>
      <c r="B452" t="s">
        <v>6805</v>
      </c>
      <c r="C452" t="s">
        <v>6806</v>
      </c>
      <c r="D452" t="s">
        <v>6807</v>
      </c>
    </row>
    <row r="453" spans="1:4">
      <c r="A453" t="s">
        <v>6808</v>
      </c>
      <c r="B453" t="s">
        <v>6809</v>
      </c>
      <c r="C453" t="s">
        <v>6810</v>
      </c>
      <c r="D453" t="s">
        <v>6811</v>
      </c>
    </row>
    <row r="454" spans="1:4">
      <c r="A454" t="s">
        <v>6812</v>
      </c>
      <c r="B454" t="s">
        <v>6813</v>
      </c>
      <c r="C454" t="s">
        <v>6814</v>
      </c>
      <c r="D454" t="s">
        <v>6815</v>
      </c>
    </row>
    <row r="455" spans="1:4">
      <c r="A455" t="s">
        <v>6816</v>
      </c>
      <c r="B455" t="s">
        <v>6817</v>
      </c>
      <c r="C455" t="s">
        <v>6818</v>
      </c>
      <c r="D455" t="s">
        <v>6819</v>
      </c>
    </row>
    <row r="456" spans="1:4">
      <c r="A456" t="s">
        <v>6820</v>
      </c>
      <c r="B456" t="s">
        <v>6821</v>
      </c>
      <c r="C456" t="s">
        <v>6822</v>
      </c>
      <c r="D456" t="s">
        <v>6823</v>
      </c>
    </row>
    <row r="457" spans="1:4">
      <c r="A457" t="s">
        <v>6824</v>
      </c>
      <c r="B457" t="s">
        <v>6825</v>
      </c>
      <c r="C457" t="s">
        <v>6826</v>
      </c>
      <c r="D457" t="s">
        <v>6825</v>
      </c>
    </row>
    <row r="458" spans="1:4">
      <c r="A458" t="s">
        <v>6827</v>
      </c>
      <c r="B458" t="s">
        <v>6828</v>
      </c>
      <c r="C458" t="s">
        <v>6829</v>
      </c>
      <c r="D458" t="s">
        <v>6830</v>
      </c>
    </row>
    <row r="459" spans="1:4">
      <c r="A459" t="s">
        <v>6831</v>
      </c>
      <c r="B459" t="s">
        <v>6832</v>
      </c>
      <c r="C459" t="s">
        <v>6833</v>
      </c>
      <c r="D459" t="s">
        <v>6834</v>
      </c>
    </row>
    <row r="460" spans="1:4">
      <c r="A460" t="s">
        <v>6835</v>
      </c>
      <c r="B460" t="s">
        <v>6836</v>
      </c>
      <c r="C460" t="s">
        <v>6837</v>
      </c>
      <c r="D460" t="s">
        <v>6838</v>
      </c>
    </row>
    <row r="461" spans="1:4">
      <c r="A461" t="s">
        <v>6839</v>
      </c>
      <c r="B461" t="s">
        <v>6840</v>
      </c>
      <c r="C461" t="s">
        <v>6841</v>
      </c>
      <c r="D461" t="s">
        <v>6842</v>
      </c>
    </row>
    <row r="462" spans="1:4">
      <c r="A462" t="s">
        <v>6843</v>
      </c>
      <c r="B462" t="s">
        <v>6844</v>
      </c>
      <c r="C462" t="s">
        <v>6845</v>
      </c>
      <c r="D462" t="s">
        <v>6846</v>
      </c>
    </row>
    <row r="463" spans="1:4">
      <c r="A463" t="s">
        <v>6847</v>
      </c>
      <c r="B463" t="s">
        <v>6848</v>
      </c>
      <c r="C463" t="s">
        <v>6849</v>
      </c>
      <c r="D463" t="s">
        <v>6850</v>
      </c>
    </row>
    <row r="464" spans="1:4">
      <c r="A464" t="s">
        <v>6851</v>
      </c>
      <c r="B464" t="s">
        <v>6852</v>
      </c>
      <c r="C464" t="s">
        <v>6853</v>
      </c>
      <c r="D464" t="s">
        <v>6854</v>
      </c>
    </row>
    <row r="465" spans="1:4">
      <c r="A465" t="s">
        <v>6855</v>
      </c>
      <c r="B465" t="s">
        <v>6856</v>
      </c>
      <c r="C465" t="s">
        <v>6857</v>
      </c>
      <c r="D465" t="s">
        <v>6858</v>
      </c>
    </row>
    <row r="466" spans="1:4">
      <c r="A466" t="s">
        <v>6859</v>
      </c>
      <c r="B466" t="s">
        <v>6860</v>
      </c>
      <c r="C466" t="s">
        <v>6861</v>
      </c>
      <c r="D466" t="s">
        <v>6862</v>
      </c>
    </row>
    <row r="467" spans="1:4">
      <c r="A467" t="s">
        <v>6863</v>
      </c>
      <c r="B467" t="s">
        <v>6864</v>
      </c>
      <c r="C467" t="s">
        <v>6865</v>
      </c>
      <c r="D467" t="s">
        <v>6866</v>
      </c>
    </row>
    <row r="468" spans="1:4">
      <c r="A468" t="s">
        <v>6867</v>
      </c>
      <c r="B468" t="s">
        <v>6868</v>
      </c>
      <c r="C468" t="s">
        <v>6869</v>
      </c>
      <c r="D468" t="s">
        <v>6870</v>
      </c>
    </row>
    <row r="469" spans="1:4">
      <c r="A469" t="s">
        <v>6871</v>
      </c>
      <c r="B469" t="s">
        <v>6872</v>
      </c>
      <c r="C469" t="s">
        <v>6873</v>
      </c>
      <c r="D469" t="s">
        <v>6874</v>
      </c>
    </row>
    <row r="470" spans="1:4">
      <c r="A470" t="s">
        <v>6875</v>
      </c>
      <c r="B470" t="s">
        <v>6876</v>
      </c>
      <c r="C470" t="s">
        <v>6877</v>
      </c>
      <c r="D470" t="s">
        <v>6878</v>
      </c>
    </row>
    <row r="471" spans="1:4">
      <c r="A471" t="s">
        <v>6879</v>
      </c>
      <c r="B471" t="s">
        <v>6880</v>
      </c>
      <c r="C471" t="s">
        <v>6881</v>
      </c>
      <c r="D471" t="s">
        <v>6882</v>
      </c>
    </row>
    <row r="472" spans="1:4">
      <c r="A472" t="s">
        <v>6883</v>
      </c>
      <c r="B472" t="s">
        <v>6884</v>
      </c>
      <c r="C472" t="s">
        <v>6885</v>
      </c>
      <c r="D472" t="s">
        <v>6886</v>
      </c>
    </row>
    <row r="473" spans="1:4">
      <c r="A473" t="s">
        <v>6887</v>
      </c>
      <c r="B473" t="s">
        <v>6888</v>
      </c>
      <c r="C473" t="s">
        <v>6889</v>
      </c>
      <c r="D473" t="s">
        <v>6890</v>
      </c>
    </row>
    <row r="474" spans="1:4">
      <c r="A474" t="s">
        <v>6891</v>
      </c>
      <c r="B474" t="s">
        <v>6892</v>
      </c>
      <c r="C474" t="s">
        <v>6893</v>
      </c>
      <c r="D474" t="s">
        <v>6894</v>
      </c>
    </row>
    <row r="475" spans="1:4">
      <c r="A475" t="s">
        <v>6895</v>
      </c>
      <c r="B475" t="s">
        <v>6896</v>
      </c>
      <c r="C475" t="s">
        <v>6897</v>
      </c>
      <c r="D475" t="s">
        <v>6898</v>
      </c>
    </row>
    <row r="476" spans="1:4">
      <c r="A476" t="s">
        <v>6899</v>
      </c>
      <c r="B476" t="s">
        <v>6900</v>
      </c>
      <c r="C476" t="s">
        <v>6901</v>
      </c>
      <c r="D476" t="s">
        <v>6902</v>
      </c>
    </row>
    <row r="477" spans="1:4">
      <c r="A477" t="s">
        <v>6903</v>
      </c>
      <c r="B477" t="s">
        <v>6904</v>
      </c>
      <c r="C477" t="s">
        <v>6905</v>
      </c>
      <c r="D477" t="s">
        <v>6906</v>
      </c>
    </row>
    <row r="478" spans="1:4">
      <c r="A478" t="s">
        <v>6907</v>
      </c>
      <c r="B478" t="s">
        <v>6908</v>
      </c>
      <c r="C478" t="s">
        <v>6909</v>
      </c>
      <c r="D478" t="s">
        <v>6910</v>
      </c>
    </row>
    <row r="479" spans="1:4">
      <c r="A479" t="s">
        <v>6911</v>
      </c>
      <c r="B479" t="s">
        <v>6912</v>
      </c>
      <c r="C479" t="s">
        <v>6913</v>
      </c>
      <c r="D479" t="s">
        <v>6914</v>
      </c>
    </row>
    <row r="480" spans="1:4">
      <c r="A480" t="s">
        <v>6915</v>
      </c>
      <c r="B480" t="s">
        <v>6916</v>
      </c>
      <c r="C480" t="s">
        <v>6917</v>
      </c>
      <c r="D480" t="s">
        <v>6918</v>
      </c>
    </row>
    <row r="481" spans="1:4">
      <c r="A481" t="s">
        <v>6919</v>
      </c>
      <c r="B481" t="s">
        <v>6920</v>
      </c>
      <c r="C481" t="s">
        <v>6921</v>
      </c>
      <c r="D481" t="s">
        <v>6922</v>
      </c>
    </row>
    <row r="482" spans="1:4">
      <c r="A482" t="s">
        <v>6923</v>
      </c>
      <c r="B482" t="s">
        <v>6924</v>
      </c>
      <c r="C482" t="s">
        <v>6925</v>
      </c>
      <c r="D482" t="s">
        <v>6926</v>
      </c>
    </row>
    <row r="483" spans="1:4">
      <c r="A483" t="s">
        <v>6927</v>
      </c>
      <c r="B483" t="s">
        <v>6928</v>
      </c>
      <c r="C483" t="s">
        <v>6929</v>
      </c>
      <c r="D483" t="s">
        <v>6930</v>
      </c>
    </row>
    <row r="484" spans="1:4">
      <c r="A484" t="s">
        <v>6931</v>
      </c>
      <c r="B484" t="s">
        <v>6932</v>
      </c>
      <c r="C484" t="s">
        <v>6933</v>
      </c>
      <c r="D484" t="s">
        <v>6934</v>
      </c>
    </row>
    <row r="485" spans="1:4">
      <c r="A485" t="s">
        <v>6935</v>
      </c>
      <c r="B485" t="s">
        <v>6936</v>
      </c>
      <c r="C485" t="s">
        <v>6937</v>
      </c>
      <c r="D485" t="s">
        <v>6938</v>
      </c>
    </row>
    <row r="486" spans="1:4">
      <c r="A486" t="s">
        <v>6939</v>
      </c>
      <c r="B486" t="s">
        <v>6940</v>
      </c>
      <c r="C486" t="s">
        <v>6941</v>
      </c>
      <c r="D486" t="s">
        <v>6942</v>
      </c>
    </row>
    <row r="487" spans="1:4">
      <c r="A487" t="s">
        <v>6943</v>
      </c>
      <c r="B487" t="s">
        <v>6944</v>
      </c>
      <c r="C487" t="s">
        <v>6945</v>
      </c>
      <c r="D487" t="s">
        <v>6946</v>
      </c>
    </row>
    <row r="488" spans="1:4">
      <c r="A488" t="s">
        <v>6947</v>
      </c>
      <c r="B488" t="s">
        <v>6948</v>
      </c>
      <c r="C488" t="s">
        <v>6949</v>
      </c>
      <c r="D488" t="s">
        <v>6950</v>
      </c>
    </row>
    <row r="489" spans="1:4">
      <c r="A489" t="s">
        <v>6951</v>
      </c>
      <c r="B489" t="s">
        <v>6952</v>
      </c>
      <c r="C489" t="s">
        <v>6953</v>
      </c>
      <c r="D489" t="s">
        <v>6954</v>
      </c>
    </row>
    <row r="490" spans="1:4">
      <c r="A490" t="s">
        <v>6955</v>
      </c>
      <c r="B490" t="s">
        <v>6956</v>
      </c>
      <c r="C490" t="s">
        <v>6957</v>
      </c>
      <c r="D490" t="s">
        <v>6958</v>
      </c>
    </row>
    <row r="491" spans="1:4">
      <c r="A491" t="s">
        <v>6959</v>
      </c>
      <c r="B491" t="s">
        <v>6960</v>
      </c>
      <c r="C491" t="s">
        <v>6961</v>
      </c>
      <c r="D491" t="s">
        <v>6962</v>
      </c>
    </row>
    <row r="492" spans="1:4">
      <c r="A492" t="s">
        <v>6963</v>
      </c>
      <c r="B492" t="s">
        <v>6964</v>
      </c>
      <c r="C492" t="s">
        <v>6965</v>
      </c>
      <c r="D492" t="s">
        <v>6966</v>
      </c>
    </row>
    <row r="493" spans="1:4">
      <c r="A493" t="s">
        <v>6967</v>
      </c>
      <c r="B493" t="s">
        <v>6968</v>
      </c>
      <c r="C493" t="s">
        <v>6969</v>
      </c>
      <c r="D493" t="s">
        <v>6970</v>
      </c>
    </row>
    <row r="494" spans="1:4">
      <c r="A494" t="s">
        <v>6971</v>
      </c>
      <c r="B494" t="s">
        <v>6972</v>
      </c>
      <c r="C494" t="s">
        <v>6973</v>
      </c>
      <c r="D494" t="s">
        <v>6974</v>
      </c>
    </row>
    <row r="495" spans="1:4">
      <c r="A495" t="s">
        <v>6975</v>
      </c>
      <c r="B495" t="s">
        <v>6976</v>
      </c>
      <c r="C495" t="s">
        <v>6977</v>
      </c>
      <c r="D495" t="s">
        <v>6978</v>
      </c>
    </row>
    <row r="496" spans="1:4">
      <c r="A496" t="s">
        <v>6979</v>
      </c>
      <c r="B496" t="s">
        <v>6980</v>
      </c>
      <c r="C496" t="s">
        <v>6981</v>
      </c>
      <c r="D496" t="s">
        <v>6982</v>
      </c>
    </row>
    <row r="497" spans="1:4">
      <c r="A497" t="s">
        <v>6983</v>
      </c>
      <c r="B497" t="s">
        <v>6984</v>
      </c>
      <c r="C497" t="s">
        <v>6985</v>
      </c>
      <c r="D497" t="s">
        <v>6986</v>
      </c>
    </row>
    <row r="498" spans="1:4">
      <c r="A498" t="s">
        <v>6987</v>
      </c>
      <c r="B498" t="s">
        <v>6988</v>
      </c>
      <c r="C498" t="s">
        <v>6989</v>
      </c>
      <c r="D498" t="s">
        <v>6990</v>
      </c>
    </row>
    <row r="499" spans="1:4">
      <c r="A499" t="s">
        <v>6991</v>
      </c>
      <c r="B499" t="s">
        <v>6992</v>
      </c>
      <c r="C499" t="s">
        <v>6993</v>
      </c>
      <c r="D499" t="s">
        <v>6994</v>
      </c>
    </row>
    <row r="500" spans="1:4">
      <c r="A500" t="s">
        <v>6995</v>
      </c>
      <c r="B500" t="s">
        <v>6996</v>
      </c>
      <c r="C500" t="s">
        <v>6997</v>
      </c>
      <c r="D500" t="s">
        <v>6998</v>
      </c>
    </row>
    <row r="501" spans="1:4">
      <c r="A501" t="s">
        <v>6999</v>
      </c>
      <c r="B501" t="s">
        <v>7000</v>
      </c>
      <c r="C501" t="s">
        <v>7001</v>
      </c>
      <c r="D501" t="s">
        <v>7002</v>
      </c>
    </row>
    <row r="502" spans="1:4">
      <c r="A502" t="s">
        <v>7003</v>
      </c>
      <c r="B502" t="s">
        <v>7004</v>
      </c>
      <c r="C502" t="s">
        <v>7005</v>
      </c>
      <c r="D502" t="s">
        <v>7006</v>
      </c>
    </row>
    <row r="503" spans="1:4">
      <c r="A503" t="s">
        <v>7007</v>
      </c>
      <c r="B503" t="s">
        <v>7008</v>
      </c>
      <c r="C503" t="s">
        <v>7009</v>
      </c>
      <c r="D503" t="s">
        <v>7010</v>
      </c>
    </row>
    <row r="504" spans="1:4">
      <c r="A504" t="s">
        <v>7011</v>
      </c>
      <c r="B504" t="s">
        <v>7012</v>
      </c>
      <c r="C504" t="s">
        <v>7013</v>
      </c>
      <c r="D504" t="s">
        <v>7014</v>
      </c>
    </row>
    <row r="505" spans="1:4">
      <c r="A505" t="s">
        <v>7015</v>
      </c>
      <c r="B505" t="s">
        <v>7016</v>
      </c>
      <c r="C505" t="s">
        <v>7017</v>
      </c>
      <c r="D505" t="s">
        <v>7018</v>
      </c>
    </row>
    <row r="506" spans="1:4">
      <c r="A506" t="s">
        <v>7019</v>
      </c>
      <c r="B506" t="s">
        <v>7020</v>
      </c>
      <c r="C506" t="s">
        <v>7021</v>
      </c>
      <c r="D506" t="s">
        <v>7022</v>
      </c>
    </row>
    <row r="507" spans="1:4">
      <c r="A507" t="s">
        <v>7023</v>
      </c>
      <c r="B507" t="s">
        <v>7024</v>
      </c>
      <c r="C507" t="s">
        <v>7025</v>
      </c>
      <c r="D507" t="s">
        <v>7026</v>
      </c>
    </row>
    <row r="508" spans="1:4">
      <c r="A508" t="s">
        <v>7027</v>
      </c>
      <c r="B508" t="s">
        <v>7028</v>
      </c>
      <c r="C508" t="s">
        <v>7029</v>
      </c>
      <c r="D508" t="s">
        <v>7030</v>
      </c>
    </row>
    <row r="509" spans="1:4">
      <c r="A509" t="s">
        <v>7031</v>
      </c>
      <c r="B509" t="s">
        <v>7032</v>
      </c>
      <c r="C509" t="s">
        <v>7033</v>
      </c>
      <c r="D509" t="s">
        <v>7034</v>
      </c>
    </row>
    <row r="510" spans="1:4">
      <c r="A510" t="s">
        <v>7035</v>
      </c>
      <c r="B510" t="s">
        <v>7036</v>
      </c>
      <c r="C510" t="s">
        <v>7037</v>
      </c>
      <c r="D510" t="s">
        <v>7038</v>
      </c>
    </row>
    <row r="511" spans="1:4">
      <c r="A511" t="s">
        <v>7039</v>
      </c>
      <c r="B511" t="s">
        <v>7040</v>
      </c>
      <c r="C511" t="s">
        <v>7041</v>
      </c>
      <c r="D511" t="s">
        <v>7042</v>
      </c>
    </row>
    <row r="512" spans="1:4">
      <c r="A512" t="s">
        <v>7043</v>
      </c>
      <c r="B512" t="s">
        <v>7044</v>
      </c>
      <c r="C512" t="s">
        <v>7045</v>
      </c>
      <c r="D512" t="s">
        <v>7046</v>
      </c>
    </row>
    <row r="513" spans="1:4">
      <c r="A513" t="s">
        <v>7047</v>
      </c>
      <c r="B513" t="s">
        <v>7048</v>
      </c>
      <c r="C513" t="s">
        <v>7049</v>
      </c>
      <c r="D513" t="s">
        <v>7050</v>
      </c>
    </row>
    <row r="514" spans="1:4">
      <c r="A514" t="s">
        <v>7051</v>
      </c>
      <c r="B514" t="s">
        <v>7052</v>
      </c>
      <c r="C514" t="s">
        <v>7053</v>
      </c>
      <c r="D514" t="s">
        <v>7054</v>
      </c>
    </row>
    <row r="515" spans="1:4">
      <c r="A515" t="s">
        <v>7055</v>
      </c>
      <c r="B515" t="s">
        <v>7056</v>
      </c>
      <c r="C515" t="s">
        <v>7057</v>
      </c>
      <c r="D515" t="s">
        <v>7055</v>
      </c>
    </row>
    <row r="516" spans="1:4">
      <c r="A516" t="s">
        <v>7058</v>
      </c>
      <c r="B516" t="s">
        <v>7059</v>
      </c>
      <c r="C516" t="s">
        <v>7060</v>
      </c>
      <c r="D516" t="s">
        <v>7061</v>
      </c>
    </row>
    <row r="517" spans="1:4">
      <c r="A517" t="s">
        <v>7062</v>
      </c>
      <c r="B517" t="s">
        <v>7063</v>
      </c>
      <c r="C517" t="s">
        <v>7064</v>
      </c>
      <c r="D517" t="s">
        <v>7065</v>
      </c>
    </row>
    <row r="518" spans="1:4">
      <c r="A518" t="s">
        <v>7066</v>
      </c>
      <c r="B518" t="s">
        <v>7067</v>
      </c>
      <c r="C518" t="s">
        <v>7068</v>
      </c>
      <c r="D518" t="s">
        <v>7069</v>
      </c>
    </row>
    <row r="519" spans="1:4">
      <c r="A519" t="s">
        <v>7070</v>
      </c>
      <c r="B519" t="s">
        <v>7071</v>
      </c>
      <c r="C519" t="s">
        <v>7072</v>
      </c>
      <c r="D519" t="s">
        <v>7073</v>
      </c>
    </row>
    <row r="520" spans="1:4">
      <c r="A520" t="s">
        <v>7074</v>
      </c>
      <c r="B520" t="s">
        <v>7075</v>
      </c>
      <c r="C520" t="s">
        <v>7076</v>
      </c>
      <c r="D520" t="s">
        <v>7077</v>
      </c>
    </row>
    <row r="521" spans="1:4">
      <c r="A521" t="s">
        <v>7078</v>
      </c>
      <c r="B521" t="s">
        <v>7079</v>
      </c>
      <c r="C521" t="s">
        <v>7080</v>
      </c>
      <c r="D521" t="s">
        <v>7081</v>
      </c>
    </row>
    <row r="522" spans="1:4">
      <c r="A522" t="s">
        <v>7082</v>
      </c>
      <c r="B522" t="s">
        <v>7083</v>
      </c>
      <c r="C522" t="s">
        <v>7084</v>
      </c>
      <c r="D522" t="s">
        <v>7085</v>
      </c>
    </row>
    <row r="523" spans="1:4">
      <c r="A523" t="s">
        <v>7086</v>
      </c>
      <c r="B523" t="s">
        <v>7087</v>
      </c>
      <c r="C523" t="s">
        <v>7088</v>
      </c>
      <c r="D523" t="s">
        <v>7089</v>
      </c>
    </row>
    <row r="524" spans="1:4">
      <c r="A524" t="s">
        <v>7090</v>
      </c>
      <c r="B524" t="s">
        <v>7091</v>
      </c>
      <c r="C524" t="s">
        <v>7092</v>
      </c>
      <c r="D524" t="s">
        <v>7093</v>
      </c>
    </row>
    <row r="525" spans="1:4">
      <c r="A525" t="s">
        <v>7094</v>
      </c>
      <c r="B525" t="s">
        <v>7095</v>
      </c>
      <c r="C525" t="s">
        <v>7096</v>
      </c>
      <c r="D525" t="s">
        <v>7097</v>
      </c>
    </row>
    <row r="526" spans="1:4">
      <c r="A526" t="s">
        <v>7098</v>
      </c>
      <c r="B526" t="s">
        <v>7099</v>
      </c>
      <c r="C526" t="s">
        <v>7100</v>
      </c>
      <c r="D526" t="s">
        <v>7101</v>
      </c>
    </row>
    <row r="527" spans="1:4">
      <c r="A527" t="s">
        <v>7102</v>
      </c>
      <c r="B527" t="s">
        <v>7103</v>
      </c>
      <c r="C527" t="s">
        <v>7104</v>
      </c>
      <c r="D527" t="s">
        <v>7105</v>
      </c>
    </row>
    <row r="528" spans="1:4">
      <c r="A528" t="s">
        <v>7106</v>
      </c>
      <c r="B528" t="s">
        <v>7107</v>
      </c>
      <c r="C528" t="s">
        <v>7108</v>
      </c>
      <c r="D528" t="s">
        <v>7109</v>
      </c>
    </row>
    <row r="529" spans="1:4">
      <c r="A529" t="s">
        <v>7110</v>
      </c>
      <c r="B529" t="s">
        <v>7111</v>
      </c>
      <c r="C529" t="s">
        <v>7112</v>
      </c>
      <c r="D529" t="s">
        <v>7113</v>
      </c>
    </row>
    <row r="530" spans="1:4">
      <c r="A530" t="s">
        <v>7114</v>
      </c>
      <c r="B530" t="s">
        <v>7115</v>
      </c>
      <c r="C530" t="s">
        <v>7116</v>
      </c>
      <c r="D530" t="s">
        <v>7117</v>
      </c>
    </row>
    <row r="531" spans="1:4">
      <c r="A531" t="s">
        <v>7118</v>
      </c>
      <c r="B531" t="s">
        <v>7119</v>
      </c>
      <c r="C531" t="s">
        <v>7120</v>
      </c>
      <c r="D531" t="s">
        <v>7121</v>
      </c>
    </row>
    <row r="532" spans="1:4">
      <c r="A532" t="s">
        <v>7122</v>
      </c>
      <c r="B532" t="s">
        <v>7123</v>
      </c>
      <c r="C532" t="s">
        <v>7124</v>
      </c>
      <c r="D532" t="s">
        <v>7125</v>
      </c>
    </row>
    <row r="533" spans="1:4">
      <c r="A533" t="s">
        <v>7126</v>
      </c>
      <c r="B533" t="s">
        <v>7127</v>
      </c>
      <c r="C533" t="s">
        <v>7128</v>
      </c>
      <c r="D533" t="s">
        <v>7129</v>
      </c>
    </row>
    <row r="534" spans="1:4">
      <c r="A534" t="s">
        <v>7130</v>
      </c>
      <c r="B534" t="s">
        <v>7131</v>
      </c>
      <c r="C534" t="s">
        <v>7132</v>
      </c>
      <c r="D534" t="s">
        <v>7133</v>
      </c>
    </row>
    <row r="535" spans="1:4">
      <c r="A535" t="s">
        <v>7134</v>
      </c>
      <c r="B535" t="s">
        <v>7135</v>
      </c>
      <c r="C535" t="s">
        <v>7136</v>
      </c>
      <c r="D535" t="s">
        <v>7137</v>
      </c>
    </row>
    <row r="536" spans="1:4">
      <c r="A536" t="s">
        <v>7138</v>
      </c>
      <c r="B536" t="s">
        <v>7139</v>
      </c>
      <c r="C536" t="s">
        <v>7140</v>
      </c>
      <c r="D536" t="s">
        <v>7141</v>
      </c>
    </row>
    <row r="537" spans="1:4">
      <c r="A537" t="s">
        <v>7142</v>
      </c>
      <c r="B537" t="s">
        <v>7143</v>
      </c>
      <c r="C537" t="s">
        <v>7144</v>
      </c>
      <c r="D537" t="s">
        <v>7145</v>
      </c>
    </row>
    <row r="538" spans="1:4">
      <c r="A538" t="s">
        <v>7146</v>
      </c>
      <c r="B538" t="s">
        <v>7147</v>
      </c>
      <c r="C538" t="s">
        <v>7148</v>
      </c>
      <c r="D538" t="s">
        <v>7149</v>
      </c>
    </row>
    <row r="539" spans="1:4">
      <c r="A539" t="s">
        <v>7150</v>
      </c>
      <c r="B539" t="s">
        <v>7151</v>
      </c>
      <c r="C539" t="s">
        <v>7152</v>
      </c>
      <c r="D539" t="s">
        <v>7153</v>
      </c>
    </row>
    <row r="540" spans="1:4">
      <c r="A540" t="s">
        <v>7154</v>
      </c>
      <c r="B540" t="s">
        <v>7155</v>
      </c>
      <c r="C540" t="s">
        <v>7156</v>
      </c>
      <c r="D540" t="s">
        <v>7157</v>
      </c>
    </row>
    <row r="541" spans="1:4">
      <c r="A541" t="s">
        <v>7158</v>
      </c>
      <c r="B541" t="s">
        <v>7159</v>
      </c>
      <c r="C541" t="s">
        <v>7160</v>
      </c>
      <c r="D541" t="s">
        <v>7158</v>
      </c>
    </row>
    <row r="542" spans="1:4">
      <c r="A542" t="s">
        <v>7161</v>
      </c>
      <c r="B542" t="s">
        <v>7162</v>
      </c>
      <c r="C542" t="s">
        <v>7163</v>
      </c>
      <c r="D542" t="s">
        <v>7164</v>
      </c>
    </row>
    <row r="543" spans="1:4">
      <c r="A543" t="s">
        <v>7165</v>
      </c>
      <c r="B543" t="s">
        <v>7166</v>
      </c>
      <c r="C543" t="s">
        <v>7167</v>
      </c>
      <c r="D543" t="s">
        <v>7168</v>
      </c>
    </row>
    <row r="544" spans="1:4">
      <c r="A544" t="s">
        <v>7169</v>
      </c>
      <c r="B544" t="s">
        <v>7170</v>
      </c>
      <c r="C544" t="s">
        <v>7171</v>
      </c>
      <c r="D544" t="s">
        <v>7172</v>
      </c>
    </row>
    <row r="545" spans="1:4">
      <c r="A545" t="s">
        <v>7173</v>
      </c>
      <c r="B545" t="s">
        <v>7174</v>
      </c>
      <c r="C545" t="s">
        <v>7175</v>
      </c>
      <c r="D545" t="s">
        <v>7176</v>
      </c>
    </row>
    <row r="546" spans="1:4">
      <c r="A546" t="s">
        <v>7177</v>
      </c>
      <c r="B546" t="s">
        <v>7178</v>
      </c>
      <c r="C546" t="s">
        <v>7179</v>
      </c>
      <c r="D546" t="s">
        <v>7180</v>
      </c>
    </row>
    <row r="547" spans="1:4">
      <c r="A547" t="s">
        <v>7181</v>
      </c>
      <c r="B547" t="s">
        <v>7182</v>
      </c>
      <c r="C547" t="s">
        <v>7183</v>
      </c>
      <c r="D547" t="s">
        <v>7184</v>
      </c>
    </row>
    <row r="548" spans="1:4">
      <c r="A548" t="s">
        <v>7185</v>
      </c>
      <c r="B548" t="s">
        <v>7186</v>
      </c>
      <c r="C548" t="s">
        <v>7187</v>
      </c>
      <c r="D548" t="s">
        <v>7188</v>
      </c>
    </row>
    <row r="549" spans="1:4">
      <c r="A549" t="s">
        <v>7189</v>
      </c>
      <c r="B549" t="s">
        <v>7190</v>
      </c>
      <c r="C549" t="s">
        <v>7191</v>
      </c>
      <c r="D549" t="s">
        <v>7192</v>
      </c>
    </row>
    <row r="550" spans="1:4">
      <c r="A550" t="s">
        <v>7193</v>
      </c>
      <c r="B550" t="s">
        <v>7194</v>
      </c>
      <c r="C550" t="s">
        <v>7195</v>
      </c>
      <c r="D550" t="s">
        <v>7196</v>
      </c>
    </row>
    <row r="551" spans="1:4">
      <c r="A551" t="s">
        <v>7197</v>
      </c>
      <c r="B551" t="s">
        <v>7198</v>
      </c>
      <c r="C551" t="s">
        <v>7199</v>
      </c>
      <c r="D551" t="s">
        <v>7200</v>
      </c>
    </row>
    <row r="552" spans="1:4">
      <c r="A552" t="s">
        <v>7201</v>
      </c>
      <c r="B552" t="s">
        <v>7202</v>
      </c>
      <c r="C552" t="s">
        <v>7203</v>
      </c>
      <c r="D552" t="s">
        <v>7204</v>
      </c>
    </row>
    <row r="553" spans="1:4">
      <c r="A553" t="s">
        <v>7205</v>
      </c>
      <c r="B553" t="s">
        <v>7206</v>
      </c>
      <c r="C553" t="s">
        <v>7207</v>
      </c>
      <c r="D553" t="s">
        <v>7208</v>
      </c>
    </row>
    <row r="554" spans="1:4">
      <c r="A554" t="s">
        <v>7209</v>
      </c>
      <c r="B554" t="s">
        <v>7210</v>
      </c>
      <c r="C554" t="s">
        <v>7211</v>
      </c>
      <c r="D554" t="s">
        <v>7212</v>
      </c>
    </row>
    <row r="555" spans="1:4">
      <c r="A555" t="s">
        <v>7213</v>
      </c>
      <c r="B555" t="s">
        <v>7214</v>
      </c>
      <c r="C555" t="s">
        <v>7215</v>
      </c>
      <c r="D555" t="s">
        <v>7216</v>
      </c>
    </row>
    <row r="556" spans="1:4">
      <c r="A556" t="s">
        <v>7217</v>
      </c>
      <c r="B556" t="s">
        <v>7218</v>
      </c>
      <c r="C556" t="s">
        <v>7219</v>
      </c>
      <c r="D556" t="s">
        <v>7220</v>
      </c>
    </row>
    <row r="557" spans="1:4">
      <c r="A557" t="s">
        <v>7221</v>
      </c>
      <c r="B557" t="s">
        <v>7222</v>
      </c>
      <c r="C557" t="s">
        <v>7223</v>
      </c>
      <c r="D557" t="s">
        <v>7224</v>
      </c>
    </row>
    <row r="558" spans="1:4">
      <c r="A558" t="s">
        <v>7225</v>
      </c>
      <c r="B558" t="s">
        <v>7226</v>
      </c>
      <c r="C558" t="s">
        <v>7227</v>
      </c>
      <c r="D558" t="s">
        <v>7228</v>
      </c>
    </row>
    <row r="559" spans="1:4">
      <c r="A559" t="s">
        <v>7229</v>
      </c>
      <c r="B559" t="s">
        <v>7230</v>
      </c>
      <c r="C559" t="s">
        <v>7231</v>
      </c>
      <c r="D559" t="s">
        <v>7232</v>
      </c>
    </row>
    <row r="560" spans="1:4">
      <c r="A560" t="s">
        <v>7233</v>
      </c>
      <c r="B560" t="s">
        <v>7234</v>
      </c>
      <c r="C560" t="s">
        <v>7235</v>
      </c>
      <c r="D560" t="s">
        <v>7236</v>
      </c>
    </row>
    <row r="561" spans="1:4">
      <c r="A561" t="s">
        <v>7237</v>
      </c>
      <c r="B561" t="s">
        <v>7238</v>
      </c>
      <c r="C561" t="s">
        <v>7239</v>
      </c>
      <c r="D561" t="s">
        <v>7240</v>
      </c>
    </row>
    <row r="562" spans="1:4">
      <c r="A562" t="s">
        <v>7241</v>
      </c>
      <c r="B562" t="s">
        <v>7242</v>
      </c>
      <c r="C562" t="s">
        <v>7243</v>
      </c>
      <c r="D562" t="s">
        <v>7244</v>
      </c>
    </row>
    <row r="563" spans="1:4">
      <c r="A563" t="s">
        <v>7245</v>
      </c>
      <c r="B563" t="s">
        <v>7246</v>
      </c>
      <c r="C563" t="s">
        <v>7247</v>
      </c>
      <c r="D563" t="s">
        <v>7248</v>
      </c>
    </row>
    <row r="564" spans="1:4">
      <c r="A564" t="s">
        <v>7249</v>
      </c>
      <c r="B564" t="s">
        <v>7250</v>
      </c>
      <c r="C564" t="s">
        <v>7251</v>
      </c>
      <c r="D564" t="s">
        <v>7252</v>
      </c>
    </row>
    <row r="565" spans="1:4">
      <c r="A565" t="s">
        <v>7253</v>
      </c>
      <c r="B565" t="s">
        <v>7254</v>
      </c>
      <c r="C565" t="s">
        <v>7255</v>
      </c>
      <c r="D565" t="s">
        <v>7256</v>
      </c>
    </row>
    <row r="566" spans="1:4">
      <c r="A566" t="s">
        <v>7257</v>
      </c>
      <c r="B566" t="s">
        <v>7258</v>
      </c>
      <c r="C566" t="s">
        <v>7259</v>
      </c>
      <c r="D566" t="s">
        <v>7260</v>
      </c>
    </row>
    <row r="567" spans="1:4">
      <c r="A567" t="s">
        <v>7261</v>
      </c>
      <c r="B567" t="s">
        <v>7262</v>
      </c>
      <c r="C567" t="s">
        <v>7263</v>
      </c>
      <c r="D567" t="s">
        <v>7264</v>
      </c>
    </row>
    <row r="568" spans="1:4">
      <c r="A568" t="s">
        <v>7265</v>
      </c>
      <c r="B568" t="s">
        <v>7266</v>
      </c>
      <c r="C568" t="s">
        <v>7267</v>
      </c>
      <c r="D568" t="s">
        <v>7268</v>
      </c>
    </row>
    <row r="569" spans="1:4">
      <c r="A569" t="s">
        <v>7269</v>
      </c>
      <c r="B569" t="s">
        <v>7270</v>
      </c>
      <c r="C569" t="s">
        <v>7271</v>
      </c>
      <c r="D569" t="s">
        <v>7272</v>
      </c>
    </row>
    <row r="570" spans="1:4">
      <c r="A570" t="s">
        <v>7273</v>
      </c>
      <c r="B570" t="s">
        <v>7274</v>
      </c>
      <c r="C570" t="s">
        <v>7275</v>
      </c>
      <c r="D570" t="s">
        <v>7276</v>
      </c>
    </row>
    <row r="571" spans="1:4">
      <c r="A571" t="s">
        <v>7277</v>
      </c>
      <c r="B571" t="s">
        <v>7278</v>
      </c>
      <c r="C571" t="s">
        <v>7279</v>
      </c>
      <c r="D571" t="s">
        <v>7280</v>
      </c>
    </row>
    <row r="572" spans="1:4">
      <c r="A572" t="s">
        <v>7281</v>
      </c>
      <c r="B572" t="s">
        <v>7282</v>
      </c>
      <c r="C572" t="s">
        <v>7283</v>
      </c>
      <c r="D572" t="s">
        <v>7284</v>
      </c>
    </row>
    <row r="573" spans="1:4">
      <c r="A573" t="s">
        <v>7285</v>
      </c>
      <c r="B573" t="s">
        <v>7286</v>
      </c>
      <c r="C573" t="s">
        <v>7287</v>
      </c>
      <c r="D573" t="s">
        <v>7288</v>
      </c>
    </row>
    <row r="574" spans="1:4">
      <c r="A574" t="s">
        <v>7289</v>
      </c>
      <c r="B574" t="s">
        <v>7290</v>
      </c>
      <c r="C574" t="s">
        <v>7291</v>
      </c>
      <c r="D574" t="s">
        <v>7292</v>
      </c>
    </row>
    <row r="575" spans="1:4">
      <c r="A575" t="s">
        <v>7293</v>
      </c>
      <c r="B575" t="s">
        <v>7294</v>
      </c>
      <c r="C575" t="s">
        <v>7295</v>
      </c>
      <c r="D575" t="s">
        <v>7296</v>
      </c>
    </row>
    <row r="576" spans="1:4">
      <c r="A576" t="s">
        <v>7297</v>
      </c>
      <c r="B576" t="s">
        <v>7298</v>
      </c>
      <c r="C576" t="s">
        <v>7299</v>
      </c>
      <c r="D576" t="s">
        <v>7300</v>
      </c>
    </row>
    <row r="577" spans="1:4">
      <c r="A577" t="s">
        <v>7301</v>
      </c>
      <c r="B577" t="s">
        <v>7302</v>
      </c>
      <c r="C577" t="s">
        <v>7303</v>
      </c>
      <c r="D577" t="s">
        <v>7304</v>
      </c>
    </row>
    <row r="578" spans="1:4">
      <c r="A578" t="s">
        <v>7305</v>
      </c>
      <c r="B578" t="s">
        <v>7306</v>
      </c>
      <c r="C578" t="s">
        <v>7307</v>
      </c>
      <c r="D578" t="s">
        <v>7308</v>
      </c>
    </row>
    <row r="579" spans="1:4">
      <c r="A579" t="s">
        <v>7309</v>
      </c>
      <c r="B579" t="s">
        <v>7310</v>
      </c>
      <c r="C579" t="s">
        <v>7311</v>
      </c>
      <c r="D579" t="s">
        <v>7312</v>
      </c>
    </row>
    <row r="580" spans="1:4">
      <c r="A580" t="s">
        <v>7313</v>
      </c>
      <c r="B580" t="s">
        <v>7314</v>
      </c>
      <c r="C580" t="s">
        <v>7315</v>
      </c>
      <c r="D580" t="s">
        <v>7316</v>
      </c>
    </row>
    <row r="581" spans="1:4">
      <c r="A581" t="s">
        <v>7317</v>
      </c>
      <c r="B581" t="s">
        <v>7318</v>
      </c>
      <c r="C581" t="s">
        <v>7319</v>
      </c>
      <c r="D581" t="s">
        <v>7320</v>
      </c>
    </row>
    <row r="582" spans="1:4">
      <c r="A582" t="s">
        <v>7321</v>
      </c>
      <c r="B582" t="s">
        <v>7322</v>
      </c>
      <c r="C582" t="s">
        <v>7323</v>
      </c>
      <c r="D582" t="s">
        <v>7324</v>
      </c>
    </row>
    <row r="583" spans="1:4">
      <c r="A583" t="s">
        <v>7325</v>
      </c>
      <c r="B583" t="s">
        <v>7326</v>
      </c>
      <c r="C583" t="s">
        <v>7327</v>
      </c>
      <c r="D583" t="s">
        <v>7328</v>
      </c>
    </row>
    <row r="584" spans="1:4">
      <c r="A584" t="s">
        <v>7329</v>
      </c>
      <c r="B584" t="s">
        <v>7330</v>
      </c>
      <c r="C584" t="s">
        <v>7331</v>
      </c>
      <c r="D584" t="s">
        <v>7332</v>
      </c>
    </row>
    <row r="585" spans="1:4">
      <c r="A585" t="s">
        <v>7333</v>
      </c>
      <c r="B585" t="s">
        <v>7334</v>
      </c>
      <c r="C585" t="s">
        <v>7335</v>
      </c>
      <c r="D585" t="s">
        <v>7336</v>
      </c>
    </row>
    <row r="586" spans="1:4">
      <c r="A586" t="s">
        <v>7337</v>
      </c>
      <c r="B586" t="s">
        <v>7338</v>
      </c>
      <c r="C586" t="s">
        <v>7339</v>
      </c>
      <c r="D586" t="s">
        <v>7340</v>
      </c>
    </row>
    <row r="587" spans="1:4">
      <c r="A587" t="s">
        <v>7341</v>
      </c>
      <c r="B587" t="s">
        <v>7342</v>
      </c>
      <c r="C587" t="s">
        <v>7343</v>
      </c>
      <c r="D587" t="s">
        <v>7344</v>
      </c>
    </row>
    <row r="588" spans="1:4">
      <c r="A588" t="s">
        <v>7345</v>
      </c>
      <c r="B588" t="s">
        <v>7346</v>
      </c>
      <c r="C588" t="s">
        <v>7347</v>
      </c>
      <c r="D588" t="s">
        <v>7348</v>
      </c>
    </row>
    <row r="589" spans="1:4">
      <c r="A589" t="s">
        <v>7349</v>
      </c>
      <c r="B589" t="s">
        <v>7350</v>
      </c>
      <c r="C589" t="s">
        <v>7351</v>
      </c>
      <c r="D589" t="s">
        <v>7352</v>
      </c>
    </row>
    <row r="590" spans="1:4">
      <c r="A590" t="s">
        <v>7353</v>
      </c>
      <c r="B590" t="s">
        <v>7354</v>
      </c>
      <c r="C590" t="s">
        <v>7355</v>
      </c>
      <c r="D590" t="s">
        <v>7356</v>
      </c>
    </row>
    <row r="591" spans="1:4">
      <c r="A591" t="s">
        <v>7357</v>
      </c>
      <c r="B591" t="s">
        <v>7358</v>
      </c>
      <c r="C591" t="s">
        <v>7359</v>
      </c>
      <c r="D591" t="s">
        <v>7360</v>
      </c>
    </row>
    <row r="592" spans="1:4">
      <c r="A592" t="s">
        <v>7361</v>
      </c>
      <c r="B592" t="s">
        <v>7362</v>
      </c>
      <c r="C592" t="s">
        <v>7363</v>
      </c>
      <c r="D592" t="s">
        <v>7364</v>
      </c>
    </row>
    <row r="593" spans="1:4">
      <c r="A593" t="s">
        <v>7365</v>
      </c>
      <c r="B593" t="s">
        <v>7366</v>
      </c>
      <c r="C593" t="s">
        <v>7367</v>
      </c>
      <c r="D593" t="s">
        <v>7368</v>
      </c>
    </row>
    <row r="594" spans="1:4">
      <c r="A594" t="s">
        <v>7369</v>
      </c>
      <c r="B594" t="s">
        <v>7370</v>
      </c>
      <c r="C594" t="s">
        <v>7371</v>
      </c>
      <c r="D594" t="s">
        <v>7372</v>
      </c>
    </row>
    <row r="595" spans="1:4">
      <c r="A595" t="s">
        <v>7373</v>
      </c>
      <c r="B595" t="s">
        <v>7374</v>
      </c>
      <c r="C595" t="s">
        <v>7375</v>
      </c>
      <c r="D595" t="s">
        <v>7376</v>
      </c>
    </row>
    <row r="596" spans="1:4">
      <c r="A596" t="s">
        <v>7377</v>
      </c>
      <c r="B596" t="s">
        <v>7378</v>
      </c>
      <c r="C596" t="s">
        <v>7379</v>
      </c>
      <c r="D596" t="s">
        <v>7380</v>
      </c>
    </row>
    <row r="597" spans="1:4">
      <c r="A597" t="s">
        <v>7381</v>
      </c>
      <c r="B597" t="s">
        <v>7382</v>
      </c>
      <c r="C597" t="s">
        <v>7383</v>
      </c>
      <c r="D597" t="s">
        <v>7384</v>
      </c>
    </row>
    <row r="598" spans="1:4">
      <c r="A598" t="s">
        <v>7385</v>
      </c>
      <c r="B598" t="s">
        <v>7386</v>
      </c>
      <c r="C598" t="s">
        <v>7387</v>
      </c>
      <c r="D598" t="s">
        <v>7388</v>
      </c>
    </row>
    <row r="599" spans="1:4">
      <c r="A599" t="s">
        <v>7389</v>
      </c>
      <c r="B599" t="s">
        <v>7390</v>
      </c>
      <c r="C599" t="s">
        <v>7391</v>
      </c>
      <c r="D599" t="s">
        <v>7392</v>
      </c>
    </row>
    <row r="600" spans="1:4">
      <c r="A600" t="s">
        <v>7393</v>
      </c>
      <c r="B600" t="s">
        <v>7394</v>
      </c>
      <c r="C600" t="s">
        <v>7395</v>
      </c>
      <c r="D600" t="s">
        <v>7396</v>
      </c>
    </row>
    <row r="601" spans="1:4">
      <c r="A601" t="s">
        <v>7397</v>
      </c>
      <c r="B601" t="s">
        <v>7398</v>
      </c>
      <c r="C601" t="s">
        <v>7399</v>
      </c>
      <c r="D601" t="s">
        <v>7400</v>
      </c>
    </row>
    <row r="602" spans="1:4">
      <c r="A602" t="s">
        <v>7401</v>
      </c>
      <c r="B602" t="s">
        <v>7402</v>
      </c>
      <c r="C602" t="s">
        <v>7403</v>
      </c>
      <c r="D602" t="s">
        <v>7404</v>
      </c>
    </row>
    <row r="603" spans="1:4">
      <c r="A603" t="s">
        <v>7405</v>
      </c>
      <c r="B603" t="s">
        <v>7406</v>
      </c>
      <c r="C603" t="s">
        <v>7407</v>
      </c>
      <c r="D603" t="s">
        <v>7408</v>
      </c>
    </row>
    <row r="604" spans="1:4">
      <c r="A604" t="s">
        <v>7409</v>
      </c>
      <c r="B604" t="s">
        <v>7410</v>
      </c>
      <c r="C604" t="s">
        <v>7411</v>
      </c>
      <c r="D604" t="s">
        <v>7412</v>
      </c>
    </row>
    <row r="605" spans="1:4">
      <c r="A605" t="s">
        <v>7413</v>
      </c>
      <c r="B605" t="s">
        <v>7414</v>
      </c>
      <c r="C605" t="s">
        <v>7415</v>
      </c>
      <c r="D605" t="s">
        <v>7416</v>
      </c>
    </row>
    <row r="606" spans="1:4">
      <c r="A606" t="s">
        <v>7417</v>
      </c>
      <c r="B606" t="s">
        <v>7418</v>
      </c>
      <c r="C606" t="s">
        <v>7419</v>
      </c>
      <c r="D606" t="s">
        <v>7420</v>
      </c>
    </row>
    <row r="607" spans="1:4">
      <c r="A607" t="s">
        <v>7421</v>
      </c>
      <c r="B607" t="s">
        <v>7422</v>
      </c>
      <c r="C607" t="s">
        <v>7423</v>
      </c>
      <c r="D607" t="s">
        <v>7424</v>
      </c>
    </row>
    <row r="608" spans="1:4">
      <c r="A608" t="s">
        <v>7425</v>
      </c>
      <c r="B608" t="s">
        <v>7426</v>
      </c>
      <c r="C608" t="s">
        <v>7427</v>
      </c>
      <c r="D608" t="s">
        <v>7428</v>
      </c>
    </row>
    <row r="609" spans="1:4">
      <c r="A609" t="s">
        <v>7429</v>
      </c>
      <c r="B609" t="s">
        <v>7430</v>
      </c>
      <c r="C609" t="s">
        <v>7431</v>
      </c>
      <c r="D609" t="s">
        <v>7432</v>
      </c>
    </row>
    <row r="610" spans="1:4">
      <c r="A610" t="s">
        <v>7433</v>
      </c>
      <c r="B610" t="s">
        <v>7434</v>
      </c>
      <c r="C610" t="s">
        <v>7435</v>
      </c>
      <c r="D610" t="s">
        <v>7436</v>
      </c>
    </row>
    <row r="611" spans="1:4">
      <c r="A611" t="s">
        <v>7437</v>
      </c>
      <c r="B611" t="s">
        <v>7438</v>
      </c>
      <c r="C611" t="s">
        <v>7439</v>
      </c>
      <c r="D611" t="s">
        <v>7440</v>
      </c>
    </row>
    <row r="612" spans="1:4">
      <c r="A612" t="s">
        <v>7441</v>
      </c>
      <c r="B612" t="s">
        <v>7442</v>
      </c>
      <c r="C612" t="s">
        <v>7443</v>
      </c>
      <c r="D612" t="s">
        <v>7444</v>
      </c>
    </row>
    <row r="613" spans="1:4">
      <c r="A613" t="s">
        <v>7445</v>
      </c>
      <c r="B613" t="s">
        <v>7446</v>
      </c>
      <c r="C613" t="s">
        <v>7447</v>
      </c>
      <c r="D613" t="s">
        <v>7448</v>
      </c>
    </row>
    <row r="614" spans="1:4">
      <c r="A614">
        <v>14.979</v>
      </c>
      <c r="B614">
        <v>5.287</v>
      </c>
      <c r="C614">
        <v>5.005</v>
      </c>
      <c r="D614">
        <v>4.568</v>
      </c>
    </row>
    <row r="615" spans="1:4">
      <c r="A615">
        <v>22.055</v>
      </c>
      <c r="B615">
        <v>11.768</v>
      </c>
      <c r="C615">
        <v>11.279</v>
      </c>
      <c r="D615">
        <v>4.921</v>
      </c>
    </row>
    <row r="616" spans="1:4">
      <c r="A616">
        <v>30.713</v>
      </c>
      <c r="B616">
        <v>19.337</v>
      </c>
      <c r="C616">
        <v>21.029</v>
      </c>
      <c r="D616">
        <v>12.252</v>
      </c>
    </row>
    <row r="617" spans="1:4">
      <c r="A617" t="s">
        <v>7449</v>
      </c>
      <c r="B617" t="s">
        <v>7450</v>
      </c>
      <c r="C617" t="s">
        <v>7451</v>
      </c>
      <c r="D617" t="s">
        <v>7452</v>
      </c>
    </row>
    <row r="618" spans="1:4">
      <c r="A618" t="s">
        <v>238</v>
      </c>
      <c r="B618" t="s">
        <v>238</v>
      </c>
      <c r="C618" t="s">
        <v>238</v>
      </c>
      <c r="D618" t="s">
        <v>238</v>
      </c>
    </row>
    <row r="619" spans="1:4">
      <c r="A619">
        <v>5.425</v>
      </c>
      <c r="B619">
        <v>4.03667</v>
      </c>
      <c r="C619">
        <v>3.93833</v>
      </c>
      <c r="D619">
        <v>3.515</v>
      </c>
    </row>
    <row r="620" spans="1:4">
      <c r="A620" t="s">
        <v>97</v>
      </c>
      <c r="B620" t="s">
        <v>97</v>
      </c>
      <c r="C620" t="s">
        <v>97</v>
      </c>
      <c r="D620" t="s">
        <v>97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3"/>
  <sheetViews>
    <sheetView workbookViewId="0">
      <selection activeCell="K348" sqref="K348"/>
    </sheetView>
  </sheetViews>
  <sheetFormatPr defaultColWidth="9.16346153846154" defaultRowHeight="16.8"/>
  <cols>
    <col min="1" max="1" width="52.1634615384615" customWidth="1"/>
    <col min="2" max="2" width="65.1634615384615" customWidth="1"/>
    <col min="3" max="3" width="54.1634615384615" customWidth="1"/>
    <col min="4" max="4" width="55.6634615384615" customWidth="1"/>
    <col min="5" max="5" width="52" customWidth="1"/>
    <col min="6" max="6" width="62" customWidth="1"/>
    <col min="7" max="7" width="49.5" customWidth="1"/>
    <col min="8" max="8" width="64.5" customWidth="1"/>
    <col min="9" max="9" width="65" customWidth="1"/>
    <col min="10" max="10" width="75.8365384615385" customWidth="1"/>
    <col min="11" max="11" width="42" customWidth="1"/>
  </cols>
  <sheetData>
    <row r="1" spans="1:1">
      <c r="A1" t="s">
        <v>87</v>
      </c>
    </row>
    <row r="2" s="1" customFormat="1" spans="1:11">
      <c r="A2" s="1">
        <v>0</v>
      </c>
      <c r="B2" s="1">
        <v>10</v>
      </c>
      <c r="C2" s="1">
        <v>20</v>
      </c>
      <c r="D2" s="1">
        <v>30</v>
      </c>
      <c r="E2" s="1">
        <v>40</v>
      </c>
      <c r="F2" s="1">
        <v>50</v>
      </c>
      <c r="G2" s="1">
        <v>60</v>
      </c>
      <c r="H2" s="1">
        <v>70</v>
      </c>
      <c r="I2" s="1">
        <v>80</v>
      </c>
      <c r="J2" s="1">
        <v>90</v>
      </c>
      <c r="K2" s="1">
        <v>100</v>
      </c>
    </row>
    <row r="3" spans="1:11">
      <c r="A3" t="s">
        <v>7453</v>
      </c>
      <c r="B3" t="s">
        <v>7453</v>
      </c>
      <c r="C3" t="s">
        <v>7453</v>
      </c>
      <c r="D3" t="s">
        <v>7453</v>
      </c>
      <c r="E3" t="s">
        <v>7453</v>
      </c>
      <c r="F3" t="s">
        <v>7453</v>
      </c>
      <c r="G3" t="s">
        <v>7453</v>
      </c>
      <c r="H3" t="s">
        <v>7453</v>
      </c>
      <c r="I3" t="s">
        <v>7453</v>
      </c>
      <c r="J3" t="s">
        <v>7453</v>
      </c>
      <c r="K3" t="s">
        <v>7453</v>
      </c>
    </row>
    <row r="4" spans="1:11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</row>
    <row r="5" spans="1:11">
      <c r="A5" t="s">
        <v>7454</v>
      </c>
      <c r="B5" t="s">
        <v>7455</v>
      </c>
      <c r="C5" t="s">
        <v>7456</v>
      </c>
      <c r="D5" t="s">
        <v>7457</v>
      </c>
      <c r="E5" t="s">
        <v>7458</v>
      </c>
      <c r="F5" t="s">
        <v>7459</v>
      </c>
      <c r="G5" t="s">
        <v>7460</v>
      </c>
      <c r="H5" t="s">
        <v>7461</v>
      </c>
      <c r="I5" t="s">
        <v>7462</v>
      </c>
      <c r="J5" t="s">
        <v>7463</v>
      </c>
      <c r="K5" t="s">
        <v>7464</v>
      </c>
    </row>
    <row r="6" spans="1:11">
      <c r="A6">
        <v>3087.01</v>
      </c>
      <c r="B6">
        <v>3405.52</v>
      </c>
      <c r="C6">
        <v>3518.82</v>
      </c>
      <c r="D6">
        <v>3566.91</v>
      </c>
      <c r="E6">
        <v>3620.56</v>
      </c>
      <c r="F6">
        <v>3595.16</v>
      </c>
      <c r="G6">
        <v>3637.07</v>
      </c>
      <c r="H6">
        <v>3801.97</v>
      </c>
      <c r="I6">
        <v>3798.61</v>
      </c>
      <c r="J6">
        <v>4082.4</v>
      </c>
      <c r="K6">
        <v>4324.21</v>
      </c>
    </row>
    <row r="7" spans="1:11">
      <c r="A7">
        <v>2.10862</v>
      </c>
      <c r="B7">
        <v>2.32618</v>
      </c>
      <c r="C7">
        <v>2.40356</v>
      </c>
      <c r="D7">
        <v>2.43642</v>
      </c>
      <c r="E7">
        <v>2.47306</v>
      </c>
      <c r="F7">
        <v>2.45571</v>
      </c>
      <c r="G7">
        <v>2.48434</v>
      </c>
      <c r="H7">
        <v>2.59698</v>
      </c>
      <c r="I7">
        <v>2.59468</v>
      </c>
      <c r="J7">
        <v>2.78852</v>
      </c>
      <c r="K7">
        <v>2.9537</v>
      </c>
    </row>
    <row r="8" spans="2:11">
      <c r="B8" t="s">
        <v>7465</v>
      </c>
      <c r="C8" t="s">
        <v>269</v>
      </c>
      <c r="D8" t="s">
        <v>7466</v>
      </c>
      <c r="E8" t="s">
        <v>7467</v>
      </c>
      <c r="F8" t="s">
        <v>7468</v>
      </c>
      <c r="G8" t="s">
        <v>7469</v>
      </c>
      <c r="H8" t="s">
        <v>7470</v>
      </c>
      <c r="I8" t="s">
        <v>7471</v>
      </c>
      <c r="J8" t="s">
        <v>7472</v>
      </c>
      <c r="K8" t="s">
        <v>127</v>
      </c>
    </row>
    <row r="9" spans="2:11">
      <c r="B9" t="s">
        <v>7473</v>
      </c>
      <c r="C9" t="s">
        <v>7474</v>
      </c>
      <c r="D9" t="s">
        <v>7475</v>
      </c>
      <c r="E9" t="s">
        <v>7476</v>
      </c>
      <c r="F9" t="s">
        <v>283</v>
      </c>
      <c r="G9" t="s">
        <v>7477</v>
      </c>
      <c r="H9" t="s">
        <v>7478</v>
      </c>
      <c r="I9" t="s">
        <v>7479</v>
      </c>
      <c r="J9" t="s">
        <v>7480</v>
      </c>
      <c r="K9" t="s">
        <v>7481</v>
      </c>
    </row>
    <row r="10" spans="2:11">
      <c r="B10" t="s">
        <v>7482</v>
      </c>
      <c r="C10" t="s">
        <v>7483</v>
      </c>
      <c r="D10" t="s">
        <v>7484</v>
      </c>
      <c r="E10" t="s">
        <v>7485</v>
      </c>
      <c r="F10" t="s">
        <v>7486</v>
      </c>
      <c r="G10" t="s">
        <v>7487</v>
      </c>
      <c r="H10" t="s">
        <v>7488</v>
      </c>
      <c r="I10" t="s">
        <v>7489</v>
      </c>
      <c r="J10" t="s">
        <v>7490</v>
      </c>
      <c r="K10" t="s">
        <v>7491</v>
      </c>
    </row>
    <row r="11" spans="1:10">
      <c r="A11">
        <v>8.273</v>
      </c>
      <c r="B11">
        <v>8.513</v>
      </c>
      <c r="C11">
        <v>8.769</v>
      </c>
      <c r="D11">
        <v>9.467</v>
      </c>
      <c r="E11">
        <v>10.31</v>
      </c>
      <c r="F11">
        <v>13.814</v>
      </c>
      <c r="G11">
        <v>14.921</v>
      </c>
      <c r="H11">
        <v>19.65</v>
      </c>
      <c r="I11">
        <v>26.589</v>
      </c>
      <c r="J11">
        <v>32.534</v>
      </c>
    </row>
    <row r="12" spans="1:10">
      <c r="A12">
        <v>8.497</v>
      </c>
      <c r="B12">
        <v>8.868</v>
      </c>
      <c r="C12">
        <v>9.216</v>
      </c>
      <c r="D12">
        <v>13.854</v>
      </c>
      <c r="E12">
        <v>15.095</v>
      </c>
      <c r="F12">
        <v>20.823</v>
      </c>
      <c r="G12">
        <v>20.9</v>
      </c>
      <c r="H12">
        <v>21.371</v>
      </c>
      <c r="I12">
        <v>29.462</v>
      </c>
      <c r="J12">
        <v>40.485</v>
      </c>
    </row>
    <row r="13" spans="1:10">
      <c r="A13">
        <v>15.599</v>
      </c>
      <c r="B13">
        <v>12.024</v>
      </c>
      <c r="C13">
        <v>14.101</v>
      </c>
      <c r="D13">
        <v>26.923</v>
      </c>
      <c r="E13">
        <v>30.357</v>
      </c>
      <c r="F13">
        <v>32.118</v>
      </c>
      <c r="G13">
        <v>25.646</v>
      </c>
      <c r="H13">
        <v>32.305</v>
      </c>
      <c r="I13">
        <v>33.8</v>
      </c>
      <c r="J13">
        <v>40.485</v>
      </c>
    </row>
    <row r="14" spans="1:11">
      <c r="A14">
        <v>8.273</v>
      </c>
      <c r="B14">
        <v>8.242</v>
      </c>
      <c r="C14">
        <v>8.72</v>
      </c>
      <c r="D14">
        <v>9.084</v>
      </c>
      <c r="E14">
        <v>9.011</v>
      </c>
      <c r="F14">
        <v>8.48</v>
      </c>
      <c r="G14">
        <v>8.558</v>
      </c>
      <c r="H14">
        <v>8.349</v>
      </c>
      <c r="I14">
        <v>14.139</v>
      </c>
      <c r="J14">
        <v>6.284</v>
      </c>
      <c r="K14">
        <v>4.621</v>
      </c>
    </row>
    <row r="15" spans="1:11">
      <c r="A15">
        <v>8.497</v>
      </c>
      <c r="B15">
        <v>8.704</v>
      </c>
      <c r="C15">
        <v>9.108</v>
      </c>
      <c r="D15">
        <v>12.857</v>
      </c>
      <c r="E15">
        <v>12.207</v>
      </c>
      <c r="F15">
        <v>16.065</v>
      </c>
      <c r="G15">
        <v>14.921</v>
      </c>
      <c r="H15">
        <v>14.807</v>
      </c>
      <c r="I15">
        <v>23.334</v>
      </c>
      <c r="J15">
        <v>7.791</v>
      </c>
      <c r="K15">
        <v>4.819</v>
      </c>
    </row>
    <row r="16" spans="1:11">
      <c r="A16">
        <v>15.599</v>
      </c>
      <c r="B16">
        <v>12.024</v>
      </c>
      <c r="C16">
        <v>22.603</v>
      </c>
      <c r="D16">
        <v>26.923</v>
      </c>
      <c r="E16">
        <v>30.357</v>
      </c>
      <c r="F16">
        <v>32.118</v>
      </c>
      <c r="G16">
        <v>25.404</v>
      </c>
      <c r="H16">
        <v>27.966</v>
      </c>
      <c r="I16">
        <v>29.749</v>
      </c>
      <c r="J16">
        <v>32.534</v>
      </c>
      <c r="K16">
        <v>22.158</v>
      </c>
    </row>
    <row r="17" spans="1:11">
      <c r="A17" t="s">
        <v>208</v>
      </c>
      <c r="B17" t="s">
        <v>7492</v>
      </c>
      <c r="C17" t="s">
        <v>345</v>
      </c>
      <c r="D17" t="s">
        <v>7493</v>
      </c>
      <c r="E17" t="s">
        <v>7494</v>
      </c>
      <c r="F17" t="s">
        <v>7495</v>
      </c>
      <c r="G17" t="s">
        <v>7496</v>
      </c>
      <c r="H17" t="s">
        <v>7497</v>
      </c>
      <c r="I17" t="s">
        <v>7498</v>
      </c>
      <c r="J17" t="s">
        <v>7499</v>
      </c>
      <c r="K17" t="s">
        <v>7500</v>
      </c>
    </row>
    <row r="18" spans="1:11">
      <c r="A18" t="s">
        <v>7501</v>
      </c>
      <c r="B18" t="s">
        <v>7502</v>
      </c>
      <c r="C18" t="s">
        <v>7503</v>
      </c>
      <c r="D18" t="s">
        <v>7504</v>
      </c>
      <c r="E18" t="s">
        <v>7505</v>
      </c>
      <c r="F18" t="s">
        <v>7506</v>
      </c>
      <c r="G18" t="s">
        <v>7507</v>
      </c>
      <c r="H18" t="s">
        <v>7508</v>
      </c>
      <c r="I18" t="s">
        <v>7509</v>
      </c>
      <c r="J18" t="s">
        <v>7510</v>
      </c>
      <c r="K18" t="s">
        <v>238</v>
      </c>
    </row>
    <row r="19" spans="1:11">
      <c r="A19">
        <v>7.16</v>
      </c>
      <c r="B19">
        <v>6.58</v>
      </c>
      <c r="C19">
        <v>6.725</v>
      </c>
      <c r="D19">
        <v>6.75</v>
      </c>
      <c r="E19">
        <v>6.42</v>
      </c>
      <c r="F19">
        <v>6.3</v>
      </c>
      <c r="G19">
        <v>5.68</v>
      </c>
      <c r="H19">
        <v>5.185</v>
      </c>
      <c r="I19">
        <v>6.005</v>
      </c>
      <c r="J19">
        <v>4.315</v>
      </c>
      <c r="K19">
        <v>3.605</v>
      </c>
    </row>
    <row r="20" spans="1:11">
      <c r="A20" t="s">
        <v>97</v>
      </c>
      <c r="B20" t="s">
        <v>97</v>
      </c>
      <c r="C20" t="s">
        <v>97</v>
      </c>
      <c r="D20" t="s">
        <v>97</v>
      </c>
      <c r="E20" t="s">
        <v>97</v>
      </c>
      <c r="F20" t="s">
        <v>97</v>
      </c>
      <c r="G20" t="s">
        <v>97</v>
      </c>
      <c r="H20" t="s">
        <v>97</v>
      </c>
      <c r="I20" t="s">
        <v>97</v>
      </c>
      <c r="J20" t="s">
        <v>97</v>
      </c>
      <c r="K20" t="s">
        <v>97</v>
      </c>
    </row>
    <row r="21" spans="1:11">
      <c r="A21" t="s">
        <v>7453</v>
      </c>
      <c r="B21" t="s">
        <v>7453</v>
      </c>
      <c r="C21" t="s">
        <v>7453</v>
      </c>
      <c r="D21" t="s">
        <v>7453</v>
      </c>
      <c r="E21" t="s">
        <v>7453</v>
      </c>
      <c r="F21" t="s">
        <v>7453</v>
      </c>
      <c r="G21" t="s">
        <v>7453</v>
      </c>
      <c r="H21" t="s">
        <v>7453</v>
      </c>
      <c r="I21" t="s">
        <v>7453</v>
      </c>
      <c r="J21" t="s">
        <v>7453</v>
      </c>
      <c r="K21" t="s">
        <v>7453</v>
      </c>
    </row>
    <row r="22" spans="1:11">
      <c r="A22" t="s">
        <v>42</v>
      </c>
      <c r="B22" t="s">
        <v>42</v>
      </c>
      <c r="C22" t="s">
        <v>42</v>
      </c>
      <c r="D22" t="s">
        <v>42</v>
      </c>
      <c r="E22" t="s">
        <v>42</v>
      </c>
      <c r="F22" t="s">
        <v>42</v>
      </c>
      <c r="G22" t="s">
        <v>42</v>
      </c>
      <c r="H22" t="s">
        <v>42</v>
      </c>
      <c r="I22" t="s">
        <v>42</v>
      </c>
      <c r="J22" t="s">
        <v>42</v>
      </c>
      <c r="K22" t="s">
        <v>42</v>
      </c>
    </row>
    <row r="23" spans="1:11">
      <c r="A23" t="s">
        <v>7511</v>
      </c>
      <c r="B23" t="s">
        <v>7512</v>
      </c>
      <c r="C23" t="s">
        <v>7513</v>
      </c>
      <c r="D23" t="s">
        <v>7514</v>
      </c>
      <c r="E23" t="s">
        <v>7515</v>
      </c>
      <c r="F23" t="s">
        <v>7516</v>
      </c>
      <c r="G23" t="s">
        <v>7517</v>
      </c>
      <c r="H23" t="s">
        <v>7518</v>
      </c>
      <c r="I23" t="s">
        <v>7519</v>
      </c>
      <c r="J23" t="s">
        <v>7520</v>
      </c>
      <c r="K23" t="s">
        <v>7521</v>
      </c>
    </row>
    <row r="24" spans="1:11">
      <c r="A24">
        <v>3035.17</v>
      </c>
      <c r="B24">
        <v>3413.64</v>
      </c>
      <c r="C24">
        <v>3519.04</v>
      </c>
      <c r="D24">
        <v>3480.22</v>
      </c>
      <c r="E24">
        <v>3570.79</v>
      </c>
      <c r="F24">
        <v>3561.23</v>
      </c>
      <c r="G24">
        <v>3718.43</v>
      </c>
      <c r="H24">
        <v>3706.59</v>
      </c>
      <c r="I24">
        <v>3916.35</v>
      </c>
      <c r="J24">
        <v>3926.82</v>
      </c>
      <c r="K24">
        <v>4183.94</v>
      </c>
    </row>
    <row r="25" spans="1:11">
      <c r="A25">
        <v>2.07321</v>
      </c>
      <c r="B25">
        <v>2.33172</v>
      </c>
      <c r="C25">
        <v>2.40372</v>
      </c>
      <c r="D25">
        <v>2.3772</v>
      </c>
      <c r="E25">
        <v>2.43906</v>
      </c>
      <c r="F25">
        <v>2.43253</v>
      </c>
      <c r="G25">
        <v>2.53991</v>
      </c>
      <c r="H25">
        <v>2.53182</v>
      </c>
      <c r="I25">
        <v>2.6751</v>
      </c>
      <c r="J25">
        <v>2.68225</v>
      </c>
      <c r="K25">
        <v>2.85788</v>
      </c>
    </row>
    <row r="26" spans="2:11">
      <c r="B26" t="s">
        <v>7522</v>
      </c>
      <c r="C26" t="s">
        <v>7523</v>
      </c>
      <c r="D26" t="s">
        <v>6603</v>
      </c>
      <c r="E26" t="s">
        <v>7524</v>
      </c>
      <c r="F26" t="s">
        <v>7525</v>
      </c>
      <c r="G26" t="s">
        <v>7526</v>
      </c>
      <c r="H26" t="s">
        <v>7527</v>
      </c>
      <c r="I26" t="s">
        <v>7528</v>
      </c>
      <c r="J26" t="s">
        <v>7529</v>
      </c>
      <c r="K26" t="s">
        <v>127</v>
      </c>
    </row>
    <row r="27" spans="2:11">
      <c r="B27" t="s">
        <v>7530</v>
      </c>
      <c r="C27" t="s">
        <v>7531</v>
      </c>
      <c r="D27" t="s">
        <v>7532</v>
      </c>
      <c r="E27" t="s">
        <v>7533</v>
      </c>
      <c r="F27" t="s">
        <v>7534</v>
      </c>
      <c r="G27" t="s">
        <v>7535</v>
      </c>
      <c r="H27" t="s">
        <v>7536</v>
      </c>
      <c r="I27" t="s">
        <v>7537</v>
      </c>
      <c r="J27" t="s">
        <v>7538</v>
      </c>
      <c r="K27" t="s">
        <v>7539</v>
      </c>
    </row>
    <row r="28" spans="2:11">
      <c r="B28" t="s">
        <v>7540</v>
      </c>
      <c r="C28" t="s">
        <v>7541</v>
      </c>
      <c r="D28" t="s">
        <v>7542</v>
      </c>
      <c r="E28" t="s">
        <v>7543</v>
      </c>
      <c r="F28" t="s">
        <v>6646</v>
      </c>
      <c r="G28" t="s">
        <v>7544</v>
      </c>
      <c r="H28" t="s">
        <v>7545</v>
      </c>
      <c r="I28" t="s">
        <v>7546</v>
      </c>
      <c r="J28" t="s">
        <v>7547</v>
      </c>
      <c r="K28" t="s">
        <v>7548</v>
      </c>
    </row>
    <row r="29" spans="1:10">
      <c r="A29">
        <v>8.162</v>
      </c>
      <c r="B29">
        <v>8.546</v>
      </c>
      <c r="C29">
        <v>9.01</v>
      </c>
      <c r="D29">
        <v>13.764</v>
      </c>
      <c r="E29">
        <v>15.163</v>
      </c>
      <c r="F29">
        <v>12.231</v>
      </c>
      <c r="G29">
        <v>16.183</v>
      </c>
      <c r="H29">
        <v>22.896</v>
      </c>
      <c r="I29">
        <v>17.729</v>
      </c>
      <c r="J29">
        <v>32.836</v>
      </c>
    </row>
    <row r="30" spans="1:10">
      <c r="A30">
        <v>8.339</v>
      </c>
      <c r="B30">
        <v>8.876</v>
      </c>
      <c r="C30">
        <v>9.411</v>
      </c>
      <c r="D30">
        <v>18.494</v>
      </c>
      <c r="E30">
        <v>21.259</v>
      </c>
      <c r="F30">
        <v>18.518</v>
      </c>
      <c r="G30">
        <v>19.794</v>
      </c>
      <c r="H30">
        <v>24.545</v>
      </c>
      <c r="I30">
        <v>22.944</v>
      </c>
      <c r="J30">
        <v>34.587</v>
      </c>
    </row>
    <row r="31" spans="1:10">
      <c r="A31">
        <v>8.854</v>
      </c>
      <c r="B31">
        <v>9.751</v>
      </c>
      <c r="C31">
        <v>15.371</v>
      </c>
      <c r="D31">
        <v>26.808</v>
      </c>
      <c r="E31">
        <v>25.318</v>
      </c>
      <c r="F31">
        <v>29.271</v>
      </c>
      <c r="G31">
        <v>33.598</v>
      </c>
      <c r="H31">
        <v>28.209</v>
      </c>
      <c r="I31">
        <v>28.833</v>
      </c>
      <c r="J31">
        <v>34.587</v>
      </c>
    </row>
    <row r="32" spans="1:11">
      <c r="A32">
        <v>8.162</v>
      </c>
      <c r="B32">
        <v>8.512</v>
      </c>
      <c r="C32">
        <v>8.894</v>
      </c>
      <c r="D32">
        <v>10.995</v>
      </c>
      <c r="E32">
        <v>11.27</v>
      </c>
      <c r="F32">
        <v>9.433</v>
      </c>
      <c r="G32">
        <v>8.861</v>
      </c>
      <c r="H32">
        <v>11.315</v>
      </c>
      <c r="I32">
        <v>7.444</v>
      </c>
      <c r="J32">
        <v>6.37</v>
      </c>
      <c r="K32">
        <v>4.621</v>
      </c>
    </row>
    <row r="33" spans="1:11">
      <c r="A33">
        <v>8.339</v>
      </c>
      <c r="B33">
        <v>8.83</v>
      </c>
      <c r="C33">
        <v>9.375</v>
      </c>
      <c r="D33">
        <v>16.585</v>
      </c>
      <c r="E33">
        <v>18.133</v>
      </c>
      <c r="F33">
        <v>14.948</v>
      </c>
      <c r="G33">
        <v>16.183</v>
      </c>
      <c r="H33">
        <v>18.184</v>
      </c>
      <c r="I33">
        <v>9.531</v>
      </c>
      <c r="J33">
        <v>17.121</v>
      </c>
      <c r="K33">
        <v>4.79</v>
      </c>
    </row>
    <row r="34" spans="1:11">
      <c r="A34">
        <v>8.854</v>
      </c>
      <c r="B34">
        <v>9.751</v>
      </c>
      <c r="C34">
        <v>21.241</v>
      </c>
      <c r="D34">
        <v>26.808</v>
      </c>
      <c r="E34">
        <v>25.318</v>
      </c>
      <c r="F34">
        <v>29.271</v>
      </c>
      <c r="G34">
        <v>28.718</v>
      </c>
      <c r="H34">
        <v>26.814</v>
      </c>
      <c r="I34">
        <v>22.944</v>
      </c>
      <c r="J34">
        <v>32.836</v>
      </c>
      <c r="K34">
        <v>8.424</v>
      </c>
    </row>
    <row r="35" spans="1:11">
      <c r="A35" t="s">
        <v>208</v>
      </c>
      <c r="B35" t="s">
        <v>7549</v>
      </c>
      <c r="C35" t="s">
        <v>7550</v>
      </c>
      <c r="D35" t="s">
        <v>7551</v>
      </c>
      <c r="E35" t="s">
        <v>7552</v>
      </c>
      <c r="F35" t="s">
        <v>7553</v>
      </c>
      <c r="G35" t="s">
        <v>7496</v>
      </c>
      <c r="H35" t="s">
        <v>7554</v>
      </c>
      <c r="I35" t="s">
        <v>7555</v>
      </c>
      <c r="J35" t="s">
        <v>7556</v>
      </c>
      <c r="K35" t="s">
        <v>7557</v>
      </c>
    </row>
    <row r="36" spans="1:11">
      <c r="A36" t="s">
        <v>7558</v>
      </c>
      <c r="B36" t="s">
        <v>7559</v>
      </c>
      <c r="C36" t="s">
        <v>7560</v>
      </c>
      <c r="D36" t="s">
        <v>7561</v>
      </c>
      <c r="E36" t="s">
        <v>7562</v>
      </c>
      <c r="F36" t="s">
        <v>7506</v>
      </c>
      <c r="G36" t="s">
        <v>7563</v>
      </c>
      <c r="H36" t="s">
        <v>7564</v>
      </c>
      <c r="I36" t="s">
        <v>7565</v>
      </c>
      <c r="J36" t="s">
        <v>7566</v>
      </c>
      <c r="K36" t="s">
        <v>238</v>
      </c>
    </row>
    <row r="37" spans="1:11">
      <c r="A37">
        <v>7.05</v>
      </c>
      <c r="B37">
        <v>6.745</v>
      </c>
      <c r="C37">
        <v>6.775</v>
      </c>
      <c r="D37">
        <v>6.615</v>
      </c>
      <c r="E37">
        <v>6.86</v>
      </c>
      <c r="F37">
        <v>6.24</v>
      </c>
      <c r="G37">
        <v>5.83</v>
      </c>
      <c r="H37">
        <v>5.66</v>
      </c>
      <c r="I37">
        <v>4.18</v>
      </c>
      <c r="J37">
        <v>4.775</v>
      </c>
      <c r="K37">
        <v>3.475</v>
      </c>
    </row>
    <row r="38" spans="1:11">
      <c r="A38" t="s">
        <v>97</v>
      </c>
      <c r="B38" t="s">
        <v>97</v>
      </c>
      <c r="C38" t="s">
        <v>97</v>
      </c>
      <c r="D38" t="s">
        <v>97</v>
      </c>
      <c r="E38" t="s">
        <v>97</v>
      </c>
      <c r="F38" t="s">
        <v>97</v>
      </c>
      <c r="G38" t="s">
        <v>97</v>
      </c>
      <c r="H38" t="s">
        <v>97</v>
      </c>
      <c r="I38" t="s">
        <v>97</v>
      </c>
      <c r="J38" t="s">
        <v>97</v>
      </c>
      <c r="K38" t="s">
        <v>97</v>
      </c>
    </row>
    <row r="39" spans="1:11">
      <c r="A39" t="s">
        <v>7453</v>
      </c>
      <c r="B39" t="s">
        <v>7453</v>
      </c>
      <c r="C39" t="s">
        <v>7453</v>
      </c>
      <c r="D39" t="s">
        <v>7453</v>
      </c>
      <c r="F39" t="s">
        <v>7453</v>
      </c>
      <c r="G39" t="s">
        <v>7453</v>
      </c>
      <c r="H39" t="s">
        <v>7453</v>
      </c>
      <c r="I39" t="s">
        <v>7453</v>
      </c>
      <c r="J39" t="s">
        <v>7453</v>
      </c>
      <c r="K39" t="s">
        <v>7453</v>
      </c>
    </row>
    <row r="40" spans="1:11">
      <c r="A40" t="s">
        <v>42</v>
      </c>
      <c r="B40" t="s">
        <v>42</v>
      </c>
      <c r="C40" t="s">
        <v>42</v>
      </c>
      <c r="D40" t="s">
        <v>42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</row>
    <row r="41" spans="1:11">
      <c r="A41" t="s">
        <v>7567</v>
      </c>
      <c r="B41" t="s">
        <v>7568</v>
      </c>
      <c r="C41" t="s">
        <v>7569</v>
      </c>
      <c r="D41" t="s">
        <v>7570</v>
      </c>
      <c r="F41" t="s">
        <v>7571</v>
      </c>
      <c r="G41" t="s">
        <v>7572</v>
      </c>
      <c r="H41" t="s">
        <v>7573</v>
      </c>
      <c r="I41" t="s">
        <v>7574</v>
      </c>
      <c r="J41" t="s">
        <v>7575</v>
      </c>
      <c r="K41" t="s">
        <v>7576</v>
      </c>
    </row>
    <row r="42" spans="1:11">
      <c r="A42">
        <v>3186.71</v>
      </c>
      <c r="B42">
        <v>3358.22</v>
      </c>
      <c r="C42">
        <v>3382.63</v>
      </c>
      <c r="D42">
        <v>3542.7</v>
      </c>
      <c r="F42">
        <v>3614</v>
      </c>
      <c r="G42">
        <v>3569.42</v>
      </c>
      <c r="H42">
        <v>3711.27</v>
      </c>
      <c r="I42">
        <v>3905.12</v>
      </c>
      <c r="J42">
        <v>3852.59</v>
      </c>
      <c r="K42">
        <v>4286.7</v>
      </c>
    </row>
    <row r="43" spans="1:11">
      <c r="A43">
        <v>2.17672</v>
      </c>
      <c r="B43">
        <v>2.29386</v>
      </c>
      <c r="C43">
        <v>2.31054</v>
      </c>
      <c r="D43">
        <v>2.41988</v>
      </c>
      <c r="F43">
        <v>2.46858</v>
      </c>
      <c r="G43">
        <v>2.43813</v>
      </c>
      <c r="H43">
        <v>2.53502</v>
      </c>
      <c r="I43">
        <v>2.66743</v>
      </c>
      <c r="J43">
        <v>2.63155</v>
      </c>
      <c r="K43">
        <v>2.92808</v>
      </c>
    </row>
    <row r="44" spans="2:11">
      <c r="B44" t="s">
        <v>5678</v>
      </c>
      <c r="C44" t="s">
        <v>259</v>
      </c>
      <c r="D44" t="s">
        <v>7577</v>
      </c>
      <c r="F44" t="s">
        <v>7578</v>
      </c>
      <c r="G44" t="s">
        <v>7579</v>
      </c>
      <c r="H44" t="s">
        <v>7580</v>
      </c>
      <c r="I44" t="s">
        <v>132</v>
      </c>
      <c r="J44" t="s">
        <v>7581</v>
      </c>
      <c r="K44" t="s">
        <v>5590</v>
      </c>
    </row>
    <row r="45" spans="2:11">
      <c r="B45" t="s">
        <v>7582</v>
      </c>
      <c r="C45" t="s">
        <v>7583</v>
      </c>
      <c r="D45" t="s">
        <v>7584</v>
      </c>
      <c r="F45" t="s">
        <v>6568</v>
      </c>
      <c r="G45" t="s">
        <v>7585</v>
      </c>
      <c r="H45" t="s">
        <v>7586</v>
      </c>
      <c r="I45" t="s">
        <v>7587</v>
      </c>
      <c r="J45" t="s">
        <v>7538</v>
      </c>
      <c r="K45" t="s">
        <v>7588</v>
      </c>
    </row>
    <row r="46" spans="2:11">
      <c r="B46" t="s">
        <v>7589</v>
      </c>
      <c r="C46" t="s">
        <v>7590</v>
      </c>
      <c r="D46" t="s">
        <v>7591</v>
      </c>
      <c r="F46" t="s">
        <v>7592</v>
      </c>
      <c r="G46" t="s">
        <v>7593</v>
      </c>
      <c r="H46" t="s">
        <v>7594</v>
      </c>
      <c r="I46" t="s">
        <v>7595</v>
      </c>
      <c r="J46" t="s">
        <v>7596</v>
      </c>
      <c r="K46" t="s">
        <v>7597</v>
      </c>
    </row>
    <row r="47" spans="1:10">
      <c r="A47">
        <v>7.899</v>
      </c>
      <c r="B47">
        <v>8.588</v>
      </c>
      <c r="C47">
        <v>9.279</v>
      </c>
      <c r="D47">
        <v>9.021</v>
      </c>
      <c r="F47">
        <v>15.86</v>
      </c>
      <c r="G47">
        <v>19.386</v>
      </c>
      <c r="H47">
        <v>27.588</v>
      </c>
      <c r="I47">
        <v>25.979</v>
      </c>
      <c r="J47">
        <v>26.551</v>
      </c>
    </row>
    <row r="48" spans="1:10">
      <c r="A48">
        <v>8.232</v>
      </c>
      <c r="B48">
        <v>8.913</v>
      </c>
      <c r="C48">
        <v>13.171</v>
      </c>
      <c r="D48">
        <v>10.43</v>
      </c>
      <c r="F48">
        <v>20.026</v>
      </c>
      <c r="G48">
        <v>22.777</v>
      </c>
      <c r="H48">
        <v>29.492</v>
      </c>
      <c r="I48">
        <v>31.273</v>
      </c>
      <c r="J48">
        <v>27.056</v>
      </c>
    </row>
    <row r="49" spans="1:10">
      <c r="A49">
        <v>9.076</v>
      </c>
      <c r="B49">
        <v>23.997</v>
      </c>
      <c r="C49">
        <v>24.758</v>
      </c>
      <c r="D49">
        <v>20.554</v>
      </c>
      <c r="F49">
        <v>25.638</v>
      </c>
      <c r="G49">
        <v>33.403</v>
      </c>
      <c r="H49">
        <v>42.184</v>
      </c>
      <c r="I49">
        <v>31.887</v>
      </c>
      <c r="J49">
        <v>27.056</v>
      </c>
    </row>
    <row r="50" spans="1:11">
      <c r="A50">
        <v>7.899</v>
      </c>
      <c r="B50">
        <v>8.54</v>
      </c>
      <c r="C50">
        <v>9.149</v>
      </c>
      <c r="D50">
        <v>8.85</v>
      </c>
      <c r="F50">
        <v>9.073</v>
      </c>
      <c r="G50">
        <v>8.866</v>
      </c>
      <c r="H50">
        <v>16.804</v>
      </c>
      <c r="I50">
        <v>7.285</v>
      </c>
      <c r="J50">
        <v>6.947</v>
      </c>
      <c r="K50">
        <v>4.644</v>
      </c>
    </row>
    <row r="51" spans="1:11">
      <c r="A51">
        <v>8.232</v>
      </c>
      <c r="B51">
        <v>8.871</v>
      </c>
      <c r="C51">
        <v>12.984</v>
      </c>
      <c r="D51">
        <v>10.248</v>
      </c>
      <c r="F51">
        <v>17.458</v>
      </c>
      <c r="G51">
        <v>19.571</v>
      </c>
      <c r="H51">
        <v>25.697</v>
      </c>
      <c r="I51">
        <v>11.102</v>
      </c>
      <c r="J51">
        <v>9.124</v>
      </c>
      <c r="K51">
        <v>4.767</v>
      </c>
    </row>
    <row r="52" spans="1:11">
      <c r="A52">
        <v>9.076</v>
      </c>
      <c r="B52">
        <v>23.997</v>
      </c>
      <c r="C52">
        <v>24.758</v>
      </c>
      <c r="D52">
        <v>21.8</v>
      </c>
      <c r="F52">
        <v>53.231</v>
      </c>
      <c r="G52">
        <v>33.082</v>
      </c>
      <c r="H52">
        <v>32.915</v>
      </c>
      <c r="I52">
        <v>31.273</v>
      </c>
      <c r="J52">
        <v>26.551</v>
      </c>
      <c r="K52">
        <v>5.397</v>
      </c>
    </row>
    <row r="53" spans="1:11">
      <c r="A53" t="s">
        <v>208</v>
      </c>
      <c r="B53" t="s">
        <v>7598</v>
      </c>
      <c r="C53" t="s">
        <v>7599</v>
      </c>
      <c r="D53" t="s">
        <v>7600</v>
      </c>
      <c r="F53" t="s">
        <v>7601</v>
      </c>
      <c r="G53" t="s">
        <v>7602</v>
      </c>
      <c r="H53" t="s">
        <v>7603</v>
      </c>
      <c r="I53" t="s">
        <v>7604</v>
      </c>
      <c r="J53" t="s">
        <v>7605</v>
      </c>
      <c r="K53" t="s">
        <v>7606</v>
      </c>
    </row>
    <row r="54" spans="1:11">
      <c r="A54" t="s">
        <v>7607</v>
      </c>
      <c r="B54" t="s">
        <v>7608</v>
      </c>
      <c r="C54" t="s">
        <v>7609</v>
      </c>
      <c r="D54" t="s">
        <v>7610</v>
      </c>
      <c r="F54" t="s">
        <v>7611</v>
      </c>
      <c r="G54" t="s">
        <v>7612</v>
      </c>
      <c r="H54" t="s">
        <v>7613</v>
      </c>
      <c r="I54" t="s">
        <v>7614</v>
      </c>
      <c r="J54" t="s">
        <v>7615</v>
      </c>
      <c r="K54" t="s">
        <v>238</v>
      </c>
    </row>
    <row r="55" spans="1:11">
      <c r="A55">
        <v>7.125</v>
      </c>
      <c r="B55">
        <v>6.99</v>
      </c>
      <c r="C55">
        <v>7.19</v>
      </c>
      <c r="D55">
        <v>6.445</v>
      </c>
      <c r="F55">
        <v>6.865</v>
      </c>
      <c r="G55">
        <v>6.275</v>
      </c>
      <c r="H55">
        <v>6.64</v>
      </c>
      <c r="I55">
        <v>4.68</v>
      </c>
      <c r="J55">
        <v>4.48</v>
      </c>
      <c r="K55">
        <v>3.71</v>
      </c>
    </row>
    <row r="56" spans="1:11">
      <c r="A56" t="s">
        <v>97</v>
      </c>
      <c r="B56" t="s">
        <v>97</v>
      </c>
      <c r="C56" t="s">
        <v>97</v>
      </c>
      <c r="D56" t="s">
        <v>97</v>
      </c>
      <c r="F56" t="s">
        <v>97</v>
      </c>
      <c r="G56" t="s">
        <v>375</v>
      </c>
      <c r="H56" t="s">
        <v>97</v>
      </c>
      <c r="I56" t="s">
        <v>97</v>
      </c>
      <c r="J56" t="s">
        <v>97</v>
      </c>
      <c r="K56" t="s">
        <v>97</v>
      </c>
    </row>
    <row r="57" spans="1:11">
      <c r="A57">
        <f t="shared" ref="A57:K57" si="0">AVERAGE(A7,A25,A43)</f>
        <v>2.11951666666667</v>
      </c>
      <c r="B57">
        <f t="shared" si="0"/>
        <v>2.31725333333333</v>
      </c>
      <c r="C57">
        <f t="shared" si="0"/>
        <v>2.37260666666667</v>
      </c>
      <c r="D57">
        <f t="shared" si="0"/>
        <v>2.41116666666667</v>
      </c>
      <c r="E57">
        <f t="shared" si="0"/>
        <v>2.45606</v>
      </c>
      <c r="F57">
        <f t="shared" si="0"/>
        <v>2.45227333333333</v>
      </c>
      <c r="G57">
        <f t="shared" si="0"/>
        <v>2.48746</v>
      </c>
      <c r="H57">
        <f t="shared" si="0"/>
        <v>2.55460666666667</v>
      </c>
      <c r="I57">
        <f t="shared" si="0"/>
        <v>2.64573666666667</v>
      </c>
      <c r="J57">
        <f t="shared" si="0"/>
        <v>2.70077333333333</v>
      </c>
      <c r="K57">
        <f t="shared" si="0"/>
        <v>2.91322</v>
      </c>
    </row>
    <row r="58" spans="1:11">
      <c r="A58">
        <f t="shared" ref="A58:K58" si="1">AVERAGEA(A14,A32,A50)</f>
        <v>8.11133333333333</v>
      </c>
      <c r="B58">
        <f t="shared" si="1"/>
        <v>8.43133333333333</v>
      </c>
      <c r="C58">
        <f t="shared" si="1"/>
        <v>8.921</v>
      </c>
      <c r="D58">
        <f t="shared" si="1"/>
        <v>9.643</v>
      </c>
      <c r="E58">
        <f t="shared" si="1"/>
        <v>10.1405</v>
      </c>
      <c r="F58">
        <f t="shared" si="1"/>
        <v>8.99533333333333</v>
      </c>
      <c r="G58">
        <f t="shared" si="1"/>
        <v>8.76166666666667</v>
      </c>
      <c r="H58">
        <f t="shared" si="1"/>
        <v>12.156</v>
      </c>
      <c r="I58">
        <f t="shared" si="1"/>
        <v>9.62266666666667</v>
      </c>
      <c r="J58">
        <f t="shared" si="1"/>
        <v>6.53366666666667</v>
      </c>
      <c r="K58">
        <f t="shared" si="1"/>
        <v>4.62866666666667</v>
      </c>
    </row>
    <row r="59" spans="1:11">
      <c r="A59">
        <f t="shared" ref="A59:K59" si="2">AVERAGEA(A15,A33,A51)</f>
        <v>8.356</v>
      </c>
      <c r="B59">
        <f t="shared" si="2"/>
        <v>8.80166666666667</v>
      </c>
      <c r="C59">
        <f t="shared" si="2"/>
        <v>10.489</v>
      </c>
      <c r="D59">
        <f t="shared" si="2"/>
        <v>13.23</v>
      </c>
      <c r="E59">
        <f t="shared" si="2"/>
        <v>15.17</v>
      </c>
      <c r="F59">
        <f t="shared" si="2"/>
        <v>16.157</v>
      </c>
      <c r="G59">
        <f t="shared" si="2"/>
        <v>16.8916666666667</v>
      </c>
      <c r="H59">
        <f t="shared" si="2"/>
        <v>19.5626666666667</v>
      </c>
      <c r="I59">
        <f t="shared" si="2"/>
        <v>14.6556666666667</v>
      </c>
      <c r="J59">
        <f t="shared" si="2"/>
        <v>11.3453333333333</v>
      </c>
      <c r="K59">
        <f t="shared" si="2"/>
        <v>4.792</v>
      </c>
    </row>
    <row r="60" spans="1:11">
      <c r="A60">
        <f t="shared" ref="A60:K60" si="3">AVERAGEA(A16,A34,A52)</f>
        <v>11.1763333333333</v>
      </c>
      <c r="B60">
        <f t="shared" si="3"/>
        <v>15.2573333333333</v>
      </c>
      <c r="C60">
        <f t="shared" si="3"/>
        <v>22.8673333333333</v>
      </c>
      <c r="D60">
        <f t="shared" si="3"/>
        <v>25.177</v>
      </c>
      <c r="E60">
        <f t="shared" si="3"/>
        <v>27.8375</v>
      </c>
      <c r="F60">
        <f t="shared" si="3"/>
        <v>38.2066666666667</v>
      </c>
      <c r="G60">
        <f t="shared" si="3"/>
        <v>29.068</v>
      </c>
      <c r="H60">
        <f t="shared" si="3"/>
        <v>29.2316666666667</v>
      </c>
      <c r="I60">
        <f t="shared" si="3"/>
        <v>27.9886666666667</v>
      </c>
      <c r="J60">
        <f t="shared" si="3"/>
        <v>30.6403333333333</v>
      </c>
      <c r="K60">
        <f t="shared" si="3"/>
        <v>11.993</v>
      </c>
    </row>
    <row r="61" spans="1:11">
      <c r="A61">
        <f t="shared" ref="A61:K61" si="4">AVERAGE(A55,A37,A19)</f>
        <v>7.11166666666667</v>
      </c>
      <c r="B61">
        <f t="shared" si="4"/>
        <v>6.77166666666667</v>
      </c>
      <c r="C61">
        <f t="shared" si="4"/>
        <v>6.89666666666667</v>
      </c>
      <c r="D61">
        <f t="shared" si="4"/>
        <v>6.60333333333333</v>
      </c>
      <c r="E61">
        <f t="shared" si="4"/>
        <v>6.64</v>
      </c>
      <c r="F61">
        <f t="shared" si="4"/>
        <v>6.46833333333333</v>
      </c>
      <c r="G61">
        <f t="shared" si="4"/>
        <v>5.92833333333333</v>
      </c>
      <c r="H61">
        <f t="shared" si="4"/>
        <v>5.82833333333333</v>
      </c>
      <c r="I61">
        <f t="shared" si="4"/>
        <v>4.955</v>
      </c>
      <c r="J61">
        <f t="shared" si="4"/>
        <v>4.52333333333333</v>
      </c>
      <c r="K61">
        <f t="shared" si="4"/>
        <v>3.59666666666667</v>
      </c>
    </row>
    <row r="62" spans="1:1">
      <c r="A62" t="s">
        <v>7616</v>
      </c>
    </row>
    <row r="63" s="2" customFormat="1" spans="1:11">
      <c r="A63" s="2">
        <v>0</v>
      </c>
      <c r="B63" s="2">
        <v>10</v>
      </c>
      <c r="C63" s="2">
        <v>20</v>
      </c>
      <c r="D63" s="2">
        <v>30</v>
      </c>
      <c r="E63" s="2">
        <v>40</v>
      </c>
      <c r="F63" s="2">
        <v>50</v>
      </c>
      <c r="G63" s="2">
        <v>60</v>
      </c>
      <c r="H63" s="2">
        <v>70</v>
      </c>
      <c r="I63" s="2">
        <v>80</v>
      </c>
      <c r="J63" s="2">
        <v>90</v>
      </c>
      <c r="K63" s="2">
        <v>100</v>
      </c>
    </row>
    <row r="64" spans="1:11">
      <c r="A64" t="s">
        <v>7453</v>
      </c>
      <c r="B64" t="s">
        <v>7453</v>
      </c>
      <c r="C64" t="s">
        <v>7453</v>
      </c>
      <c r="D64" t="s">
        <v>7453</v>
      </c>
      <c r="E64" t="s">
        <v>7453</v>
      </c>
      <c r="F64" t="s">
        <v>7453</v>
      </c>
      <c r="G64" t="s">
        <v>7453</v>
      </c>
      <c r="H64" t="s">
        <v>7453</v>
      </c>
      <c r="I64" t="s">
        <v>7453</v>
      </c>
      <c r="K64" t="s">
        <v>7453</v>
      </c>
    </row>
    <row r="65" spans="1:11">
      <c r="A65" t="s">
        <v>42</v>
      </c>
      <c r="B65" t="s">
        <v>42</v>
      </c>
      <c r="C65" t="s">
        <v>42</v>
      </c>
      <c r="D65" t="s">
        <v>42</v>
      </c>
      <c r="E65" t="s">
        <v>42</v>
      </c>
      <c r="F65" t="s">
        <v>42</v>
      </c>
      <c r="G65" t="s">
        <v>42</v>
      </c>
      <c r="H65" t="s">
        <v>42</v>
      </c>
      <c r="I65" t="s">
        <v>42</v>
      </c>
      <c r="K65" t="s">
        <v>42</v>
      </c>
    </row>
    <row r="66" spans="1:11">
      <c r="A66" t="s">
        <v>7617</v>
      </c>
      <c r="B66" t="s">
        <v>7618</v>
      </c>
      <c r="C66" t="s">
        <v>7619</v>
      </c>
      <c r="D66" t="s">
        <v>7620</v>
      </c>
      <c r="E66" t="s">
        <v>7621</v>
      </c>
      <c r="F66" t="s">
        <v>7622</v>
      </c>
      <c r="G66" t="s">
        <v>7623</v>
      </c>
      <c r="H66" t="s">
        <v>7624</v>
      </c>
      <c r="I66" t="s">
        <v>7625</v>
      </c>
      <c r="K66" t="s">
        <v>7626</v>
      </c>
    </row>
    <row r="67" spans="1:11">
      <c r="A67">
        <v>3166.66</v>
      </c>
      <c r="B67">
        <v>2875.16</v>
      </c>
      <c r="C67">
        <v>2847.6</v>
      </c>
      <c r="D67">
        <v>2683.07</v>
      </c>
      <c r="E67">
        <v>2776.44</v>
      </c>
      <c r="F67">
        <v>2646.95</v>
      </c>
      <c r="G67">
        <v>2571.23</v>
      </c>
      <c r="H67">
        <v>2441.58</v>
      </c>
      <c r="I67">
        <v>2337.22</v>
      </c>
      <c r="K67">
        <v>1817.39</v>
      </c>
    </row>
    <row r="68" spans="1:11">
      <c r="A68">
        <v>2.16302</v>
      </c>
      <c r="B68">
        <v>1.96391</v>
      </c>
      <c r="C68">
        <v>1.94508</v>
      </c>
      <c r="D68">
        <v>1.8327</v>
      </c>
      <c r="E68">
        <v>1.89648</v>
      </c>
      <c r="F68">
        <v>1.80803</v>
      </c>
      <c r="G68">
        <v>1.75631</v>
      </c>
      <c r="H68">
        <v>1.66775</v>
      </c>
      <c r="I68">
        <v>1.59646</v>
      </c>
      <c r="K68">
        <v>1.24139</v>
      </c>
    </row>
    <row r="69" spans="2:11">
      <c r="B69" t="s">
        <v>7627</v>
      </c>
      <c r="C69" t="s">
        <v>7628</v>
      </c>
      <c r="D69" t="s">
        <v>7629</v>
      </c>
      <c r="E69" t="s">
        <v>7630</v>
      </c>
      <c r="F69" t="s">
        <v>7631</v>
      </c>
      <c r="G69" t="s">
        <v>7632</v>
      </c>
      <c r="H69" t="s">
        <v>7633</v>
      </c>
      <c r="I69" t="s">
        <v>7634</v>
      </c>
      <c r="K69" t="s">
        <v>7635</v>
      </c>
    </row>
    <row r="70" spans="2:11">
      <c r="B70" t="s">
        <v>7636</v>
      </c>
      <c r="C70" t="s">
        <v>7637</v>
      </c>
      <c r="D70" t="s">
        <v>7638</v>
      </c>
      <c r="E70" t="s">
        <v>7639</v>
      </c>
      <c r="F70" t="s">
        <v>7640</v>
      </c>
      <c r="G70" t="s">
        <v>7641</v>
      </c>
      <c r="H70" t="s">
        <v>7642</v>
      </c>
      <c r="I70" t="s">
        <v>7643</v>
      </c>
      <c r="K70" t="s">
        <v>7644</v>
      </c>
    </row>
    <row r="71" spans="2:11">
      <c r="B71" t="s">
        <v>7645</v>
      </c>
      <c r="C71" t="s">
        <v>7646</v>
      </c>
      <c r="D71" t="s">
        <v>7647</v>
      </c>
      <c r="E71" t="s">
        <v>7648</v>
      </c>
      <c r="F71" t="s">
        <v>7649</v>
      </c>
      <c r="G71" t="s">
        <v>7650</v>
      </c>
      <c r="H71" t="s">
        <v>7651</v>
      </c>
      <c r="I71" t="s">
        <v>7652</v>
      </c>
      <c r="K71" t="s">
        <v>7653</v>
      </c>
    </row>
    <row r="72" spans="1:9">
      <c r="A72">
        <v>8.129</v>
      </c>
      <c r="B72">
        <v>9.557</v>
      </c>
      <c r="C72">
        <v>10.704</v>
      </c>
      <c r="D72">
        <v>18.733</v>
      </c>
      <c r="E72">
        <v>8.722</v>
      </c>
      <c r="F72">
        <v>9.375</v>
      </c>
      <c r="G72">
        <v>9.505</v>
      </c>
      <c r="H72">
        <v>8.958</v>
      </c>
      <c r="I72">
        <v>13.897</v>
      </c>
    </row>
    <row r="73" spans="1:9">
      <c r="A73">
        <v>8.623</v>
      </c>
      <c r="B73">
        <v>16.624</v>
      </c>
      <c r="C73">
        <v>20.277</v>
      </c>
      <c r="D73">
        <v>26.817</v>
      </c>
      <c r="E73">
        <v>10.559</v>
      </c>
      <c r="F73">
        <v>14.335</v>
      </c>
      <c r="G73">
        <v>19.192</v>
      </c>
      <c r="H73">
        <v>12.041</v>
      </c>
      <c r="I73">
        <v>21.37</v>
      </c>
    </row>
    <row r="74" spans="1:9">
      <c r="A74">
        <v>14.54</v>
      </c>
      <c r="B74">
        <v>28.215</v>
      </c>
      <c r="C74">
        <v>24.051</v>
      </c>
      <c r="D74">
        <v>33.236</v>
      </c>
      <c r="E74">
        <v>31.849</v>
      </c>
      <c r="F74">
        <v>55.08</v>
      </c>
      <c r="G74">
        <v>30.13</v>
      </c>
      <c r="H74">
        <v>23.903</v>
      </c>
      <c r="I74">
        <v>50.632</v>
      </c>
    </row>
    <row r="75" spans="1:11">
      <c r="A75">
        <v>8.129</v>
      </c>
      <c r="B75">
        <v>9.557</v>
      </c>
      <c r="C75">
        <v>11.09</v>
      </c>
      <c r="D75">
        <v>23.789</v>
      </c>
      <c r="E75">
        <v>8.67</v>
      </c>
      <c r="F75">
        <v>9.61</v>
      </c>
      <c r="G75">
        <v>19.192</v>
      </c>
      <c r="H75">
        <v>13.281</v>
      </c>
      <c r="I75">
        <v>24.739</v>
      </c>
      <c r="K75">
        <v>25.45</v>
      </c>
    </row>
    <row r="76" spans="1:11">
      <c r="A76">
        <v>8.623</v>
      </c>
      <c r="B76">
        <v>16.624</v>
      </c>
      <c r="C76">
        <v>20.277</v>
      </c>
      <c r="D76">
        <v>28.08</v>
      </c>
      <c r="E76">
        <v>10.559</v>
      </c>
      <c r="F76">
        <v>14.397</v>
      </c>
      <c r="G76">
        <v>25.663</v>
      </c>
      <c r="H76">
        <v>27</v>
      </c>
      <c r="I76">
        <v>27.915</v>
      </c>
      <c r="K76">
        <v>28.32</v>
      </c>
    </row>
    <row r="77" ht="14" customHeight="1" spans="1:11">
      <c r="A77">
        <v>14.54</v>
      </c>
      <c r="B77">
        <v>28.215</v>
      </c>
      <c r="C77">
        <v>32.198</v>
      </c>
      <c r="D77">
        <v>33.236</v>
      </c>
      <c r="E77">
        <v>31.849</v>
      </c>
      <c r="F77">
        <v>28.307</v>
      </c>
      <c r="G77">
        <v>31.069</v>
      </c>
      <c r="H77">
        <v>38.748</v>
      </c>
      <c r="I77">
        <v>39.359</v>
      </c>
      <c r="K77">
        <v>48.584</v>
      </c>
    </row>
    <row r="78" spans="1:11">
      <c r="A78" t="s">
        <v>208</v>
      </c>
      <c r="B78" t="s">
        <v>7654</v>
      </c>
      <c r="C78" t="s">
        <v>7655</v>
      </c>
      <c r="D78" t="s">
        <v>7656</v>
      </c>
      <c r="E78" t="s">
        <v>7657</v>
      </c>
      <c r="F78" t="s">
        <v>7658</v>
      </c>
      <c r="G78" t="s">
        <v>7659</v>
      </c>
      <c r="H78" t="s">
        <v>7660</v>
      </c>
      <c r="I78" t="s">
        <v>7661</v>
      </c>
      <c r="K78" t="s">
        <v>7662</v>
      </c>
    </row>
    <row r="79" spans="1:11">
      <c r="A79" t="s">
        <v>7663</v>
      </c>
      <c r="B79" t="s">
        <v>7664</v>
      </c>
      <c r="C79" t="s">
        <v>7665</v>
      </c>
      <c r="D79" t="s">
        <v>7666</v>
      </c>
      <c r="E79" t="s">
        <v>7667</v>
      </c>
      <c r="F79" t="s">
        <v>7668</v>
      </c>
      <c r="G79" t="s">
        <v>7669</v>
      </c>
      <c r="H79" t="s">
        <v>7670</v>
      </c>
      <c r="I79" t="s">
        <v>7671</v>
      </c>
      <c r="K79" t="s">
        <v>238</v>
      </c>
    </row>
    <row r="80" spans="1:11">
      <c r="A80">
        <v>7.02</v>
      </c>
      <c r="B80">
        <v>8.38</v>
      </c>
      <c r="C80">
        <v>8.58667</v>
      </c>
      <c r="D80">
        <v>10.1733</v>
      </c>
      <c r="E80">
        <v>7.88</v>
      </c>
      <c r="F80">
        <v>8.21333</v>
      </c>
      <c r="G80">
        <v>9.61333</v>
      </c>
      <c r="H80">
        <v>9.43333</v>
      </c>
      <c r="I80">
        <v>10.98</v>
      </c>
      <c r="K80">
        <v>12.22</v>
      </c>
    </row>
    <row r="81" spans="1:11">
      <c r="A81" t="s">
        <v>97</v>
      </c>
      <c r="B81" t="s">
        <v>97</v>
      </c>
      <c r="C81" t="s">
        <v>97</v>
      </c>
      <c r="D81" t="s">
        <v>97</v>
      </c>
      <c r="E81" t="s">
        <v>97</v>
      </c>
      <c r="F81" t="s">
        <v>97</v>
      </c>
      <c r="G81" t="s">
        <v>97</v>
      </c>
      <c r="H81" t="s">
        <v>97</v>
      </c>
      <c r="I81" t="s">
        <v>97</v>
      </c>
      <c r="K81" t="s">
        <v>97</v>
      </c>
    </row>
    <row r="82" spans="1:11">
      <c r="A82" t="s">
        <v>7453</v>
      </c>
      <c r="B82" t="s">
        <v>7453</v>
      </c>
      <c r="C82" t="s">
        <v>7453</v>
      </c>
      <c r="D82" t="s">
        <v>7453</v>
      </c>
      <c r="E82" t="s">
        <v>7453</v>
      </c>
      <c r="F82" t="s">
        <v>7453</v>
      </c>
      <c r="G82" t="s">
        <v>7453</v>
      </c>
      <c r="H82" t="s">
        <v>7453</v>
      </c>
      <c r="I82" t="s">
        <v>7453</v>
      </c>
      <c r="K82" t="s">
        <v>7453</v>
      </c>
    </row>
    <row r="83" spans="1:11">
      <c r="A83" t="s">
        <v>42</v>
      </c>
      <c r="B83" t="s">
        <v>42</v>
      </c>
      <c r="C83" t="s">
        <v>42</v>
      </c>
      <c r="D83" t="s">
        <v>42</v>
      </c>
      <c r="E83" t="s">
        <v>42</v>
      </c>
      <c r="F83" t="s">
        <v>42</v>
      </c>
      <c r="G83" t="s">
        <v>42</v>
      </c>
      <c r="H83" t="s">
        <v>42</v>
      </c>
      <c r="I83" t="s">
        <v>42</v>
      </c>
      <c r="K83" t="s">
        <v>42</v>
      </c>
    </row>
    <row r="84" spans="1:11">
      <c r="A84" t="s">
        <v>7672</v>
      </c>
      <c r="B84" t="s">
        <v>7673</v>
      </c>
      <c r="C84" t="s">
        <v>7674</v>
      </c>
      <c r="D84" t="s">
        <v>7675</v>
      </c>
      <c r="E84" t="s">
        <v>7676</v>
      </c>
      <c r="F84" t="s">
        <v>7677</v>
      </c>
      <c r="G84" t="s">
        <v>7678</v>
      </c>
      <c r="H84" t="s">
        <v>7679</v>
      </c>
      <c r="I84" t="s">
        <v>7680</v>
      </c>
      <c r="K84" t="s">
        <v>7681</v>
      </c>
    </row>
    <row r="85" spans="1:11">
      <c r="A85">
        <v>3370.24</v>
      </c>
      <c r="B85">
        <v>2857.7</v>
      </c>
      <c r="C85">
        <v>2811.29</v>
      </c>
      <c r="D85">
        <v>2688.75</v>
      </c>
      <c r="E85">
        <v>2717.36</v>
      </c>
      <c r="F85">
        <v>2655.01</v>
      </c>
      <c r="G85">
        <v>2595.45</v>
      </c>
      <c r="H85">
        <v>2532.98</v>
      </c>
      <c r="I85">
        <v>2301.39</v>
      </c>
      <c r="K85">
        <v>1787.22</v>
      </c>
    </row>
    <row r="86" spans="1:11">
      <c r="A86">
        <v>2.30208</v>
      </c>
      <c r="B86">
        <v>1.95198</v>
      </c>
      <c r="C86">
        <v>1.92028</v>
      </c>
      <c r="D86">
        <v>1.83658</v>
      </c>
      <c r="E86">
        <v>1.85612</v>
      </c>
      <c r="F86">
        <v>1.81353</v>
      </c>
      <c r="G86">
        <v>1.77285</v>
      </c>
      <c r="H86">
        <v>1.73018</v>
      </c>
      <c r="I86">
        <v>1.57199</v>
      </c>
      <c r="K86">
        <v>1.22078</v>
      </c>
    </row>
    <row r="87" spans="2:11">
      <c r="B87" t="s">
        <v>7682</v>
      </c>
      <c r="C87" t="s">
        <v>7683</v>
      </c>
      <c r="D87" t="s">
        <v>7684</v>
      </c>
      <c r="E87" t="s">
        <v>7685</v>
      </c>
      <c r="F87" t="s">
        <v>7686</v>
      </c>
      <c r="G87" t="s">
        <v>7687</v>
      </c>
      <c r="H87" t="s">
        <v>7688</v>
      </c>
      <c r="I87" t="s">
        <v>7689</v>
      </c>
      <c r="K87" t="s">
        <v>7690</v>
      </c>
    </row>
    <row r="88" spans="2:11">
      <c r="B88" t="s">
        <v>7691</v>
      </c>
      <c r="C88" t="s">
        <v>7692</v>
      </c>
      <c r="D88" t="s">
        <v>7693</v>
      </c>
      <c r="E88" t="s">
        <v>7694</v>
      </c>
      <c r="F88" t="s">
        <v>7695</v>
      </c>
      <c r="G88" t="s">
        <v>7696</v>
      </c>
      <c r="H88" t="s">
        <v>7697</v>
      </c>
      <c r="I88" t="s">
        <v>7698</v>
      </c>
      <c r="K88" t="s">
        <v>7699</v>
      </c>
    </row>
    <row r="89" spans="2:11">
      <c r="B89" t="s">
        <v>7700</v>
      </c>
      <c r="C89" t="s">
        <v>7701</v>
      </c>
      <c r="D89" t="s">
        <v>7702</v>
      </c>
      <c r="E89" t="s">
        <v>7703</v>
      </c>
      <c r="F89" t="s">
        <v>7704</v>
      </c>
      <c r="G89" t="s">
        <v>7705</v>
      </c>
      <c r="H89" t="s">
        <v>7706</v>
      </c>
      <c r="I89" t="s">
        <v>7707</v>
      </c>
      <c r="K89" t="s">
        <v>7708</v>
      </c>
    </row>
    <row r="90" spans="1:9">
      <c r="A90">
        <v>8.452</v>
      </c>
      <c r="B90">
        <v>9.363</v>
      </c>
      <c r="C90">
        <v>9.901</v>
      </c>
      <c r="D90">
        <v>17.72</v>
      </c>
      <c r="E90">
        <v>11.575</v>
      </c>
      <c r="F90">
        <v>9.542</v>
      </c>
      <c r="G90">
        <v>9.047</v>
      </c>
      <c r="H90">
        <v>15.066</v>
      </c>
      <c r="I90">
        <v>22.385</v>
      </c>
    </row>
    <row r="91" spans="1:9">
      <c r="A91">
        <v>9.255</v>
      </c>
      <c r="B91">
        <v>12.105</v>
      </c>
      <c r="C91">
        <v>19.988</v>
      </c>
      <c r="D91">
        <v>24.27</v>
      </c>
      <c r="E91">
        <v>24.498</v>
      </c>
      <c r="F91">
        <v>23.224</v>
      </c>
      <c r="G91">
        <v>18.808</v>
      </c>
      <c r="H91">
        <v>23.928</v>
      </c>
      <c r="I91">
        <v>28.485</v>
      </c>
    </row>
    <row r="92" spans="1:9">
      <c r="A92">
        <v>10.52</v>
      </c>
      <c r="B92">
        <v>21.247</v>
      </c>
      <c r="C92">
        <v>34.572</v>
      </c>
      <c r="D92">
        <v>27.629</v>
      </c>
      <c r="E92">
        <v>31.76</v>
      </c>
      <c r="F92">
        <v>59.894</v>
      </c>
      <c r="G92">
        <v>28.788</v>
      </c>
      <c r="H92">
        <v>30.407</v>
      </c>
      <c r="I92">
        <v>29.142</v>
      </c>
    </row>
    <row r="93" spans="1:11">
      <c r="A93">
        <v>8.452</v>
      </c>
      <c r="B93">
        <v>9.521</v>
      </c>
      <c r="C93">
        <v>11.315</v>
      </c>
      <c r="D93">
        <v>13.428</v>
      </c>
      <c r="E93">
        <v>11.575</v>
      </c>
      <c r="F93">
        <v>14.93</v>
      </c>
      <c r="G93">
        <v>12.044</v>
      </c>
      <c r="H93">
        <v>23.928</v>
      </c>
      <c r="I93">
        <v>16.774</v>
      </c>
      <c r="K93">
        <v>26.356</v>
      </c>
    </row>
    <row r="94" spans="1:11">
      <c r="A94">
        <v>9.255</v>
      </c>
      <c r="B94">
        <v>12.685</v>
      </c>
      <c r="C94">
        <v>24.777</v>
      </c>
      <c r="D94">
        <v>22.487</v>
      </c>
      <c r="E94">
        <v>25.053</v>
      </c>
      <c r="F94">
        <v>23.368</v>
      </c>
      <c r="G94">
        <v>25.971</v>
      </c>
      <c r="H94">
        <v>28.052</v>
      </c>
      <c r="I94">
        <v>24.044</v>
      </c>
      <c r="K94">
        <v>28.431</v>
      </c>
    </row>
    <row r="95" spans="1:11">
      <c r="A95">
        <v>10.52</v>
      </c>
      <c r="B95">
        <v>21.247</v>
      </c>
      <c r="C95">
        <v>42.464</v>
      </c>
      <c r="D95">
        <v>31.31</v>
      </c>
      <c r="E95">
        <v>33.363</v>
      </c>
      <c r="F95">
        <v>34.184</v>
      </c>
      <c r="G95">
        <v>40.434</v>
      </c>
      <c r="H95">
        <v>33.176</v>
      </c>
      <c r="I95">
        <v>32.475</v>
      </c>
      <c r="K95">
        <v>46.636</v>
      </c>
    </row>
    <row r="96" spans="1:11">
      <c r="A96" t="s">
        <v>208</v>
      </c>
      <c r="B96" t="s">
        <v>5661</v>
      </c>
      <c r="C96" t="s">
        <v>7709</v>
      </c>
      <c r="D96" t="s">
        <v>7710</v>
      </c>
      <c r="E96" t="s">
        <v>7711</v>
      </c>
      <c r="F96" t="s">
        <v>7712</v>
      </c>
      <c r="G96" t="s">
        <v>7713</v>
      </c>
      <c r="H96" t="s">
        <v>7714</v>
      </c>
      <c r="I96" t="s">
        <v>7715</v>
      </c>
      <c r="K96" t="s">
        <v>7716</v>
      </c>
    </row>
    <row r="97" spans="1:11">
      <c r="A97" t="s">
        <v>7717</v>
      </c>
      <c r="B97" t="s">
        <v>7718</v>
      </c>
      <c r="C97" t="s">
        <v>7665</v>
      </c>
      <c r="D97" t="s">
        <v>7719</v>
      </c>
      <c r="E97" t="s">
        <v>7720</v>
      </c>
      <c r="F97" t="s">
        <v>7721</v>
      </c>
      <c r="G97" t="s">
        <v>7722</v>
      </c>
      <c r="H97" t="s">
        <v>7723</v>
      </c>
      <c r="I97" t="s">
        <v>7724</v>
      </c>
      <c r="K97" t="s">
        <v>238</v>
      </c>
    </row>
    <row r="98" spans="1:11">
      <c r="A98">
        <v>7.32</v>
      </c>
      <c r="B98">
        <v>7.80667</v>
      </c>
      <c r="C98">
        <v>8.82</v>
      </c>
      <c r="D98">
        <v>8.62</v>
      </c>
      <c r="E98">
        <v>8.66</v>
      </c>
      <c r="F98">
        <v>8.91333</v>
      </c>
      <c r="G98">
        <v>9.02667</v>
      </c>
      <c r="H98">
        <v>9.87333</v>
      </c>
      <c r="I98">
        <v>9.62</v>
      </c>
      <c r="K98">
        <v>12.6333</v>
      </c>
    </row>
    <row r="99" spans="1:11">
      <c r="A99" t="s">
        <v>97</v>
      </c>
      <c r="B99" t="s">
        <v>97</v>
      </c>
      <c r="C99" t="s">
        <v>97</v>
      </c>
      <c r="D99" t="s">
        <v>375</v>
      </c>
      <c r="E99" t="s">
        <v>97</v>
      </c>
      <c r="F99" t="s">
        <v>97</v>
      </c>
      <c r="G99" t="s">
        <v>97</v>
      </c>
      <c r="H99" t="s">
        <v>97</v>
      </c>
      <c r="I99" t="s">
        <v>97</v>
      </c>
      <c r="K99" t="s">
        <v>97</v>
      </c>
    </row>
    <row r="100" spans="1:11">
      <c r="A100" t="s">
        <v>7453</v>
      </c>
      <c r="B100" t="s">
        <v>7453</v>
      </c>
      <c r="C100" t="s">
        <v>7453</v>
      </c>
      <c r="D100" t="s">
        <v>7453</v>
      </c>
      <c r="E100" t="s">
        <v>7453</v>
      </c>
      <c r="F100" t="s">
        <v>7453</v>
      </c>
      <c r="G100" t="s">
        <v>7453</v>
      </c>
      <c r="H100" t="s">
        <v>7453</v>
      </c>
      <c r="I100" t="s">
        <v>7453</v>
      </c>
      <c r="K100" t="s">
        <v>7453</v>
      </c>
    </row>
    <row r="101" spans="1:11">
      <c r="A101" t="s">
        <v>42</v>
      </c>
      <c r="B101" t="s">
        <v>42</v>
      </c>
      <c r="C101" t="s">
        <v>42</v>
      </c>
      <c r="D101" t="s">
        <v>42</v>
      </c>
      <c r="E101" t="s">
        <v>42</v>
      </c>
      <c r="F101" t="s">
        <v>42</v>
      </c>
      <c r="G101" t="s">
        <v>42</v>
      </c>
      <c r="H101" t="s">
        <v>42</v>
      </c>
      <c r="I101" t="s">
        <v>42</v>
      </c>
      <c r="K101" t="s">
        <v>42</v>
      </c>
    </row>
    <row r="102" spans="1:11">
      <c r="A102" t="s">
        <v>7725</v>
      </c>
      <c r="B102" t="s">
        <v>7726</v>
      </c>
      <c r="C102" t="s">
        <v>7727</v>
      </c>
      <c r="D102" t="s">
        <v>7728</v>
      </c>
      <c r="E102" t="s">
        <v>7729</v>
      </c>
      <c r="F102" t="s">
        <v>7730</v>
      </c>
      <c r="G102" t="s">
        <v>7731</v>
      </c>
      <c r="H102" t="s">
        <v>7732</v>
      </c>
      <c r="I102" t="s">
        <v>7733</v>
      </c>
      <c r="K102" t="s">
        <v>7734</v>
      </c>
    </row>
    <row r="103" spans="1:11">
      <c r="A103">
        <v>3103.77</v>
      </c>
      <c r="B103">
        <v>2867.29</v>
      </c>
      <c r="C103">
        <v>2889.64</v>
      </c>
      <c r="D103">
        <v>2846.83</v>
      </c>
      <c r="E103">
        <v>2777.54</v>
      </c>
      <c r="F103">
        <v>2603.52</v>
      </c>
      <c r="G103">
        <v>2624.89</v>
      </c>
      <c r="H103">
        <v>2569.18</v>
      </c>
      <c r="I103">
        <v>2394.54</v>
      </c>
      <c r="K103">
        <v>1837.32</v>
      </c>
    </row>
    <row r="104" spans="1:11">
      <c r="A104">
        <v>2.12006</v>
      </c>
      <c r="B104">
        <v>1.95853</v>
      </c>
      <c r="C104">
        <v>1.9738</v>
      </c>
      <c r="D104">
        <v>1.94455</v>
      </c>
      <c r="E104">
        <v>1.89723</v>
      </c>
      <c r="F104">
        <v>1.77836</v>
      </c>
      <c r="G104">
        <v>1.79296</v>
      </c>
      <c r="H104">
        <v>1.75491</v>
      </c>
      <c r="I104">
        <v>1.63562</v>
      </c>
      <c r="K104">
        <v>1.255</v>
      </c>
    </row>
    <row r="105" spans="2:11">
      <c r="B105" t="s">
        <v>7735</v>
      </c>
      <c r="C105" t="s">
        <v>7736</v>
      </c>
      <c r="D105" t="s">
        <v>7737</v>
      </c>
      <c r="E105" t="s">
        <v>7738</v>
      </c>
      <c r="F105" t="s">
        <v>7739</v>
      </c>
      <c r="G105" t="s">
        <v>7740</v>
      </c>
      <c r="H105" t="s">
        <v>7741</v>
      </c>
      <c r="I105" t="s">
        <v>7742</v>
      </c>
      <c r="K105" t="s">
        <v>7743</v>
      </c>
    </row>
    <row r="106" spans="2:11">
      <c r="B106" t="s">
        <v>7744</v>
      </c>
      <c r="C106" t="s">
        <v>7745</v>
      </c>
      <c r="D106" t="s">
        <v>7746</v>
      </c>
      <c r="E106" t="s">
        <v>7747</v>
      </c>
      <c r="F106" t="s">
        <v>7748</v>
      </c>
      <c r="G106" t="s">
        <v>7749</v>
      </c>
      <c r="H106" t="s">
        <v>7750</v>
      </c>
      <c r="I106" t="s">
        <v>7751</v>
      </c>
      <c r="K106" t="s">
        <v>7752</v>
      </c>
    </row>
    <row r="107" spans="2:11">
      <c r="B107" t="s">
        <v>7753</v>
      </c>
      <c r="C107" t="s">
        <v>7754</v>
      </c>
      <c r="D107" t="s">
        <v>7755</v>
      </c>
      <c r="E107" t="s">
        <v>7756</v>
      </c>
      <c r="F107" t="s">
        <v>7757</v>
      </c>
      <c r="G107" t="s">
        <v>7758</v>
      </c>
      <c r="H107" t="s">
        <v>7759</v>
      </c>
      <c r="I107" t="s">
        <v>7760</v>
      </c>
      <c r="K107" t="s">
        <v>7761</v>
      </c>
    </row>
    <row r="108" spans="1:9">
      <c r="A108">
        <v>19.596</v>
      </c>
      <c r="B108">
        <v>9.294</v>
      </c>
      <c r="C108">
        <v>9.179</v>
      </c>
      <c r="D108">
        <v>8.855</v>
      </c>
      <c r="E108">
        <v>10.585</v>
      </c>
      <c r="F108">
        <v>8.773</v>
      </c>
      <c r="G108">
        <v>10.972</v>
      </c>
      <c r="H108">
        <v>7.996</v>
      </c>
      <c r="I108">
        <v>19.982</v>
      </c>
    </row>
    <row r="109" spans="1:9">
      <c r="A109">
        <v>28.848</v>
      </c>
      <c r="B109">
        <v>11.82</v>
      </c>
      <c r="C109">
        <v>17.811</v>
      </c>
      <c r="D109">
        <v>20.374</v>
      </c>
      <c r="E109">
        <v>15.757</v>
      </c>
      <c r="F109">
        <v>13.641</v>
      </c>
      <c r="G109">
        <v>19.844</v>
      </c>
      <c r="H109">
        <v>11.39</v>
      </c>
      <c r="I109">
        <v>23.071</v>
      </c>
    </row>
    <row r="110" spans="1:9">
      <c r="A110">
        <v>44.645</v>
      </c>
      <c r="B110">
        <v>28.111</v>
      </c>
      <c r="C110">
        <v>29.834</v>
      </c>
      <c r="D110">
        <v>30.647</v>
      </c>
      <c r="E110">
        <v>24.416</v>
      </c>
      <c r="F110">
        <v>60.361</v>
      </c>
      <c r="G110">
        <v>57.708</v>
      </c>
      <c r="H110">
        <v>29.76</v>
      </c>
      <c r="I110">
        <v>31.624</v>
      </c>
    </row>
    <row r="111" spans="1:11">
      <c r="A111">
        <v>19.596</v>
      </c>
      <c r="B111">
        <v>9.29</v>
      </c>
      <c r="C111">
        <v>9.652</v>
      </c>
      <c r="D111">
        <v>8.627</v>
      </c>
      <c r="E111">
        <v>11.709</v>
      </c>
      <c r="F111">
        <v>11.605</v>
      </c>
      <c r="G111">
        <v>18.097</v>
      </c>
      <c r="H111">
        <v>13.924</v>
      </c>
      <c r="I111">
        <v>19.982</v>
      </c>
      <c r="K111">
        <v>25.984</v>
      </c>
    </row>
    <row r="112" spans="1:11">
      <c r="A112">
        <v>28.848</v>
      </c>
      <c r="B112">
        <v>10.843</v>
      </c>
      <c r="C112">
        <v>20.445</v>
      </c>
      <c r="D112">
        <v>16.422</v>
      </c>
      <c r="E112">
        <v>22.333</v>
      </c>
      <c r="F112">
        <v>18.388</v>
      </c>
      <c r="G112">
        <v>27.184</v>
      </c>
      <c r="H112">
        <v>25.997</v>
      </c>
      <c r="I112">
        <v>25.026</v>
      </c>
      <c r="K112">
        <v>27.99</v>
      </c>
    </row>
    <row r="113" spans="1:11">
      <c r="A113">
        <v>44.645</v>
      </c>
      <c r="B113">
        <v>28.111</v>
      </c>
      <c r="C113">
        <v>32.875</v>
      </c>
      <c r="D113">
        <v>30.647</v>
      </c>
      <c r="E113">
        <v>32.033</v>
      </c>
      <c r="F113">
        <v>32.75</v>
      </c>
      <c r="G113">
        <v>32.213</v>
      </c>
      <c r="H113">
        <v>32.784</v>
      </c>
      <c r="I113">
        <v>35.324</v>
      </c>
      <c r="K113">
        <v>49.578</v>
      </c>
    </row>
    <row r="114" spans="1:11">
      <c r="A114" t="s">
        <v>208</v>
      </c>
      <c r="B114" t="s">
        <v>7762</v>
      </c>
      <c r="C114" t="s">
        <v>7763</v>
      </c>
      <c r="D114" t="s">
        <v>7764</v>
      </c>
      <c r="E114" t="s">
        <v>7765</v>
      </c>
      <c r="F114" t="s">
        <v>7766</v>
      </c>
      <c r="G114" t="s">
        <v>7767</v>
      </c>
      <c r="H114" t="s">
        <v>7768</v>
      </c>
      <c r="I114" t="s">
        <v>7769</v>
      </c>
      <c r="K114" t="s">
        <v>7770</v>
      </c>
    </row>
    <row r="115" spans="1:11">
      <c r="A115" t="s">
        <v>7771</v>
      </c>
      <c r="B115" t="s">
        <v>7772</v>
      </c>
      <c r="C115" t="s">
        <v>7773</v>
      </c>
      <c r="D115" t="s">
        <v>7774</v>
      </c>
      <c r="E115" t="s">
        <v>7775</v>
      </c>
      <c r="F115" t="s">
        <v>7776</v>
      </c>
      <c r="G115" t="s">
        <v>7777</v>
      </c>
      <c r="H115" t="s">
        <v>7778</v>
      </c>
      <c r="I115" t="s">
        <v>7779</v>
      </c>
      <c r="K115" t="s">
        <v>238</v>
      </c>
    </row>
    <row r="116" spans="1:11">
      <c r="A116">
        <v>11.9867</v>
      </c>
      <c r="B116">
        <v>8.14667</v>
      </c>
      <c r="C116">
        <v>8.52</v>
      </c>
      <c r="D116">
        <v>7.94667</v>
      </c>
      <c r="E116">
        <v>8.52667</v>
      </c>
      <c r="F116">
        <v>8.54</v>
      </c>
      <c r="G116">
        <v>9.45333</v>
      </c>
      <c r="H116">
        <v>9.21333</v>
      </c>
      <c r="I116">
        <v>9.83333</v>
      </c>
      <c r="K116">
        <v>12.74</v>
      </c>
    </row>
    <row r="117" spans="1:11">
      <c r="A117" t="s">
        <v>97</v>
      </c>
      <c r="B117" t="s">
        <v>97</v>
      </c>
      <c r="C117" t="s">
        <v>97</v>
      </c>
      <c r="D117" t="s">
        <v>97</v>
      </c>
      <c r="E117" t="s">
        <v>97</v>
      </c>
      <c r="F117" t="s">
        <v>97</v>
      </c>
      <c r="G117" t="s">
        <v>97</v>
      </c>
      <c r="H117" t="s">
        <v>97</v>
      </c>
      <c r="I117" t="s">
        <v>97</v>
      </c>
      <c r="K117" t="s">
        <v>97</v>
      </c>
    </row>
    <row r="118" spans="1:11">
      <c r="A118">
        <f t="shared" ref="A118:K118" si="5">AVERAGE(A68,A86,A104)</f>
        <v>2.19505333333333</v>
      </c>
      <c r="B118">
        <f t="shared" si="5"/>
        <v>1.95814</v>
      </c>
      <c r="C118">
        <f t="shared" si="5"/>
        <v>1.94638666666667</v>
      </c>
      <c r="D118">
        <f t="shared" si="5"/>
        <v>1.87127666666667</v>
      </c>
      <c r="E118">
        <f t="shared" si="5"/>
        <v>1.88327666666667</v>
      </c>
      <c r="F118">
        <f t="shared" si="5"/>
        <v>1.79997333333333</v>
      </c>
      <c r="G118">
        <f t="shared" si="5"/>
        <v>1.77404</v>
      </c>
      <c r="H118">
        <f t="shared" si="5"/>
        <v>1.71761333333333</v>
      </c>
      <c r="I118">
        <f t="shared" si="5"/>
        <v>1.60135666666667</v>
      </c>
      <c r="J118" t="e">
        <f t="shared" si="5"/>
        <v>#DIV/0!</v>
      </c>
      <c r="K118">
        <f t="shared" si="5"/>
        <v>1.23905666666667</v>
      </c>
    </row>
    <row r="119" spans="1:11">
      <c r="A119">
        <f t="shared" ref="A119:K119" si="6">AVERAGEA(A75,A93,A111)</f>
        <v>12.059</v>
      </c>
      <c r="B119">
        <f t="shared" si="6"/>
        <v>9.456</v>
      </c>
      <c r="C119">
        <f t="shared" si="6"/>
        <v>10.6856666666667</v>
      </c>
      <c r="D119">
        <f t="shared" si="6"/>
        <v>15.2813333333333</v>
      </c>
      <c r="E119">
        <f t="shared" si="6"/>
        <v>10.6513333333333</v>
      </c>
      <c r="F119">
        <f t="shared" si="6"/>
        <v>12.0483333333333</v>
      </c>
      <c r="G119">
        <f t="shared" si="6"/>
        <v>16.4443333333333</v>
      </c>
      <c r="H119">
        <f t="shared" si="6"/>
        <v>17.0443333333333</v>
      </c>
      <c r="I119">
        <f t="shared" si="6"/>
        <v>20.4983333333333</v>
      </c>
      <c r="J119" t="e">
        <f t="shared" si="6"/>
        <v>#DIV/0!</v>
      </c>
      <c r="K119">
        <f t="shared" si="6"/>
        <v>25.93</v>
      </c>
    </row>
    <row r="120" spans="1:11">
      <c r="A120">
        <f t="shared" ref="A120:K120" si="7">AVERAGEA(A76,A94,A112)</f>
        <v>15.5753333333333</v>
      </c>
      <c r="B120">
        <f t="shared" si="7"/>
        <v>13.384</v>
      </c>
      <c r="C120">
        <f t="shared" si="7"/>
        <v>21.833</v>
      </c>
      <c r="D120">
        <f t="shared" si="7"/>
        <v>22.3296666666667</v>
      </c>
      <c r="E120">
        <f t="shared" si="7"/>
        <v>19.315</v>
      </c>
      <c r="F120">
        <f t="shared" si="7"/>
        <v>18.7176666666667</v>
      </c>
      <c r="G120">
        <f t="shared" si="7"/>
        <v>26.2726666666667</v>
      </c>
      <c r="H120">
        <f t="shared" si="7"/>
        <v>27.0163333333333</v>
      </c>
      <c r="I120">
        <f t="shared" si="7"/>
        <v>25.6616666666667</v>
      </c>
      <c r="J120" t="e">
        <f t="shared" si="7"/>
        <v>#DIV/0!</v>
      </c>
      <c r="K120">
        <f t="shared" si="7"/>
        <v>28.247</v>
      </c>
    </row>
    <row r="121" spans="1:11">
      <c r="A121">
        <f t="shared" ref="A121:K121" si="8">AVERAGEA(A77,A95,A113)</f>
        <v>23.235</v>
      </c>
      <c r="B121">
        <f t="shared" si="8"/>
        <v>25.8576666666667</v>
      </c>
      <c r="C121">
        <f t="shared" si="8"/>
        <v>35.8456666666667</v>
      </c>
      <c r="D121">
        <f t="shared" si="8"/>
        <v>31.731</v>
      </c>
      <c r="E121">
        <f t="shared" si="8"/>
        <v>32.415</v>
      </c>
      <c r="F121">
        <f t="shared" si="8"/>
        <v>31.747</v>
      </c>
      <c r="G121">
        <f t="shared" si="8"/>
        <v>34.572</v>
      </c>
      <c r="H121">
        <f t="shared" si="8"/>
        <v>34.9026666666667</v>
      </c>
      <c r="I121">
        <f t="shared" si="8"/>
        <v>35.7193333333333</v>
      </c>
      <c r="J121" t="e">
        <f t="shared" si="8"/>
        <v>#DIV/0!</v>
      </c>
      <c r="K121">
        <f t="shared" si="8"/>
        <v>48.266</v>
      </c>
    </row>
    <row r="122" spans="1:11">
      <c r="A122">
        <f t="shared" ref="A122:K122" si="9">AVERAGE(A116,A98,A80)</f>
        <v>8.77556666666667</v>
      </c>
      <c r="B122">
        <f t="shared" si="9"/>
        <v>8.11111333333333</v>
      </c>
      <c r="C122">
        <f t="shared" si="9"/>
        <v>8.64222333333333</v>
      </c>
      <c r="D122">
        <f t="shared" si="9"/>
        <v>8.91332333333333</v>
      </c>
      <c r="E122">
        <f t="shared" si="9"/>
        <v>8.35555666666667</v>
      </c>
      <c r="F122">
        <f t="shared" si="9"/>
        <v>8.55555333333333</v>
      </c>
      <c r="G122">
        <f t="shared" si="9"/>
        <v>9.36444333333333</v>
      </c>
      <c r="H122">
        <f t="shared" si="9"/>
        <v>9.50666333333333</v>
      </c>
      <c r="I122">
        <f t="shared" si="9"/>
        <v>10.1444433333333</v>
      </c>
      <c r="J122" t="e">
        <f t="shared" si="9"/>
        <v>#DIV/0!</v>
      </c>
      <c r="K122">
        <f t="shared" si="9"/>
        <v>12.5311</v>
      </c>
    </row>
    <row r="136" spans="1:2">
      <c r="A136" t="s">
        <v>98</v>
      </c>
      <c r="B136" t="s">
        <v>99</v>
      </c>
    </row>
    <row r="137" s="3" customFormat="1" spans="1:11">
      <c r="A137" s="3">
        <v>0</v>
      </c>
      <c r="B137" s="3">
        <v>10</v>
      </c>
      <c r="C137" s="3">
        <v>20</v>
      </c>
      <c r="D137" s="3">
        <v>30</v>
      </c>
      <c r="E137" s="3">
        <v>40</v>
      </c>
      <c r="F137" s="3">
        <v>50</v>
      </c>
      <c r="G137" s="3">
        <v>60</v>
      </c>
      <c r="H137" s="3">
        <v>70</v>
      </c>
      <c r="I137" s="3">
        <v>80</v>
      </c>
      <c r="J137" s="3">
        <v>90</v>
      </c>
      <c r="K137" s="3">
        <v>100</v>
      </c>
    </row>
    <row r="138" spans="1:11">
      <c r="A138" t="s">
        <v>104</v>
      </c>
      <c r="B138" t="s">
        <v>104</v>
      </c>
      <c r="C138" t="s">
        <v>104</v>
      </c>
      <c r="D138" t="s">
        <v>104</v>
      </c>
      <c r="E138" t="s">
        <v>104</v>
      </c>
      <c r="F138" t="s">
        <v>104</v>
      </c>
      <c r="G138" t="s">
        <v>104</v>
      </c>
      <c r="H138" t="s">
        <v>104</v>
      </c>
      <c r="I138" t="s">
        <v>104</v>
      </c>
      <c r="J138" t="s">
        <v>104</v>
      </c>
      <c r="K138" t="s">
        <v>104</v>
      </c>
    </row>
    <row r="139" spans="1:11">
      <c r="A139" t="s">
        <v>42</v>
      </c>
      <c r="B139" t="s">
        <v>42</v>
      </c>
      <c r="C139" t="s">
        <v>42</v>
      </c>
      <c r="D139" t="s">
        <v>42</v>
      </c>
      <c r="E139" t="s">
        <v>42</v>
      </c>
      <c r="F139" t="s">
        <v>42</v>
      </c>
      <c r="G139" t="s">
        <v>42</v>
      </c>
      <c r="H139" t="s">
        <v>42</v>
      </c>
      <c r="I139" t="s">
        <v>42</v>
      </c>
      <c r="J139" t="s">
        <v>42</v>
      </c>
      <c r="K139" t="s">
        <v>42</v>
      </c>
    </row>
    <row r="140" spans="1:11">
      <c r="A140" t="s">
        <v>43</v>
      </c>
      <c r="B140" t="s">
        <v>43</v>
      </c>
      <c r="C140" t="s">
        <v>43</v>
      </c>
      <c r="D140" t="s">
        <v>43</v>
      </c>
      <c r="E140" t="s">
        <v>43</v>
      </c>
      <c r="F140" t="s">
        <v>43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</row>
    <row r="141" spans="1:11">
      <c r="A141" t="s">
        <v>44</v>
      </c>
      <c r="B141" t="s">
        <v>44</v>
      </c>
      <c r="C141" t="s">
        <v>44</v>
      </c>
      <c r="D141" t="s">
        <v>44</v>
      </c>
      <c r="E141" t="s">
        <v>44</v>
      </c>
      <c r="F141" t="s">
        <v>44</v>
      </c>
      <c r="G141" t="s">
        <v>44</v>
      </c>
      <c r="H141" t="s">
        <v>44</v>
      </c>
      <c r="I141" t="s">
        <v>44</v>
      </c>
      <c r="J141" t="s">
        <v>44</v>
      </c>
      <c r="K141" t="s">
        <v>44</v>
      </c>
    </row>
    <row r="142" spans="1:11">
      <c r="A142" t="s">
        <v>7780</v>
      </c>
      <c r="B142" t="s">
        <v>7781</v>
      </c>
      <c r="C142" t="s">
        <v>7782</v>
      </c>
      <c r="D142" t="s">
        <v>7783</v>
      </c>
      <c r="E142" t="s">
        <v>7784</v>
      </c>
      <c r="F142" t="s">
        <v>7785</v>
      </c>
      <c r="G142" t="s">
        <v>7786</v>
      </c>
      <c r="H142" t="s">
        <v>7787</v>
      </c>
      <c r="I142" t="s">
        <v>7788</v>
      </c>
      <c r="J142" t="s">
        <v>7789</v>
      </c>
      <c r="K142" t="s">
        <v>7790</v>
      </c>
    </row>
    <row r="143" spans="1:11">
      <c r="A143">
        <v>2114.09</v>
      </c>
      <c r="B143">
        <v>2227.06</v>
      </c>
      <c r="C143">
        <v>2389.3</v>
      </c>
      <c r="D143">
        <v>2561.13</v>
      </c>
      <c r="E143">
        <v>2650.09</v>
      </c>
      <c r="F143">
        <v>2836.3</v>
      </c>
      <c r="G143">
        <v>2898.83</v>
      </c>
      <c r="H143">
        <v>3172.96</v>
      </c>
      <c r="I143">
        <v>3312.72</v>
      </c>
      <c r="J143">
        <v>3531.24</v>
      </c>
      <c r="K143">
        <v>4605.52</v>
      </c>
    </row>
    <row r="144" spans="1:11">
      <c r="A144">
        <v>1.42844</v>
      </c>
      <c r="B144">
        <v>1.50477</v>
      </c>
      <c r="C144">
        <v>1.61439</v>
      </c>
      <c r="D144">
        <v>1.73049</v>
      </c>
      <c r="E144">
        <v>1.7906</v>
      </c>
      <c r="F144">
        <v>1.91642</v>
      </c>
      <c r="G144">
        <v>1.95867</v>
      </c>
      <c r="H144">
        <v>2.14389</v>
      </c>
      <c r="I144">
        <v>2.23832</v>
      </c>
      <c r="J144">
        <v>2.38598</v>
      </c>
      <c r="K144">
        <v>3.11184</v>
      </c>
    </row>
    <row r="145" spans="1:11">
      <c r="A145" t="s">
        <v>7791</v>
      </c>
      <c r="B145" t="s">
        <v>7792</v>
      </c>
      <c r="C145" t="s">
        <v>7793</v>
      </c>
      <c r="D145" t="s">
        <v>7794</v>
      </c>
      <c r="E145" t="s">
        <v>7795</v>
      </c>
      <c r="F145" t="s">
        <v>7579</v>
      </c>
      <c r="G145" t="s">
        <v>7796</v>
      </c>
      <c r="H145" t="s">
        <v>7797</v>
      </c>
      <c r="I145" t="s">
        <v>5854</v>
      </c>
      <c r="J145" t="s">
        <v>7798</v>
      </c>
      <c r="K145" t="s">
        <v>7799</v>
      </c>
    </row>
    <row r="146" spans="1:11">
      <c r="A146" t="s">
        <v>7800</v>
      </c>
      <c r="B146" t="s">
        <v>7801</v>
      </c>
      <c r="C146" t="s">
        <v>7802</v>
      </c>
      <c r="D146" t="s">
        <v>7803</v>
      </c>
      <c r="E146" t="s">
        <v>7804</v>
      </c>
      <c r="F146" t="s">
        <v>7805</v>
      </c>
      <c r="G146" t="s">
        <v>146</v>
      </c>
      <c r="H146" t="s">
        <v>7806</v>
      </c>
      <c r="I146" t="s">
        <v>7479</v>
      </c>
      <c r="J146" t="s">
        <v>411</v>
      </c>
      <c r="K146" t="s">
        <v>7807</v>
      </c>
    </row>
    <row r="147" spans="1:11">
      <c r="A147" t="s">
        <v>7808</v>
      </c>
      <c r="B147" t="s">
        <v>7809</v>
      </c>
      <c r="C147" t="s">
        <v>7810</v>
      </c>
      <c r="D147" t="s">
        <v>7811</v>
      </c>
      <c r="E147" t="s">
        <v>7812</v>
      </c>
      <c r="F147" t="s">
        <v>7813</v>
      </c>
      <c r="G147" t="s">
        <v>7814</v>
      </c>
      <c r="H147" t="s">
        <v>7815</v>
      </c>
      <c r="I147" t="s">
        <v>7816</v>
      </c>
      <c r="J147" t="s">
        <v>7817</v>
      </c>
      <c r="K147" t="s">
        <v>7818</v>
      </c>
    </row>
    <row r="148" spans="2:10">
      <c r="B148" t="s">
        <v>7819</v>
      </c>
      <c r="C148" t="s">
        <v>7820</v>
      </c>
      <c r="D148" t="s">
        <v>7821</v>
      </c>
      <c r="E148" t="s">
        <v>7822</v>
      </c>
      <c r="F148" t="s">
        <v>7823</v>
      </c>
      <c r="G148" t="s">
        <v>7824</v>
      </c>
      <c r="H148" t="s">
        <v>7825</v>
      </c>
      <c r="I148" t="s">
        <v>7826</v>
      </c>
      <c r="J148" t="s">
        <v>7827</v>
      </c>
    </row>
    <row r="149" spans="2:10">
      <c r="B149" t="s">
        <v>7828</v>
      </c>
      <c r="C149" t="s">
        <v>7829</v>
      </c>
      <c r="D149" t="s">
        <v>7830</v>
      </c>
      <c r="E149" t="s">
        <v>5544</v>
      </c>
      <c r="F149" t="s">
        <v>7831</v>
      </c>
      <c r="G149" t="s">
        <v>7832</v>
      </c>
      <c r="H149" t="s">
        <v>7833</v>
      </c>
      <c r="I149" t="s">
        <v>7834</v>
      </c>
      <c r="J149" t="s">
        <v>7835</v>
      </c>
    </row>
    <row r="150" spans="2:10">
      <c r="B150" t="s">
        <v>7836</v>
      </c>
      <c r="C150" t="s">
        <v>7837</v>
      </c>
      <c r="D150" t="s">
        <v>7838</v>
      </c>
      <c r="E150" t="s">
        <v>7839</v>
      </c>
      <c r="F150" t="s">
        <v>7840</v>
      </c>
      <c r="G150" t="s">
        <v>7841</v>
      </c>
      <c r="H150" t="s">
        <v>7842</v>
      </c>
      <c r="I150" t="s">
        <v>7843</v>
      </c>
      <c r="J150" t="s">
        <v>7844</v>
      </c>
    </row>
    <row r="151" spans="1:11">
      <c r="A151">
        <v>21.505</v>
      </c>
      <c r="B151">
        <v>20.35</v>
      </c>
      <c r="C151">
        <v>20.995</v>
      </c>
      <c r="D151">
        <v>16.246</v>
      </c>
      <c r="E151">
        <v>18.404</v>
      </c>
      <c r="F151">
        <v>17.621</v>
      </c>
      <c r="G151">
        <v>16.789</v>
      </c>
      <c r="H151">
        <v>13.706</v>
      </c>
      <c r="I151">
        <v>11.113</v>
      </c>
      <c r="J151">
        <v>5.047</v>
      </c>
      <c r="K151">
        <v>4.771</v>
      </c>
    </row>
    <row r="152" spans="1:11">
      <c r="A152">
        <v>24.205</v>
      </c>
      <c r="B152">
        <v>23.189</v>
      </c>
      <c r="C152">
        <v>22.021</v>
      </c>
      <c r="D152">
        <v>18.91</v>
      </c>
      <c r="E152">
        <v>19.405</v>
      </c>
      <c r="F152">
        <v>20.448</v>
      </c>
      <c r="G152">
        <v>19.473</v>
      </c>
      <c r="H152">
        <v>19.75</v>
      </c>
      <c r="I152">
        <v>16.783</v>
      </c>
      <c r="J152">
        <v>11.03</v>
      </c>
      <c r="K152">
        <v>4.936</v>
      </c>
    </row>
    <row r="153" spans="1:11">
      <c r="A153">
        <v>28.57</v>
      </c>
      <c r="B153">
        <v>42.204</v>
      </c>
      <c r="C153">
        <v>34.007</v>
      </c>
      <c r="D153">
        <v>32.033</v>
      </c>
      <c r="E153">
        <v>28.731</v>
      </c>
      <c r="F153">
        <v>26.491</v>
      </c>
      <c r="G153">
        <v>28.53</v>
      </c>
      <c r="H153">
        <v>30.084</v>
      </c>
      <c r="I153">
        <v>30.048</v>
      </c>
      <c r="J153">
        <v>26.446</v>
      </c>
      <c r="K153">
        <v>5.45</v>
      </c>
    </row>
    <row r="154" spans="1:11">
      <c r="A154" t="s">
        <v>208</v>
      </c>
      <c r="B154" t="s">
        <v>7845</v>
      </c>
      <c r="C154" t="s">
        <v>7846</v>
      </c>
      <c r="D154" t="s">
        <v>7847</v>
      </c>
      <c r="E154" t="s">
        <v>7848</v>
      </c>
      <c r="F154" t="s">
        <v>7849</v>
      </c>
      <c r="G154" t="s">
        <v>7850</v>
      </c>
      <c r="H154" t="s">
        <v>7851</v>
      </c>
      <c r="I154" t="s">
        <v>7852</v>
      </c>
      <c r="J154" t="s">
        <v>7853</v>
      </c>
      <c r="K154" t="s">
        <v>7854</v>
      </c>
    </row>
    <row r="155" spans="1:11">
      <c r="A155" t="s">
        <v>7855</v>
      </c>
      <c r="B155" t="s">
        <v>7856</v>
      </c>
      <c r="C155" t="s">
        <v>7857</v>
      </c>
      <c r="D155" t="s">
        <v>7858</v>
      </c>
      <c r="E155" t="s">
        <v>7859</v>
      </c>
      <c r="F155" t="s">
        <v>7860</v>
      </c>
      <c r="G155" t="s">
        <v>7861</v>
      </c>
      <c r="H155" t="s">
        <v>7862</v>
      </c>
      <c r="I155" t="s">
        <v>7863</v>
      </c>
      <c r="J155" t="s">
        <v>7864</v>
      </c>
      <c r="K155" t="s">
        <v>238</v>
      </c>
    </row>
    <row r="156" spans="1:11">
      <c r="A156">
        <v>13.6533</v>
      </c>
      <c r="B156">
        <v>12.7467</v>
      </c>
      <c r="C156">
        <v>11.3667</v>
      </c>
      <c r="D156">
        <v>8.98667</v>
      </c>
      <c r="E156">
        <v>10.0333</v>
      </c>
      <c r="F156">
        <v>8.22</v>
      </c>
      <c r="G156">
        <v>7.31333</v>
      </c>
      <c r="H156">
        <v>6.65333</v>
      </c>
      <c r="I156">
        <v>6.13333</v>
      </c>
      <c r="J156">
        <v>4.57333</v>
      </c>
      <c r="K156">
        <v>3.73333</v>
      </c>
    </row>
    <row r="157" spans="1:11">
      <c r="A157" t="s">
        <v>97</v>
      </c>
      <c r="B157" t="s">
        <v>97</v>
      </c>
      <c r="C157" t="s">
        <v>97</v>
      </c>
      <c r="D157" t="s">
        <v>97</v>
      </c>
      <c r="E157" t="s">
        <v>97</v>
      </c>
      <c r="F157" t="s">
        <v>97</v>
      </c>
      <c r="G157" t="s">
        <v>97</v>
      </c>
      <c r="H157" t="s">
        <v>97</v>
      </c>
      <c r="I157" t="s">
        <v>97</v>
      </c>
      <c r="J157" t="s">
        <v>97</v>
      </c>
      <c r="K157" t="s">
        <v>97</v>
      </c>
    </row>
    <row r="158" spans="1:11">
      <c r="A158" t="s">
        <v>104</v>
      </c>
      <c r="B158" t="s">
        <v>104</v>
      </c>
      <c r="C158" t="s">
        <v>104</v>
      </c>
      <c r="D158" t="s">
        <v>104</v>
      </c>
      <c r="E158" t="s">
        <v>104</v>
      </c>
      <c r="F158" t="s">
        <v>104</v>
      </c>
      <c r="G158" t="s">
        <v>104</v>
      </c>
      <c r="H158" t="s">
        <v>104</v>
      </c>
      <c r="I158" t="s">
        <v>104</v>
      </c>
      <c r="J158" t="s">
        <v>104</v>
      </c>
      <c r="K158" t="s">
        <v>104</v>
      </c>
    </row>
    <row r="159" spans="1:11">
      <c r="A159" t="s">
        <v>42</v>
      </c>
      <c r="B159" t="s">
        <v>42</v>
      </c>
      <c r="C159" t="s">
        <v>42</v>
      </c>
      <c r="D159" t="s">
        <v>42</v>
      </c>
      <c r="E159" t="s">
        <v>42</v>
      </c>
      <c r="F159" t="s">
        <v>42</v>
      </c>
      <c r="G159" t="s">
        <v>42</v>
      </c>
      <c r="H159" t="s">
        <v>42</v>
      </c>
      <c r="I159" t="s">
        <v>42</v>
      </c>
      <c r="J159" t="s">
        <v>42</v>
      </c>
      <c r="K159" t="s">
        <v>42</v>
      </c>
    </row>
    <row r="160" spans="1:11">
      <c r="A160" t="s">
        <v>43</v>
      </c>
      <c r="B160" t="s">
        <v>43</v>
      </c>
      <c r="C160" t="s">
        <v>43</v>
      </c>
      <c r="D160" t="s">
        <v>43</v>
      </c>
      <c r="E160" t="s">
        <v>43</v>
      </c>
      <c r="F160" t="s">
        <v>43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</row>
    <row r="161" spans="1:11">
      <c r="A161" t="s">
        <v>44</v>
      </c>
      <c r="B161" t="s">
        <v>44</v>
      </c>
      <c r="C161" t="s">
        <v>44</v>
      </c>
      <c r="D161" t="s">
        <v>44</v>
      </c>
      <c r="E161" t="s">
        <v>44</v>
      </c>
      <c r="F161" t="s">
        <v>44</v>
      </c>
      <c r="G161" t="s">
        <v>44</v>
      </c>
      <c r="H161" t="s">
        <v>44</v>
      </c>
      <c r="I161" t="s">
        <v>44</v>
      </c>
      <c r="J161" t="s">
        <v>44</v>
      </c>
      <c r="K161" t="s">
        <v>44</v>
      </c>
    </row>
    <row r="162" spans="1:11">
      <c r="A162" t="s">
        <v>7865</v>
      </c>
      <c r="B162" t="s">
        <v>7866</v>
      </c>
      <c r="C162" t="s">
        <v>7867</v>
      </c>
      <c r="D162" t="s">
        <v>7868</v>
      </c>
      <c r="E162" t="s">
        <v>7869</v>
      </c>
      <c r="F162" t="s">
        <v>7870</v>
      </c>
      <c r="G162" t="s">
        <v>7871</v>
      </c>
      <c r="H162" t="s">
        <v>7872</v>
      </c>
      <c r="I162" t="s">
        <v>7873</v>
      </c>
      <c r="J162" t="s">
        <v>7874</v>
      </c>
      <c r="K162" t="s">
        <v>7875</v>
      </c>
    </row>
    <row r="163" spans="1:11">
      <c r="A163">
        <v>2140.27</v>
      </c>
      <c r="B163">
        <v>2234.23</v>
      </c>
      <c r="C163">
        <v>2382.98</v>
      </c>
      <c r="D163">
        <v>2633.61</v>
      </c>
      <c r="E163">
        <v>2744.56</v>
      </c>
      <c r="F163">
        <v>2857.74</v>
      </c>
      <c r="G163">
        <v>2952.8</v>
      </c>
      <c r="H163">
        <v>3079.05</v>
      </c>
      <c r="I163">
        <v>3398.6</v>
      </c>
      <c r="J163">
        <v>3576.58</v>
      </c>
      <c r="K163">
        <v>4779.14</v>
      </c>
    </row>
    <row r="164" spans="1:11">
      <c r="A164">
        <v>1.44613</v>
      </c>
      <c r="B164">
        <v>1.50962</v>
      </c>
      <c r="C164">
        <v>1.61012</v>
      </c>
      <c r="D164">
        <v>1.77946</v>
      </c>
      <c r="E164">
        <v>1.85444</v>
      </c>
      <c r="F164">
        <v>1.93091</v>
      </c>
      <c r="G164">
        <v>1.99513</v>
      </c>
      <c r="H164">
        <v>2.08044</v>
      </c>
      <c r="I164">
        <v>2.29635</v>
      </c>
      <c r="J164">
        <v>2.41661</v>
      </c>
      <c r="K164">
        <v>3.22915</v>
      </c>
    </row>
    <row r="165" spans="1:11">
      <c r="A165" t="s">
        <v>7876</v>
      </c>
      <c r="B165" t="s">
        <v>7877</v>
      </c>
      <c r="C165" t="s">
        <v>7878</v>
      </c>
      <c r="D165" t="s">
        <v>7879</v>
      </c>
      <c r="E165" t="s">
        <v>7880</v>
      </c>
      <c r="F165" t="s">
        <v>6557</v>
      </c>
      <c r="G165" t="s">
        <v>7881</v>
      </c>
      <c r="H165" t="s">
        <v>7882</v>
      </c>
      <c r="I165" t="s">
        <v>7883</v>
      </c>
      <c r="J165" t="s">
        <v>7884</v>
      </c>
      <c r="K165" t="s">
        <v>7885</v>
      </c>
    </row>
    <row r="166" spans="1:11">
      <c r="A166" t="s">
        <v>7886</v>
      </c>
      <c r="B166" t="s">
        <v>7887</v>
      </c>
      <c r="C166" t="s">
        <v>7888</v>
      </c>
      <c r="D166" t="s">
        <v>7889</v>
      </c>
      <c r="E166" t="s">
        <v>7890</v>
      </c>
      <c r="F166" t="s">
        <v>7804</v>
      </c>
      <c r="G166" t="s">
        <v>7891</v>
      </c>
      <c r="H166" t="s">
        <v>7892</v>
      </c>
      <c r="I166" t="s">
        <v>7893</v>
      </c>
      <c r="J166" t="s">
        <v>7894</v>
      </c>
      <c r="K166" t="s">
        <v>7895</v>
      </c>
    </row>
    <row r="167" spans="1:11">
      <c r="A167" t="s">
        <v>7896</v>
      </c>
      <c r="B167" t="s">
        <v>7897</v>
      </c>
      <c r="C167" t="s">
        <v>7898</v>
      </c>
      <c r="D167" t="s">
        <v>7899</v>
      </c>
      <c r="E167" t="s">
        <v>7816</v>
      </c>
      <c r="F167" t="s">
        <v>7900</v>
      </c>
      <c r="G167" t="s">
        <v>7901</v>
      </c>
      <c r="H167" t="s">
        <v>7902</v>
      </c>
      <c r="I167" t="s">
        <v>7903</v>
      </c>
      <c r="J167" t="s">
        <v>7904</v>
      </c>
      <c r="K167" t="s">
        <v>7905</v>
      </c>
    </row>
    <row r="168" spans="2:10">
      <c r="B168" t="s">
        <v>7906</v>
      </c>
      <c r="C168" t="s">
        <v>7907</v>
      </c>
      <c r="D168" t="s">
        <v>7908</v>
      </c>
      <c r="E168" t="s">
        <v>7909</v>
      </c>
      <c r="F168" t="s">
        <v>7910</v>
      </c>
      <c r="G168" t="s">
        <v>7911</v>
      </c>
      <c r="H168" t="s">
        <v>7912</v>
      </c>
      <c r="I168" t="s">
        <v>7913</v>
      </c>
      <c r="J168" t="s">
        <v>7914</v>
      </c>
    </row>
    <row r="169" spans="2:10">
      <c r="B169" t="s">
        <v>7915</v>
      </c>
      <c r="C169" t="s">
        <v>7916</v>
      </c>
      <c r="D169" t="s">
        <v>7917</v>
      </c>
      <c r="E169" t="s">
        <v>7918</v>
      </c>
      <c r="F169" t="s">
        <v>7919</v>
      </c>
      <c r="G169" t="s">
        <v>7920</v>
      </c>
      <c r="H169" t="s">
        <v>7921</v>
      </c>
      <c r="I169" t="s">
        <v>7922</v>
      </c>
      <c r="J169" t="s">
        <v>7923</v>
      </c>
    </row>
    <row r="170" spans="2:10">
      <c r="B170" t="s">
        <v>7924</v>
      </c>
      <c r="C170" t="s">
        <v>7925</v>
      </c>
      <c r="D170" t="s">
        <v>7926</v>
      </c>
      <c r="E170" t="s">
        <v>7927</v>
      </c>
      <c r="F170" t="s">
        <v>7928</v>
      </c>
      <c r="G170" t="s">
        <v>7929</v>
      </c>
      <c r="H170" t="s">
        <v>7930</v>
      </c>
      <c r="I170" t="s">
        <v>7931</v>
      </c>
      <c r="J170" t="s">
        <v>7932</v>
      </c>
    </row>
    <row r="171" spans="1:11">
      <c r="A171">
        <v>21.93</v>
      </c>
      <c r="B171">
        <v>22.023</v>
      </c>
      <c r="C171">
        <v>16.968</v>
      </c>
      <c r="D171">
        <v>16.191</v>
      </c>
      <c r="E171">
        <v>16.944</v>
      </c>
      <c r="F171">
        <v>17.597</v>
      </c>
      <c r="G171">
        <v>15.226</v>
      </c>
      <c r="H171">
        <v>10.709</v>
      </c>
      <c r="I171">
        <v>11.34</v>
      </c>
      <c r="J171">
        <v>5.178</v>
      </c>
      <c r="K171">
        <v>4.751</v>
      </c>
    </row>
    <row r="172" spans="1:11">
      <c r="A172">
        <v>23.684</v>
      </c>
      <c r="B172">
        <v>23.77</v>
      </c>
      <c r="C172">
        <v>21.557</v>
      </c>
      <c r="D172">
        <v>18.236</v>
      </c>
      <c r="E172">
        <v>18.461</v>
      </c>
      <c r="F172">
        <v>19.773</v>
      </c>
      <c r="G172">
        <v>17.508</v>
      </c>
      <c r="H172">
        <v>15.493</v>
      </c>
      <c r="I172">
        <v>15.691</v>
      </c>
      <c r="J172">
        <v>18.23</v>
      </c>
      <c r="K172">
        <v>4.851</v>
      </c>
    </row>
    <row r="173" spans="1:11">
      <c r="A173">
        <v>34.16</v>
      </c>
      <c r="B173">
        <v>48.374</v>
      </c>
      <c r="C173">
        <v>26.271</v>
      </c>
      <c r="D173">
        <v>24.491</v>
      </c>
      <c r="E173">
        <v>25.227</v>
      </c>
      <c r="F173">
        <v>22.674</v>
      </c>
      <c r="G173">
        <v>25.076</v>
      </c>
      <c r="H173">
        <v>27.033</v>
      </c>
      <c r="I173">
        <v>26.9</v>
      </c>
      <c r="J173">
        <v>29.497</v>
      </c>
      <c r="K173">
        <v>5.278</v>
      </c>
    </row>
    <row r="174" spans="1:11">
      <c r="A174" t="s">
        <v>208</v>
      </c>
      <c r="B174" t="s">
        <v>7933</v>
      </c>
      <c r="C174" t="s">
        <v>7934</v>
      </c>
      <c r="D174" t="s">
        <v>7935</v>
      </c>
      <c r="E174" t="s">
        <v>7936</v>
      </c>
      <c r="F174" t="s">
        <v>7937</v>
      </c>
      <c r="G174" t="s">
        <v>7938</v>
      </c>
      <c r="H174" t="s">
        <v>7939</v>
      </c>
      <c r="I174" t="s">
        <v>7940</v>
      </c>
      <c r="J174" t="s">
        <v>7941</v>
      </c>
      <c r="K174" t="s">
        <v>7942</v>
      </c>
    </row>
    <row r="175" spans="1:11">
      <c r="A175" t="s">
        <v>7943</v>
      </c>
      <c r="B175" t="s">
        <v>7944</v>
      </c>
      <c r="C175" t="s">
        <v>7945</v>
      </c>
      <c r="D175" t="s">
        <v>7946</v>
      </c>
      <c r="E175" t="s">
        <v>7947</v>
      </c>
      <c r="F175" t="s">
        <v>7948</v>
      </c>
      <c r="G175" t="s">
        <v>7949</v>
      </c>
      <c r="H175" t="s">
        <v>7950</v>
      </c>
      <c r="I175" t="s">
        <v>7951</v>
      </c>
      <c r="J175" t="s">
        <v>7952</v>
      </c>
      <c r="K175" t="s">
        <v>238</v>
      </c>
    </row>
    <row r="176" spans="1:11">
      <c r="A176">
        <v>14.4467</v>
      </c>
      <c r="B176">
        <v>13.08</v>
      </c>
      <c r="C176">
        <v>11.0133</v>
      </c>
      <c r="D176">
        <v>9.50667</v>
      </c>
      <c r="E176">
        <v>9.64667</v>
      </c>
      <c r="F176">
        <v>8.57333</v>
      </c>
      <c r="G176">
        <v>6.93333</v>
      </c>
      <c r="H176">
        <v>6.1</v>
      </c>
      <c r="I176">
        <v>6.17333</v>
      </c>
      <c r="J176">
        <v>5</v>
      </c>
      <c r="K176">
        <v>3.66667</v>
      </c>
    </row>
    <row r="177" spans="2:11">
      <c r="B177" t="s">
        <v>97</v>
      </c>
      <c r="C177" t="s">
        <v>97</v>
      </c>
      <c r="D177" t="s">
        <v>97</v>
      </c>
      <c r="E177" t="s">
        <v>97</v>
      </c>
      <c r="F177" t="s">
        <v>97</v>
      </c>
      <c r="G177" t="s">
        <v>97</v>
      </c>
      <c r="H177" t="s">
        <v>97</v>
      </c>
      <c r="I177" t="s">
        <v>97</v>
      </c>
      <c r="J177" t="s">
        <v>97</v>
      </c>
      <c r="K177" t="s">
        <v>97</v>
      </c>
    </row>
    <row r="178" spans="1:11">
      <c r="A178" t="s">
        <v>104</v>
      </c>
      <c r="B178" t="s">
        <v>104</v>
      </c>
      <c r="C178" t="s">
        <v>104</v>
      </c>
      <c r="D178" t="s">
        <v>104</v>
      </c>
      <c r="E178" t="s">
        <v>104</v>
      </c>
      <c r="F178" t="s">
        <v>104</v>
      </c>
      <c r="G178" t="s">
        <v>104</v>
      </c>
      <c r="H178" t="s">
        <v>104</v>
      </c>
      <c r="I178" t="s">
        <v>104</v>
      </c>
      <c r="J178" t="s">
        <v>104</v>
      </c>
      <c r="K178" t="s">
        <v>104</v>
      </c>
    </row>
    <row r="179" spans="1:11">
      <c r="A179" t="s">
        <v>42</v>
      </c>
      <c r="B179" t="s">
        <v>42</v>
      </c>
      <c r="C179" t="s">
        <v>42</v>
      </c>
      <c r="D179" t="s">
        <v>42</v>
      </c>
      <c r="E179" t="s">
        <v>42</v>
      </c>
      <c r="F179" t="s">
        <v>42</v>
      </c>
      <c r="G179" t="s">
        <v>42</v>
      </c>
      <c r="H179" t="s">
        <v>42</v>
      </c>
      <c r="I179" t="s">
        <v>42</v>
      </c>
      <c r="J179" t="s">
        <v>42</v>
      </c>
      <c r="K179" t="s">
        <v>42</v>
      </c>
    </row>
    <row r="180" spans="1:11">
      <c r="A180" t="s">
        <v>43</v>
      </c>
      <c r="B180" t="s">
        <v>43</v>
      </c>
      <c r="C180" t="s">
        <v>43</v>
      </c>
      <c r="D180" t="s">
        <v>43</v>
      </c>
      <c r="E180" t="s">
        <v>43</v>
      </c>
      <c r="F180" t="s">
        <v>43</v>
      </c>
      <c r="G180" t="s">
        <v>43</v>
      </c>
      <c r="H180" t="s">
        <v>43</v>
      </c>
      <c r="I180" t="s">
        <v>43</v>
      </c>
      <c r="J180" t="s">
        <v>43</v>
      </c>
      <c r="K180" t="s">
        <v>43</v>
      </c>
    </row>
    <row r="181" spans="1:11">
      <c r="A181" t="s">
        <v>44</v>
      </c>
      <c r="B181" t="s">
        <v>44</v>
      </c>
      <c r="C181" t="s">
        <v>44</v>
      </c>
      <c r="D181" t="s">
        <v>44</v>
      </c>
      <c r="E181" t="s">
        <v>44</v>
      </c>
      <c r="F181" t="s">
        <v>44</v>
      </c>
      <c r="G181" t="s">
        <v>44</v>
      </c>
      <c r="H181" t="s">
        <v>44</v>
      </c>
      <c r="I181" t="s">
        <v>44</v>
      </c>
      <c r="J181" t="s">
        <v>44</v>
      </c>
      <c r="K181" t="s">
        <v>44</v>
      </c>
    </row>
    <row r="182" spans="1:11">
      <c r="A182" t="s">
        <v>7953</v>
      </c>
      <c r="B182" t="s">
        <v>7954</v>
      </c>
      <c r="C182" t="s">
        <v>7955</v>
      </c>
      <c r="D182" t="s">
        <v>7956</v>
      </c>
      <c r="E182" t="s">
        <v>7957</v>
      </c>
      <c r="F182" t="s">
        <v>7958</v>
      </c>
      <c r="G182" t="s">
        <v>7959</v>
      </c>
      <c r="H182" t="s">
        <v>7960</v>
      </c>
      <c r="I182" t="s">
        <v>7961</v>
      </c>
      <c r="J182" t="s">
        <v>7962</v>
      </c>
      <c r="K182" t="s">
        <v>7963</v>
      </c>
    </row>
    <row r="183" spans="1:11">
      <c r="A183">
        <v>2121.93</v>
      </c>
      <c r="B183">
        <v>2239.79</v>
      </c>
      <c r="C183">
        <v>2479.83</v>
      </c>
      <c r="D183">
        <v>2606.37</v>
      </c>
      <c r="E183">
        <v>2731.46</v>
      </c>
      <c r="F183">
        <v>2807.53</v>
      </c>
      <c r="G183">
        <v>2989.49</v>
      </c>
      <c r="H183">
        <v>3124.03</v>
      </c>
      <c r="I183">
        <v>3305.99</v>
      </c>
      <c r="J183">
        <v>3671.48</v>
      </c>
      <c r="K183">
        <v>4552.05</v>
      </c>
    </row>
    <row r="184" spans="1:11">
      <c r="A184">
        <v>1.43374</v>
      </c>
      <c r="B184">
        <v>1.51337</v>
      </c>
      <c r="C184">
        <v>1.67556</v>
      </c>
      <c r="D184">
        <v>1.76106</v>
      </c>
      <c r="E184">
        <v>1.84558</v>
      </c>
      <c r="F184">
        <v>1.89698</v>
      </c>
      <c r="G184">
        <v>2.01993</v>
      </c>
      <c r="H184">
        <v>2.11083</v>
      </c>
      <c r="I184">
        <v>2.23378</v>
      </c>
      <c r="J184">
        <v>2.48073</v>
      </c>
      <c r="K184">
        <v>3.07571</v>
      </c>
    </row>
    <row r="185" spans="1:11">
      <c r="A185" t="s">
        <v>7964</v>
      </c>
      <c r="B185" t="s">
        <v>7965</v>
      </c>
      <c r="C185" t="s">
        <v>7966</v>
      </c>
      <c r="D185" t="s">
        <v>7581</v>
      </c>
      <c r="E185" t="s">
        <v>7967</v>
      </c>
      <c r="F185" t="s">
        <v>7968</v>
      </c>
      <c r="G185" t="s">
        <v>7969</v>
      </c>
      <c r="H185" t="s">
        <v>7970</v>
      </c>
      <c r="I185" t="s">
        <v>7971</v>
      </c>
      <c r="J185" t="s">
        <v>6604</v>
      </c>
      <c r="K185" t="s">
        <v>7972</v>
      </c>
    </row>
    <row r="186" spans="1:11">
      <c r="A186" t="s">
        <v>7973</v>
      </c>
      <c r="B186" t="s">
        <v>7974</v>
      </c>
      <c r="C186" t="s">
        <v>7975</v>
      </c>
      <c r="D186" t="s">
        <v>7976</v>
      </c>
      <c r="E186" t="s">
        <v>7977</v>
      </c>
      <c r="F186" t="s">
        <v>7978</v>
      </c>
      <c r="G186" t="s">
        <v>7586</v>
      </c>
      <c r="H186" t="s">
        <v>7979</v>
      </c>
      <c r="I186" t="s">
        <v>7980</v>
      </c>
      <c r="J186" t="s">
        <v>7586</v>
      </c>
      <c r="K186" t="s">
        <v>7981</v>
      </c>
    </row>
    <row r="187" spans="1:11">
      <c r="A187" t="s">
        <v>7982</v>
      </c>
      <c r="B187" t="s">
        <v>7983</v>
      </c>
      <c r="C187" t="s">
        <v>7984</v>
      </c>
      <c r="D187" t="s">
        <v>7985</v>
      </c>
      <c r="E187" t="s">
        <v>7986</v>
      </c>
      <c r="F187" t="s">
        <v>7987</v>
      </c>
      <c r="G187" t="s">
        <v>7988</v>
      </c>
      <c r="H187" t="s">
        <v>7989</v>
      </c>
      <c r="I187" t="s">
        <v>7990</v>
      </c>
      <c r="J187" t="s">
        <v>7991</v>
      </c>
      <c r="K187" t="s">
        <v>7992</v>
      </c>
    </row>
    <row r="188" spans="2:10">
      <c r="B188" t="s">
        <v>7993</v>
      </c>
      <c r="C188" t="s">
        <v>7994</v>
      </c>
      <c r="D188" t="s">
        <v>7995</v>
      </c>
      <c r="E188" t="s">
        <v>7996</v>
      </c>
      <c r="F188" t="s">
        <v>7997</v>
      </c>
      <c r="G188" t="s">
        <v>7998</v>
      </c>
      <c r="H188" t="s">
        <v>7999</v>
      </c>
      <c r="I188" t="s">
        <v>8000</v>
      </c>
      <c r="J188" t="s">
        <v>8001</v>
      </c>
    </row>
    <row r="189" spans="2:10">
      <c r="B189" t="s">
        <v>8002</v>
      </c>
      <c r="C189" t="s">
        <v>8003</v>
      </c>
      <c r="D189" t="s">
        <v>8004</v>
      </c>
      <c r="E189" t="s">
        <v>8005</v>
      </c>
      <c r="F189" t="s">
        <v>8006</v>
      </c>
      <c r="G189" t="s">
        <v>8007</v>
      </c>
      <c r="H189" t="s">
        <v>8008</v>
      </c>
      <c r="I189" t="s">
        <v>8009</v>
      </c>
      <c r="J189" t="s">
        <v>8010</v>
      </c>
    </row>
    <row r="190" spans="2:10">
      <c r="B190" t="s">
        <v>8011</v>
      </c>
      <c r="C190" t="s">
        <v>8012</v>
      </c>
      <c r="D190" t="s">
        <v>8013</v>
      </c>
      <c r="E190" t="s">
        <v>8014</v>
      </c>
      <c r="F190" t="s">
        <v>8015</v>
      </c>
      <c r="G190" t="s">
        <v>8016</v>
      </c>
      <c r="H190" t="s">
        <v>8017</v>
      </c>
      <c r="I190" t="s">
        <v>8018</v>
      </c>
      <c r="J190" t="s">
        <v>8019</v>
      </c>
    </row>
    <row r="191" spans="1:11">
      <c r="A191">
        <v>21.19</v>
      </c>
      <c r="B191">
        <v>19.791</v>
      </c>
      <c r="C191">
        <v>20.084</v>
      </c>
      <c r="D191">
        <v>19.264</v>
      </c>
      <c r="E191">
        <v>16.768</v>
      </c>
      <c r="F191">
        <v>17.213</v>
      </c>
      <c r="G191">
        <v>14.92</v>
      </c>
      <c r="H191">
        <v>11.719</v>
      </c>
      <c r="I191">
        <v>9.298</v>
      </c>
      <c r="J191">
        <v>5.046</v>
      </c>
      <c r="K191">
        <v>4.678</v>
      </c>
    </row>
    <row r="192" spans="1:11">
      <c r="A192">
        <v>23.355</v>
      </c>
      <c r="B192">
        <v>23.852</v>
      </c>
      <c r="C192">
        <v>23.056</v>
      </c>
      <c r="D192">
        <v>22.107</v>
      </c>
      <c r="E192">
        <v>18.891</v>
      </c>
      <c r="F192">
        <v>19.633</v>
      </c>
      <c r="G192">
        <v>18.112</v>
      </c>
      <c r="H192">
        <v>17.643</v>
      </c>
      <c r="I192">
        <v>11.292</v>
      </c>
      <c r="J192">
        <v>9.205</v>
      </c>
      <c r="K192">
        <v>4.858</v>
      </c>
    </row>
    <row r="193" spans="1:11">
      <c r="A193">
        <v>31.518</v>
      </c>
      <c r="B193">
        <v>42.04</v>
      </c>
      <c r="C193">
        <v>31.106</v>
      </c>
      <c r="D193">
        <v>26.166</v>
      </c>
      <c r="E193">
        <v>30.331</v>
      </c>
      <c r="F193">
        <v>21.029</v>
      </c>
      <c r="G193">
        <v>22.4</v>
      </c>
      <c r="H193">
        <v>32.213</v>
      </c>
      <c r="I193">
        <v>34.266</v>
      </c>
      <c r="J193">
        <v>22.634</v>
      </c>
      <c r="K193">
        <v>5.425</v>
      </c>
    </row>
    <row r="194" spans="1:11">
      <c r="A194" t="s">
        <v>208</v>
      </c>
      <c r="B194" t="s">
        <v>8020</v>
      </c>
      <c r="C194" t="s">
        <v>8021</v>
      </c>
      <c r="D194" t="s">
        <v>7847</v>
      </c>
      <c r="E194" t="s">
        <v>8022</v>
      </c>
      <c r="F194" t="s">
        <v>8023</v>
      </c>
      <c r="G194" t="s">
        <v>8024</v>
      </c>
      <c r="H194" t="s">
        <v>8025</v>
      </c>
      <c r="I194" t="s">
        <v>8026</v>
      </c>
      <c r="J194" t="s">
        <v>8027</v>
      </c>
      <c r="K194" t="s">
        <v>486</v>
      </c>
    </row>
    <row r="195" spans="1:11">
      <c r="A195" t="s">
        <v>8028</v>
      </c>
      <c r="B195" t="s">
        <v>8029</v>
      </c>
      <c r="C195" t="s">
        <v>8030</v>
      </c>
      <c r="D195" t="s">
        <v>8031</v>
      </c>
      <c r="E195" t="s">
        <v>8032</v>
      </c>
      <c r="F195" t="s">
        <v>8033</v>
      </c>
      <c r="G195" t="s">
        <v>8034</v>
      </c>
      <c r="H195" t="s">
        <v>8035</v>
      </c>
      <c r="I195" t="s">
        <v>8036</v>
      </c>
      <c r="J195" t="s">
        <v>8037</v>
      </c>
      <c r="K195" t="s">
        <v>238</v>
      </c>
    </row>
    <row r="196" spans="1:11">
      <c r="A196">
        <v>13.8</v>
      </c>
      <c r="B196">
        <v>12.9133</v>
      </c>
      <c r="C196">
        <v>11.68</v>
      </c>
      <c r="D196">
        <v>10.7133</v>
      </c>
      <c r="E196">
        <v>9.61333</v>
      </c>
      <c r="F196">
        <v>8.24</v>
      </c>
      <c r="G196">
        <v>6.98667</v>
      </c>
      <c r="H196">
        <v>6.41333</v>
      </c>
      <c r="I196">
        <v>6.16</v>
      </c>
      <c r="J196">
        <v>4.42</v>
      </c>
      <c r="K196">
        <v>3.77333</v>
      </c>
    </row>
    <row r="197" spans="1:10">
      <c r="A197" t="s">
        <v>97</v>
      </c>
      <c r="B197" t="s">
        <v>97</v>
      </c>
      <c r="C197" t="s">
        <v>97</v>
      </c>
      <c r="D197" t="s">
        <v>97</v>
      </c>
      <c r="E197" t="s">
        <v>97</v>
      </c>
      <c r="F197" t="s">
        <v>97</v>
      </c>
      <c r="G197" t="s">
        <v>97</v>
      </c>
      <c r="H197" t="s">
        <v>97</v>
      </c>
      <c r="I197" t="s">
        <v>375</v>
      </c>
      <c r="J197" t="s">
        <v>97</v>
      </c>
    </row>
    <row r="198" spans="1:11">
      <c r="A198">
        <f t="shared" ref="A198:K198" si="10">AVERAGE(A144,A164,A184)</f>
        <v>1.43610333333333</v>
      </c>
      <c r="B198">
        <f t="shared" si="10"/>
        <v>1.50925333333333</v>
      </c>
      <c r="C198">
        <f t="shared" si="10"/>
        <v>1.63335666666667</v>
      </c>
      <c r="D198">
        <f t="shared" si="10"/>
        <v>1.75700333333333</v>
      </c>
      <c r="E198">
        <f t="shared" si="10"/>
        <v>1.83020666666667</v>
      </c>
      <c r="F198">
        <f t="shared" si="10"/>
        <v>1.91477</v>
      </c>
      <c r="G198">
        <f t="shared" si="10"/>
        <v>1.99124333333333</v>
      </c>
      <c r="H198">
        <f t="shared" si="10"/>
        <v>2.11172</v>
      </c>
      <c r="I198">
        <f t="shared" si="10"/>
        <v>2.25615</v>
      </c>
      <c r="J198">
        <f t="shared" si="10"/>
        <v>2.42777333333333</v>
      </c>
      <c r="K198">
        <f t="shared" si="10"/>
        <v>3.1389</v>
      </c>
    </row>
    <row r="199" spans="1:11">
      <c r="A199">
        <f t="shared" ref="A199:K199" si="11">AVERAGE(A151,A171,A191)</f>
        <v>21.5416666666667</v>
      </c>
      <c r="B199">
        <f t="shared" si="11"/>
        <v>20.7213333333333</v>
      </c>
      <c r="C199">
        <f t="shared" si="11"/>
        <v>19.349</v>
      </c>
      <c r="D199">
        <f t="shared" si="11"/>
        <v>17.2336666666667</v>
      </c>
      <c r="E199">
        <f t="shared" si="11"/>
        <v>17.372</v>
      </c>
      <c r="F199">
        <f t="shared" si="11"/>
        <v>17.477</v>
      </c>
      <c r="G199">
        <f t="shared" si="11"/>
        <v>15.645</v>
      </c>
      <c r="H199">
        <f t="shared" si="11"/>
        <v>12.0446666666667</v>
      </c>
      <c r="I199">
        <f t="shared" si="11"/>
        <v>10.5836666666667</v>
      </c>
      <c r="J199">
        <f t="shared" si="11"/>
        <v>5.09033333333333</v>
      </c>
      <c r="K199">
        <f t="shared" si="11"/>
        <v>4.73333333333333</v>
      </c>
    </row>
    <row r="200" spans="1:11">
      <c r="A200">
        <f t="shared" ref="A200:K200" si="12">AVERAGE(A152,A172,A192)</f>
        <v>23.748</v>
      </c>
      <c r="B200">
        <f t="shared" si="12"/>
        <v>23.6036666666667</v>
      </c>
      <c r="C200">
        <f t="shared" si="12"/>
        <v>22.2113333333333</v>
      </c>
      <c r="D200">
        <f t="shared" si="12"/>
        <v>19.751</v>
      </c>
      <c r="E200">
        <f t="shared" si="12"/>
        <v>18.919</v>
      </c>
      <c r="F200">
        <f t="shared" si="12"/>
        <v>19.9513333333333</v>
      </c>
      <c r="G200">
        <f t="shared" si="12"/>
        <v>18.3643333333333</v>
      </c>
      <c r="H200">
        <f t="shared" si="12"/>
        <v>17.6286666666667</v>
      </c>
      <c r="I200">
        <f t="shared" si="12"/>
        <v>14.5886666666667</v>
      </c>
      <c r="J200">
        <f t="shared" si="12"/>
        <v>12.8216666666667</v>
      </c>
      <c r="K200">
        <f t="shared" si="12"/>
        <v>4.88166666666667</v>
      </c>
    </row>
    <row r="201" spans="1:11">
      <c r="A201">
        <f t="shared" ref="A201:K201" si="13">AVERAGE(A153,A173,A193)</f>
        <v>31.416</v>
      </c>
      <c r="B201">
        <f t="shared" si="13"/>
        <v>44.206</v>
      </c>
      <c r="C201">
        <f t="shared" si="13"/>
        <v>30.4613333333333</v>
      </c>
      <c r="D201">
        <f t="shared" si="13"/>
        <v>27.5633333333333</v>
      </c>
      <c r="E201">
        <f t="shared" si="13"/>
        <v>28.0963333333333</v>
      </c>
      <c r="F201">
        <f t="shared" si="13"/>
        <v>23.398</v>
      </c>
      <c r="G201">
        <f t="shared" si="13"/>
        <v>25.3353333333333</v>
      </c>
      <c r="H201">
        <f t="shared" si="13"/>
        <v>29.7766666666667</v>
      </c>
      <c r="I201">
        <f t="shared" si="13"/>
        <v>30.4046666666667</v>
      </c>
      <c r="J201">
        <f t="shared" si="13"/>
        <v>26.1923333333333</v>
      </c>
      <c r="K201">
        <f t="shared" si="13"/>
        <v>5.38433333333333</v>
      </c>
    </row>
    <row r="202" spans="1:11">
      <c r="A202">
        <f t="shared" ref="A202:K202" si="14">AVERAGE(A196,A176,A156)</f>
        <v>13.9666666666667</v>
      </c>
      <c r="B202">
        <f t="shared" si="14"/>
        <v>12.9133333333333</v>
      </c>
      <c r="C202">
        <f t="shared" si="14"/>
        <v>11.3533333333333</v>
      </c>
      <c r="D202">
        <f t="shared" si="14"/>
        <v>9.73554666666667</v>
      </c>
      <c r="E202">
        <f t="shared" si="14"/>
        <v>9.76443333333333</v>
      </c>
      <c r="F202">
        <f t="shared" si="14"/>
        <v>8.34444333333333</v>
      </c>
      <c r="G202">
        <f t="shared" si="14"/>
        <v>7.07777666666667</v>
      </c>
      <c r="H202">
        <f t="shared" si="14"/>
        <v>6.38888666666667</v>
      </c>
      <c r="I202">
        <f t="shared" si="14"/>
        <v>6.15555333333333</v>
      </c>
      <c r="J202">
        <f t="shared" si="14"/>
        <v>4.66444333333333</v>
      </c>
      <c r="K202">
        <f t="shared" si="14"/>
        <v>3.72444333333333</v>
      </c>
    </row>
    <row r="204" spans="1:2">
      <c r="A204" t="s">
        <v>98</v>
      </c>
      <c r="B204" t="s">
        <v>99</v>
      </c>
    </row>
    <row r="205" s="3" customFormat="1" spans="1:11">
      <c r="A205" s="3">
        <v>0</v>
      </c>
      <c r="B205" s="3">
        <v>10</v>
      </c>
      <c r="C205" s="3">
        <v>20</v>
      </c>
      <c r="D205" s="3">
        <v>30</v>
      </c>
      <c r="E205" s="3">
        <v>40</v>
      </c>
      <c r="F205" s="3">
        <v>50</v>
      </c>
      <c r="G205" s="3">
        <v>60</v>
      </c>
      <c r="H205" s="3">
        <v>70</v>
      </c>
      <c r="I205" s="3">
        <v>80</v>
      </c>
      <c r="J205" s="3">
        <v>90</v>
      </c>
      <c r="K205" s="3">
        <v>100</v>
      </c>
    </row>
    <row r="280" spans="1:2">
      <c r="A280" t="s">
        <v>8038</v>
      </c>
      <c r="B280" t="s">
        <v>8039</v>
      </c>
    </row>
    <row r="281" s="3" customFormat="1" spans="1:11">
      <c r="A281" s="3">
        <v>0</v>
      </c>
      <c r="B281" s="3">
        <v>10</v>
      </c>
      <c r="C281" s="3">
        <v>20</v>
      </c>
      <c r="D281" s="3">
        <v>30</v>
      </c>
      <c r="E281" s="3">
        <v>40</v>
      </c>
      <c r="F281" s="3">
        <v>50</v>
      </c>
      <c r="G281" s="3">
        <v>60</v>
      </c>
      <c r="H281" s="3">
        <v>70</v>
      </c>
      <c r="I281" s="3">
        <v>80</v>
      </c>
      <c r="J281" s="3">
        <v>90</v>
      </c>
      <c r="K281" s="3">
        <v>100</v>
      </c>
    </row>
    <row r="282" spans="1:11">
      <c r="A282" t="s">
        <v>7453</v>
      </c>
      <c r="B282" t="s">
        <v>7453</v>
      </c>
      <c r="C282" t="s">
        <v>7453</v>
      </c>
      <c r="D282" t="s">
        <v>7453</v>
      </c>
      <c r="E282" t="s">
        <v>7453</v>
      </c>
      <c r="F282" t="s">
        <v>7453</v>
      </c>
      <c r="G282" t="s">
        <v>7453</v>
      </c>
      <c r="H282" t="s">
        <v>7453</v>
      </c>
      <c r="I282" t="s">
        <v>7453</v>
      </c>
      <c r="J282" t="s">
        <v>7453</v>
      </c>
      <c r="K282" t="s">
        <v>7453</v>
      </c>
    </row>
    <row r="283" spans="1:11">
      <c r="A283" t="s">
        <v>42</v>
      </c>
      <c r="B283" t="s">
        <v>42</v>
      </c>
      <c r="C283" t="s">
        <v>42</v>
      </c>
      <c r="D283" t="s">
        <v>42</v>
      </c>
      <c r="E283" t="s">
        <v>42</v>
      </c>
      <c r="F283" t="s">
        <v>42</v>
      </c>
      <c r="G283" t="s">
        <v>42</v>
      </c>
      <c r="H283" t="s">
        <v>42</v>
      </c>
      <c r="I283" t="s">
        <v>42</v>
      </c>
      <c r="J283" t="s">
        <v>42</v>
      </c>
      <c r="K283" t="s">
        <v>42</v>
      </c>
    </row>
    <row r="284" spans="1:11">
      <c r="A284" t="s">
        <v>8040</v>
      </c>
      <c r="B284" t="s">
        <v>8041</v>
      </c>
      <c r="C284" t="s">
        <v>8042</v>
      </c>
      <c r="D284" t="s">
        <v>8043</v>
      </c>
      <c r="E284" t="s">
        <v>8044</v>
      </c>
      <c r="F284" t="s">
        <v>8045</v>
      </c>
      <c r="G284" t="s">
        <v>8046</v>
      </c>
      <c r="H284" t="s">
        <v>8047</v>
      </c>
      <c r="I284" t="s">
        <v>8048</v>
      </c>
      <c r="J284" t="s">
        <v>8049</v>
      </c>
      <c r="K284" t="s">
        <v>8050</v>
      </c>
    </row>
    <row r="285" spans="1:11">
      <c r="A285">
        <v>1381.85</v>
      </c>
      <c r="B285">
        <v>1380.62</v>
      </c>
      <c r="C285">
        <v>1160.36</v>
      </c>
      <c r="D285">
        <v>820.188</v>
      </c>
      <c r="E285">
        <v>672.717</v>
      </c>
      <c r="F285">
        <v>531.203</v>
      </c>
      <c r="G285">
        <v>450.928</v>
      </c>
      <c r="H285">
        <v>395.724</v>
      </c>
      <c r="I285">
        <v>346.266</v>
      </c>
      <c r="J285">
        <v>298.902</v>
      </c>
      <c r="K285">
        <v>273.457</v>
      </c>
    </row>
    <row r="286" spans="1:11">
      <c r="A286">
        <v>0.943889</v>
      </c>
      <c r="B286">
        <v>0.943049</v>
      </c>
      <c r="C286">
        <v>0.792593</v>
      </c>
      <c r="D286">
        <v>0.560238</v>
      </c>
      <c r="E286">
        <v>0.459506</v>
      </c>
      <c r="F286">
        <v>0.362844</v>
      </c>
      <c r="G286">
        <v>0.308011</v>
      </c>
      <c r="H286">
        <v>0.270303</v>
      </c>
      <c r="I286">
        <v>0.236521</v>
      </c>
      <c r="J286">
        <v>0.204168</v>
      </c>
      <c r="K286">
        <v>0.186787</v>
      </c>
    </row>
    <row r="287" spans="2:11">
      <c r="B287" t="s">
        <v>8051</v>
      </c>
      <c r="C287" t="s">
        <v>8052</v>
      </c>
      <c r="D287" t="s">
        <v>8053</v>
      </c>
      <c r="E287" t="s">
        <v>8054</v>
      </c>
      <c r="F287" t="s">
        <v>8055</v>
      </c>
      <c r="G287" t="s">
        <v>8056</v>
      </c>
      <c r="H287" t="s">
        <v>8057</v>
      </c>
      <c r="I287" t="s">
        <v>8058</v>
      </c>
      <c r="J287" t="s">
        <v>8059</v>
      </c>
      <c r="K287" t="s">
        <v>8060</v>
      </c>
    </row>
    <row r="288" spans="2:11">
      <c r="B288" t="s">
        <v>8061</v>
      </c>
      <c r="C288" t="s">
        <v>8062</v>
      </c>
      <c r="D288" t="s">
        <v>8063</v>
      </c>
      <c r="E288" t="s">
        <v>8064</v>
      </c>
      <c r="F288" t="s">
        <v>8065</v>
      </c>
      <c r="G288" t="s">
        <v>8066</v>
      </c>
      <c r="H288" t="s">
        <v>8067</v>
      </c>
      <c r="I288" t="s">
        <v>8068</v>
      </c>
      <c r="J288" t="s">
        <v>8069</v>
      </c>
      <c r="K288" t="s">
        <v>8070</v>
      </c>
    </row>
    <row r="289" spans="2:11">
      <c r="B289" t="s">
        <v>8071</v>
      </c>
      <c r="C289" t="s">
        <v>8072</v>
      </c>
      <c r="D289" t="s">
        <v>8073</v>
      </c>
      <c r="E289" t="s">
        <v>8074</v>
      </c>
      <c r="F289" t="s">
        <v>8075</v>
      </c>
      <c r="G289" t="s">
        <v>8076</v>
      </c>
      <c r="H289" t="s">
        <v>8077</v>
      </c>
      <c r="I289" t="s">
        <v>8078</v>
      </c>
      <c r="J289" t="s">
        <v>8079</v>
      </c>
      <c r="K289" t="s">
        <v>8080</v>
      </c>
    </row>
    <row r="290" spans="1:10">
      <c r="A290">
        <v>23.574</v>
      </c>
      <c r="B290">
        <v>23.228</v>
      </c>
      <c r="C290">
        <v>23.929</v>
      </c>
      <c r="D290">
        <v>23.597</v>
      </c>
      <c r="E290">
        <v>26.789</v>
      </c>
      <c r="F290">
        <v>23.901</v>
      </c>
      <c r="G290">
        <v>23.656</v>
      </c>
      <c r="H290">
        <v>26.338</v>
      </c>
      <c r="I290">
        <v>19.452</v>
      </c>
      <c r="J290">
        <v>8.307</v>
      </c>
    </row>
    <row r="291" spans="1:10">
      <c r="A291">
        <v>24.865</v>
      </c>
      <c r="B291">
        <v>24.212</v>
      </c>
      <c r="C291">
        <v>28.751</v>
      </c>
      <c r="D291">
        <v>24.435</v>
      </c>
      <c r="E291">
        <v>32.67</v>
      </c>
      <c r="F291">
        <v>24.375</v>
      </c>
      <c r="G291">
        <v>25.071</v>
      </c>
      <c r="H291">
        <v>38.496</v>
      </c>
      <c r="I291">
        <v>24.805</v>
      </c>
      <c r="J291">
        <v>9.014</v>
      </c>
    </row>
    <row r="292" spans="1:10">
      <c r="A292">
        <v>40.225</v>
      </c>
      <c r="B292">
        <v>36.814</v>
      </c>
      <c r="C292">
        <v>49.648</v>
      </c>
      <c r="D292">
        <v>30.137</v>
      </c>
      <c r="E292">
        <v>49.81</v>
      </c>
      <c r="F292">
        <v>29.494</v>
      </c>
      <c r="G292">
        <v>207.194</v>
      </c>
      <c r="H292">
        <v>93.842</v>
      </c>
      <c r="I292">
        <v>26.062</v>
      </c>
      <c r="J292">
        <v>9.014</v>
      </c>
    </row>
    <row r="293" spans="1:11">
      <c r="A293">
        <v>23.574</v>
      </c>
      <c r="B293">
        <v>23.285</v>
      </c>
      <c r="C293">
        <v>30.647</v>
      </c>
      <c r="D293">
        <v>68.606</v>
      </c>
      <c r="E293">
        <v>103.548</v>
      </c>
      <c r="F293">
        <v>108.124</v>
      </c>
      <c r="G293">
        <v>110.963</v>
      </c>
      <c r="H293">
        <v>108.897</v>
      </c>
      <c r="I293">
        <v>111.19</v>
      </c>
      <c r="J293">
        <v>112.429</v>
      </c>
      <c r="K293">
        <v>165.086</v>
      </c>
    </row>
    <row r="294" spans="1:11">
      <c r="A294">
        <v>24.865</v>
      </c>
      <c r="B294">
        <v>24.494</v>
      </c>
      <c r="C294">
        <v>58.582</v>
      </c>
      <c r="D294">
        <v>85.868</v>
      </c>
      <c r="E294">
        <v>105.631</v>
      </c>
      <c r="F294">
        <v>111.448</v>
      </c>
      <c r="G294">
        <v>119.215</v>
      </c>
      <c r="H294">
        <v>111.525</v>
      </c>
      <c r="I294">
        <v>118.171</v>
      </c>
      <c r="J294">
        <v>115.497</v>
      </c>
      <c r="K294">
        <v>166.845</v>
      </c>
    </row>
    <row r="295" spans="1:11">
      <c r="A295">
        <v>40.225</v>
      </c>
      <c r="B295">
        <v>36.814</v>
      </c>
      <c r="C295">
        <v>78.204</v>
      </c>
      <c r="D295">
        <v>110.169</v>
      </c>
      <c r="E295">
        <v>121.825</v>
      </c>
      <c r="F295">
        <v>152.253</v>
      </c>
      <c r="G295">
        <v>126.32</v>
      </c>
      <c r="H295">
        <v>124.844</v>
      </c>
      <c r="I295">
        <v>147.288</v>
      </c>
      <c r="J295">
        <v>134.8</v>
      </c>
      <c r="K295">
        <v>169.338</v>
      </c>
    </row>
    <row r="296" spans="1:11">
      <c r="A296" t="s">
        <v>208</v>
      </c>
      <c r="B296" t="s">
        <v>8081</v>
      </c>
      <c r="C296" t="s">
        <v>8082</v>
      </c>
      <c r="D296" t="s">
        <v>8083</v>
      </c>
      <c r="E296" t="s">
        <v>8084</v>
      </c>
      <c r="F296" t="s">
        <v>8085</v>
      </c>
      <c r="G296" t="s">
        <v>8086</v>
      </c>
      <c r="H296" t="s">
        <v>8087</v>
      </c>
      <c r="I296" t="s">
        <v>8088</v>
      </c>
      <c r="J296" t="s">
        <v>8089</v>
      </c>
      <c r="K296" t="s">
        <v>8090</v>
      </c>
    </row>
    <row r="297" spans="1:11">
      <c r="A297" t="s">
        <v>8091</v>
      </c>
      <c r="B297" t="s">
        <v>8092</v>
      </c>
      <c r="C297" t="s">
        <v>8093</v>
      </c>
      <c r="D297" t="s">
        <v>8094</v>
      </c>
      <c r="E297" t="s">
        <v>8095</v>
      </c>
      <c r="F297" t="s">
        <v>8096</v>
      </c>
      <c r="G297" t="s">
        <v>8097</v>
      </c>
      <c r="H297" t="s">
        <v>8098</v>
      </c>
      <c r="I297" t="s">
        <v>8099</v>
      </c>
      <c r="J297" t="s">
        <v>8100</v>
      </c>
      <c r="K297" t="s">
        <v>238</v>
      </c>
    </row>
    <row r="298" spans="1:11">
      <c r="A298">
        <v>17.7267</v>
      </c>
      <c r="B298">
        <v>17.4267</v>
      </c>
      <c r="C298">
        <v>20.5467</v>
      </c>
      <c r="D298">
        <v>24.5</v>
      </c>
      <c r="E298">
        <v>37.9533</v>
      </c>
      <c r="F298">
        <v>52.7667</v>
      </c>
      <c r="G298">
        <v>56.1533</v>
      </c>
      <c r="H298">
        <v>77.0133</v>
      </c>
      <c r="I298">
        <v>79.7933</v>
      </c>
      <c r="J298">
        <v>98.8</v>
      </c>
      <c r="K298">
        <v>112.073</v>
      </c>
    </row>
    <row r="299" spans="1:11">
      <c r="A299" t="s">
        <v>97</v>
      </c>
      <c r="B299" t="s">
        <v>375</v>
      </c>
      <c r="C299" t="s">
        <v>97</v>
      </c>
      <c r="D299" t="s">
        <v>97</v>
      </c>
      <c r="E299" t="s">
        <v>375</v>
      </c>
      <c r="F299" t="s">
        <v>97</v>
      </c>
      <c r="G299" t="s">
        <v>97</v>
      </c>
      <c r="H299" t="s">
        <v>97</v>
      </c>
      <c r="I299" t="s">
        <v>97</v>
      </c>
      <c r="J299" t="s">
        <v>97</v>
      </c>
      <c r="K299" t="s">
        <v>97</v>
      </c>
    </row>
    <row r="300" spans="1:11">
      <c r="A300" t="s">
        <v>7453</v>
      </c>
      <c r="B300" t="s">
        <v>7453</v>
      </c>
      <c r="C300" t="s">
        <v>7453</v>
      </c>
      <c r="D300" t="s">
        <v>7453</v>
      </c>
      <c r="E300" t="s">
        <v>7453</v>
      </c>
      <c r="F300" t="s">
        <v>7453</v>
      </c>
      <c r="G300" t="s">
        <v>7453</v>
      </c>
      <c r="H300" t="s">
        <v>7453</v>
      </c>
      <c r="I300" t="s">
        <v>7453</v>
      </c>
      <c r="J300" t="s">
        <v>7453</v>
      </c>
      <c r="K300" t="s">
        <v>7453</v>
      </c>
    </row>
    <row r="301" spans="1:11">
      <c r="A301" t="s">
        <v>42</v>
      </c>
      <c r="B301" t="s">
        <v>42</v>
      </c>
      <c r="C301" t="s">
        <v>42</v>
      </c>
      <c r="D301" t="s">
        <v>42</v>
      </c>
      <c r="E301" t="s">
        <v>42</v>
      </c>
      <c r="F301" t="s">
        <v>42</v>
      </c>
      <c r="G301" t="s">
        <v>42</v>
      </c>
      <c r="H301" t="s">
        <v>42</v>
      </c>
      <c r="I301" t="s">
        <v>42</v>
      </c>
      <c r="J301" t="s">
        <v>42</v>
      </c>
      <c r="K301" t="s">
        <v>42</v>
      </c>
    </row>
    <row r="302" spans="1:11">
      <c r="A302" t="s">
        <v>8101</v>
      </c>
      <c r="B302" t="s">
        <v>8102</v>
      </c>
      <c r="C302" t="s">
        <v>8103</v>
      </c>
      <c r="D302" t="s">
        <v>8104</v>
      </c>
      <c r="E302" t="s">
        <v>8105</v>
      </c>
      <c r="F302" t="s">
        <v>8106</v>
      </c>
      <c r="G302" t="s">
        <v>8107</v>
      </c>
      <c r="H302" t="s">
        <v>8108</v>
      </c>
      <c r="I302" t="s">
        <v>8109</v>
      </c>
      <c r="J302" t="s">
        <v>8110</v>
      </c>
      <c r="K302" t="s">
        <v>8111</v>
      </c>
    </row>
    <row r="303" spans="1:11">
      <c r="A303">
        <v>1405.79</v>
      </c>
      <c r="B303">
        <v>1267.26</v>
      </c>
      <c r="C303">
        <v>1187.03</v>
      </c>
      <c r="D303">
        <v>834.952</v>
      </c>
      <c r="E303">
        <v>673.42</v>
      </c>
      <c r="F303">
        <v>532.358</v>
      </c>
      <c r="G303">
        <v>470.379</v>
      </c>
      <c r="H303">
        <v>373.5</v>
      </c>
      <c r="I303">
        <v>350.072</v>
      </c>
      <c r="J303">
        <v>308.643</v>
      </c>
      <c r="K303">
        <v>309.927</v>
      </c>
    </row>
    <row r="304" spans="1:11">
      <c r="A304">
        <v>0.960236</v>
      </c>
      <c r="B304">
        <v>0.865613</v>
      </c>
      <c r="C304">
        <v>0.81081</v>
      </c>
      <c r="D304">
        <v>0.570323</v>
      </c>
      <c r="E304">
        <v>0.459986</v>
      </c>
      <c r="F304">
        <v>0.363632</v>
      </c>
      <c r="G304">
        <v>0.321297</v>
      </c>
      <c r="H304">
        <v>0.255123</v>
      </c>
      <c r="I304">
        <v>0.23912</v>
      </c>
      <c r="J304">
        <v>0.210822</v>
      </c>
      <c r="K304">
        <v>0.211699</v>
      </c>
    </row>
    <row r="305" spans="2:11">
      <c r="B305" t="s">
        <v>8112</v>
      </c>
      <c r="C305" t="s">
        <v>8113</v>
      </c>
      <c r="D305" t="s">
        <v>8114</v>
      </c>
      <c r="E305" t="s">
        <v>8115</v>
      </c>
      <c r="F305" t="s">
        <v>8116</v>
      </c>
      <c r="G305" t="s">
        <v>8117</v>
      </c>
      <c r="H305" t="s">
        <v>8118</v>
      </c>
      <c r="I305" t="s">
        <v>8119</v>
      </c>
      <c r="J305" t="s">
        <v>8120</v>
      </c>
      <c r="K305" t="s">
        <v>8121</v>
      </c>
    </row>
    <row r="306" spans="2:11">
      <c r="B306" t="s">
        <v>8122</v>
      </c>
      <c r="C306" t="s">
        <v>8123</v>
      </c>
      <c r="D306" t="s">
        <v>8124</v>
      </c>
      <c r="E306" t="s">
        <v>8125</v>
      </c>
      <c r="F306" t="s">
        <v>8126</v>
      </c>
      <c r="G306" t="s">
        <v>8127</v>
      </c>
      <c r="H306" t="s">
        <v>8128</v>
      </c>
      <c r="I306" t="s">
        <v>8129</v>
      </c>
      <c r="J306" t="s">
        <v>8130</v>
      </c>
      <c r="K306" t="s">
        <v>8131</v>
      </c>
    </row>
    <row r="307" spans="2:11">
      <c r="B307" t="s">
        <v>8132</v>
      </c>
      <c r="C307" t="s">
        <v>8133</v>
      </c>
      <c r="D307" t="s">
        <v>8134</v>
      </c>
      <c r="E307" t="s">
        <v>8135</v>
      </c>
      <c r="F307" t="s">
        <v>8136</v>
      </c>
      <c r="G307" t="s">
        <v>8137</v>
      </c>
      <c r="H307" t="s">
        <v>8138</v>
      </c>
      <c r="I307" t="s">
        <v>8139</v>
      </c>
      <c r="J307" t="s">
        <v>8140</v>
      </c>
      <c r="K307" t="s">
        <v>8141</v>
      </c>
    </row>
    <row r="308" spans="1:10">
      <c r="A308">
        <v>23.202</v>
      </c>
      <c r="B308">
        <v>27.316</v>
      </c>
      <c r="C308">
        <v>23.238</v>
      </c>
      <c r="D308">
        <v>24.23</v>
      </c>
      <c r="E308">
        <v>24.587</v>
      </c>
      <c r="F308">
        <v>24.201</v>
      </c>
      <c r="G308">
        <v>23.986</v>
      </c>
      <c r="H308">
        <v>20.934</v>
      </c>
      <c r="I308">
        <v>18.274</v>
      </c>
      <c r="J308">
        <v>6.894</v>
      </c>
    </row>
    <row r="309" spans="1:10">
      <c r="A309">
        <v>24.078</v>
      </c>
      <c r="B309">
        <v>28.587</v>
      </c>
      <c r="C309">
        <v>24.977</v>
      </c>
      <c r="D309">
        <v>26.795</v>
      </c>
      <c r="E309">
        <v>26.735</v>
      </c>
      <c r="F309">
        <v>24.686</v>
      </c>
      <c r="G309">
        <v>26.706</v>
      </c>
      <c r="H309">
        <v>24.791</v>
      </c>
      <c r="I309">
        <v>20.392</v>
      </c>
      <c r="J309">
        <v>8.463</v>
      </c>
    </row>
    <row r="310" spans="1:10">
      <c r="A310">
        <v>42.628</v>
      </c>
      <c r="B310">
        <v>37.84</v>
      </c>
      <c r="C310">
        <v>33.048</v>
      </c>
      <c r="D310">
        <v>31.166</v>
      </c>
      <c r="E310">
        <v>37.256</v>
      </c>
      <c r="F310">
        <v>32.554</v>
      </c>
      <c r="G310">
        <v>203.511</v>
      </c>
      <c r="H310">
        <v>166.578</v>
      </c>
      <c r="I310">
        <v>25.813</v>
      </c>
      <c r="J310">
        <v>8.463</v>
      </c>
    </row>
    <row r="311" spans="1:11">
      <c r="A311">
        <v>23.202</v>
      </c>
      <c r="B311">
        <v>27.46</v>
      </c>
      <c r="C311">
        <v>27.65</v>
      </c>
      <c r="D311">
        <v>66.891</v>
      </c>
      <c r="E311">
        <v>103.388</v>
      </c>
      <c r="F311">
        <v>106.972</v>
      </c>
      <c r="G311">
        <v>109.061</v>
      </c>
      <c r="H311">
        <v>116.669</v>
      </c>
      <c r="I311">
        <v>110.193</v>
      </c>
      <c r="J311">
        <v>111.251</v>
      </c>
      <c r="K311">
        <v>100.945</v>
      </c>
    </row>
    <row r="312" spans="1:11">
      <c r="A312">
        <v>24.078</v>
      </c>
      <c r="B312">
        <v>31.666</v>
      </c>
      <c r="C312">
        <v>53.316</v>
      </c>
      <c r="D312">
        <v>89.485</v>
      </c>
      <c r="E312">
        <v>106.307</v>
      </c>
      <c r="F312">
        <v>109.609</v>
      </c>
      <c r="G312">
        <v>112.158</v>
      </c>
      <c r="H312">
        <v>129.153</v>
      </c>
      <c r="I312">
        <v>112.596</v>
      </c>
      <c r="J312">
        <v>117.836</v>
      </c>
      <c r="K312">
        <v>114.668</v>
      </c>
    </row>
    <row r="313" spans="1:11">
      <c r="A313">
        <v>42.628</v>
      </c>
      <c r="B313">
        <v>90.508</v>
      </c>
      <c r="C313">
        <v>82.432</v>
      </c>
      <c r="D313">
        <v>105.396</v>
      </c>
      <c r="E313">
        <v>116.949</v>
      </c>
      <c r="F313">
        <v>124.875</v>
      </c>
      <c r="G313">
        <v>143.119</v>
      </c>
      <c r="H313">
        <v>157.088</v>
      </c>
      <c r="I313">
        <v>124.569</v>
      </c>
      <c r="J313">
        <v>133.142</v>
      </c>
      <c r="K313">
        <v>134.881</v>
      </c>
    </row>
    <row r="314" spans="1:11">
      <c r="A314" t="s">
        <v>208</v>
      </c>
      <c r="B314" t="s">
        <v>8142</v>
      </c>
      <c r="C314" t="s">
        <v>8143</v>
      </c>
      <c r="D314" t="s">
        <v>8144</v>
      </c>
      <c r="E314" t="s">
        <v>8145</v>
      </c>
      <c r="F314" t="s">
        <v>8146</v>
      </c>
      <c r="G314" t="s">
        <v>8147</v>
      </c>
      <c r="H314" t="s">
        <v>8148</v>
      </c>
      <c r="I314" t="s">
        <v>8149</v>
      </c>
      <c r="J314" t="s">
        <v>8150</v>
      </c>
      <c r="K314" t="s">
        <v>8151</v>
      </c>
    </row>
    <row r="315" spans="1:11">
      <c r="A315" t="s">
        <v>8152</v>
      </c>
      <c r="B315" t="s">
        <v>8153</v>
      </c>
      <c r="C315" t="s">
        <v>8154</v>
      </c>
      <c r="D315" t="s">
        <v>8155</v>
      </c>
      <c r="E315" t="s">
        <v>8156</v>
      </c>
      <c r="F315" t="s">
        <v>8157</v>
      </c>
      <c r="G315" t="s">
        <v>8158</v>
      </c>
      <c r="H315" t="s">
        <v>8159</v>
      </c>
      <c r="I315" t="s">
        <v>8160</v>
      </c>
      <c r="J315" t="s">
        <v>8161</v>
      </c>
      <c r="K315" t="s">
        <v>238</v>
      </c>
    </row>
    <row r="316" spans="1:11">
      <c r="A316">
        <v>16.98</v>
      </c>
      <c r="B316">
        <v>20.1133</v>
      </c>
      <c r="C316">
        <v>19.72</v>
      </c>
      <c r="D316">
        <v>24.2333</v>
      </c>
      <c r="E316">
        <v>38.0467</v>
      </c>
      <c r="F316">
        <v>52.24</v>
      </c>
      <c r="G316">
        <v>56.7133</v>
      </c>
      <c r="H316">
        <v>81.42</v>
      </c>
      <c r="I316">
        <v>79.5267</v>
      </c>
      <c r="J316">
        <v>96.4467</v>
      </c>
      <c r="K316">
        <v>98.1</v>
      </c>
    </row>
    <row r="317" spans="1:11">
      <c r="A317" t="s">
        <v>97</v>
      </c>
      <c r="B317" t="s">
        <v>97</v>
      </c>
      <c r="C317" t="s">
        <v>97</v>
      </c>
      <c r="D317" t="s">
        <v>97</v>
      </c>
      <c r="E317" t="s">
        <v>97</v>
      </c>
      <c r="F317" t="s">
        <v>97</v>
      </c>
      <c r="G317" t="s">
        <v>97</v>
      </c>
      <c r="H317" t="s">
        <v>97</v>
      </c>
      <c r="I317" t="s">
        <v>97</v>
      </c>
      <c r="J317" t="s">
        <v>97</v>
      </c>
      <c r="K317" t="s">
        <v>97</v>
      </c>
    </row>
    <row r="318" spans="1:11">
      <c r="A318">
        <f t="shared" ref="A318:K318" si="15">AVERAGE(A286,A304)</f>
        <v>0.9520625</v>
      </c>
      <c r="B318">
        <f t="shared" si="15"/>
        <v>0.904331</v>
      </c>
      <c r="C318">
        <f t="shared" si="15"/>
        <v>0.8017015</v>
      </c>
      <c r="D318">
        <f t="shared" si="15"/>
        <v>0.5652805</v>
      </c>
      <c r="E318">
        <f t="shared" si="15"/>
        <v>0.459746</v>
      </c>
      <c r="F318">
        <f t="shared" si="15"/>
        <v>0.363238</v>
      </c>
      <c r="G318">
        <f t="shared" si="15"/>
        <v>0.314654</v>
      </c>
      <c r="H318">
        <f t="shared" si="15"/>
        <v>0.262713</v>
      </c>
      <c r="I318">
        <f t="shared" si="15"/>
        <v>0.2378205</v>
      </c>
      <c r="J318">
        <f t="shared" si="15"/>
        <v>0.207495</v>
      </c>
      <c r="K318">
        <f t="shared" si="15"/>
        <v>0.199243</v>
      </c>
    </row>
    <row r="319" spans="1:11">
      <c r="A319">
        <f t="shared" ref="A319:K319" si="16">AVERAGE(A293,A311)</f>
        <v>23.388</v>
      </c>
      <c r="B319">
        <f t="shared" si="16"/>
        <v>25.3725</v>
      </c>
      <c r="C319">
        <f t="shared" si="16"/>
        <v>29.1485</v>
      </c>
      <c r="D319">
        <f t="shared" si="16"/>
        <v>67.7485</v>
      </c>
      <c r="E319">
        <f t="shared" si="16"/>
        <v>103.468</v>
      </c>
      <c r="F319">
        <f t="shared" si="16"/>
        <v>107.548</v>
      </c>
      <c r="G319">
        <f t="shared" si="16"/>
        <v>110.012</v>
      </c>
      <c r="H319">
        <f t="shared" si="16"/>
        <v>112.783</v>
      </c>
      <c r="I319">
        <f t="shared" si="16"/>
        <v>110.6915</v>
      </c>
      <c r="J319">
        <f t="shared" si="16"/>
        <v>111.84</v>
      </c>
      <c r="K319">
        <f t="shared" si="16"/>
        <v>133.0155</v>
      </c>
    </row>
    <row r="320" spans="1:11">
      <c r="A320">
        <f t="shared" ref="A320:K320" si="17">AVERAGE(A294,A312)</f>
        <v>24.4715</v>
      </c>
      <c r="B320">
        <f t="shared" si="17"/>
        <v>28.08</v>
      </c>
      <c r="C320">
        <f t="shared" si="17"/>
        <v>55.949</v>
      </c>
      <c r="D320">
        <f t="shared" si="17"/>
        <v>87.6765</v>
      </c>
      <c r="E320">
        <f t="shared" si="17"/>
        <v>105.969</v>
      </c>
      <c r="F320">
        <f t="shared" si="17"/>
        <v>110.5285</v>
      </c>
      <c r="G320">
        <f t="shared" si="17"/>
        <v>115.6865</v>
      </c>
      <c r="H320">
        <f t="shared" si="17"/>
        <v>120.339</v>
      </c>
      <c r="I320">
        <f t="shared" si="17"/>
        <v>115.3835</v>
      </c>
      <c r="J320">
        <f t="shared" si="17"/>
        <v>116.6665</v>
      </c>
      <c r="K320">
        <f t="shared" si="17"/>
        <v>140.7565</v>
      </c>
    </row>
    <row r="321" spans="1:11">
      <c r="A321">
        <f t="shared" ref="A321:K321" si="18">AVERAGE(A295,A313)</f>
        <v>41.4265</v>
      </c>
      <c r="B321">
        <f t="shared" si="18"/>
        <v>63.661</v>
      </c>
      <c r="C321">
        <f t="shared" si="18"/>
        <v>80.318</v>
      </c>
      <c r="D321">
        <f t="shared" si="18"/>
        <v>107.7825</v>
      </c>
      <c r="E321">
        <f t="shared" si="18"/>
        <v>119.387</v>
      </c>
      <c r="F321">
        <f t="shared" si="18"/>
        <v>138.564</v>
      </c>
      <c r="G321">
        <f t="shared" si="18"/>
        <v>134.7195</v>
      </c>
      <c r="H321">
        <f t="shared" si="18"/>
        <v>140.966</v>
      </c>
      <c r="I321">
        <f t="shared" si="18"/>
        <v>135.9285</v>
      </c>
      <c r="J321">
        <f t="shared" si="18"/>
        <v>133.971</v>
      </c>
      <c r="K321">
        <f t="shared" si="18"/>
        <v>152.1095</v>
      </c>
    </row>
    <row r="322" spans="1:11">
      <c r="A322">
        <f t="shared" ref="A322:K322" si="19">AVERAGE(A316,A298)</f>
        <v>17.35335</v>
      </c>
      <c r="B322">
        <f t="shared" si="19"/>
        <v>18.77</v>
      </c>
      <c r="C322">
        <f t="shared" si="19"/>
        <v>20.13335</v>
      </c>
      <c r="D322">
        <f t="shared" si="19"/>
        <v>24.36665</v>
      </c>
      <c r="E322">
        <f t="shared" si="19"/>
        <v>38</v>
      </c>
      <c r="F322">
        <f t="shared" si="19"/>
        <v>52.50335</v>
      </c>
      <c r="G322">
        <f t="shared" si="19"/>
        <v>56.4333</v>
      </c>
      <c r="H322">
        <f t="shared" si="19"/>
        <v>79.21665</v>
      </c>
      <c r="I322">
        <f t="shared" si="19"/>
        <v>79.66</v>
      </c>
      <c r="J322">
        <f t="shared" si="19"/>
        <v>97.62335</v>
      </c>
      <c r="K322">
        <f t="shared" si="19"/>
        <v>105.0865</v>
      </c>
    </row>
    <row r="323" ht="15" customHeight="1" spans="1:10">
      <c r="A323" t="s">
        <v>7453</v>
      </c>
      <c r="B323" t="s">
        <v>7453</v>
      </c>
      <c r="C323" t="s">
        <v>7453</v>
      </c>
      <c r="D323" t="s">
        <v>7453</v>
      </c>
      <c r="E323" t="s">
        <v>7453</v>
      </c>
      <c r="F323" t="s">
        <v>7453</v>
      </c>
      <c r="G323" t="s">
        <v>7453</v>
      </c>
      <c r="H323" t="s">
        <v>7453</v>
      </c>
      <c r="I323" t="s">
        <v>7453</v>
      </c>
      <c r="J323" t="s">
        <v>7453</v>
      </c>
    </row>
    <row r="324" spans="1:10">
      <c r="A324" t="s">
        <v>42</v>
      </c>
      <c r="B324" t="s">
        <v>42</v>
      </c>
      <c r="C324" t="s">
        <v>42</v>
      </c>
      <c r="D324" t="s">
        <v>42</v>
      </c>
      <c r="E324" t="s">
        <v>42</v>
      </c>
      <c r="F324" t="s">
        <v>42</v>
      </c>
      <c r="G324" t="s">
        <v>42</v>
      </c>
      <c r="H324" t="s">
        <v>42</v>
      </c>
      <c r="I324" t="s">
        <v>42</v>
      </c>
      <c r="J324" t="s">
        <v>42</v>
      </c>
    </row>
    <row r="325" spans="1:10">
      <c r="A325" t="s">
        <v>8162</v>
      </c>
      <c r="B325" t="s">
        <v>8163</v>
      </c>
      <c r="C325" t="s">
        <v>8164</v>
      </c>
      <c r="D325" t="s">
        <v>8165</v>
      </c>
      <c r="E325" t="s">
        <v>8166</v>
      </c>
      <c r="F325" t="s">
        <v>8167</v>
      </c>
      <c r="G325" t="s">
        <v>8168</v>
      </c>
      <c r="H325" t="s">
        <v>8169</v>
      </c>
      <c r="I325" t="s">
        <v>8170</v>
      </c>
      <c r="J325" t="s">
        <v>8171</v>
      </c>
    </row>
    <row r="326" spans="1:10">
      <c r="A326">
        <v>1428.61</v>
      </c>
      <c r="B326">
        <v>1259.07</v>
      </c>
      <c r="C326">
        <v>1065.22</v>
      </c>
      <c r="D326">
        <v>826.712</v>
      </c>
      <c r="E326">
        <v>663.552</v>
      </c>
      <c r="F326">
        <v>540.359</v>
      </c>
      <c r="G326">
        <v>460.309</v>
      </c>
      <c r="H326">
        <v>389.429</v>
      </c>
      <c r="I326">
        <v>322.094</v>
      </c>
      <c r="J326">
        <v>295.003</v>
      </c>
    </row>
    <row r="327" spans="1:10">
      <c r="A327">
        <v>0.975826</v>
      </c>
      <c r="B327">
        <v>0.860018</v>
      </c>
      <c r="C327">
        <v>0.727607</v>
      </c>
      <c r="D327">
        <v>0.564694</v>
      </c>
      <c r="E327">
        <v>0.453246</v>
      </c>
      <c r="F327">
        <v>0.369098</v>
      </c>
      <c r="G327">
        <v>0.314419</v>
      </c>
      <c r="H327">
        <v>0.266003</v>
      </c>
      <c r="I327">
        <v>0.220009</v>
      </c>
      <c r="J327">
        <v>0.201505</v>
      </c>
    </row>
    <row r="328" spans="1:10">
      <c r="A328">
        <v>22.904</v>
      </c>
      <c r="B328" t="s">
        <v>8172</v>
      </c>
      <c r="C328" t="s">
        <v>8173</v>
      </c>
      <c r="D328" t="s">
        <v>8174</v>
      </c>
      <c r="E328" t="s">
        <v>8175</v>
      </c>
      <c r="F328" t="s">
        <v>8176</v>
      </c>
      <c r="G328" t="s">
        <v>8177</v>
      </c>
      <c r="H328" t="s">
        <v>8178</v>
      </c>
      <c r="I328" t="s">
        <v>8179</v>
      </c>
      <c r="J328" t="s">
        <v>8180</v>
      </c>
    </row>
    <row r="329" spans="1:10">
      <c r="A329">
        <v>24.152</v>
      </c>
      <c r="B329" t="s">
        <v>8181</v>
      </c>
      <c r="C329" t="s">
        <v>8182</v>
      </c>
      <c r="D329" t="s">
        <v>8183</v>
      </c>
      <c r="E329" t="s">
        <v>8184</v>
      </c>
      <c r="F329" t="s">
        <v>8185</v>
      </c>
      <c r="G329" t="s">
        <v>8186</v>
      </c>
      <c r="H329" t="s">
        <v>8187</v>
      </c>
      <c r="I329" t="s">
        <v>8188</v>
      </c>
      <c r="J329" t="s">
        <v>8189</v>
      </c>
    </row>
    <row r="330" spans="1:10">
      <c r="A330">
        <v>41.71</v>
      </c>
      <c r="B330" t="s">
        <v>8190</v>
      </c>
      <c r="C330" t="s">
        <v>8191</v>
      </c>
      <c r="D330" t="s">
        <v>8192</v>
      </c>
      <c r="E330" t="s">
        <v>8193</v>
      </c>
      <c r="F330" t="s">
        <v>8194</v>
      </c>
      <c r="G330" t="s">
        <v>8195</v>
      </c>
      <c r="H330" t="s">
        <v>8196</v>
      </c>
      <c r="I330" t="s">
        <v>8197</v>
      </c>
      <c r="J330" t="s">
        <v>8198</v>
      </c>
    </row>
    <row r="331" spans="1:10">
      <c r="A331">
        <v>22.904</v>
      </c>
      <c r="B331">
        <v>27.074</v>
      </c>
      <c r="C331">
        <v>26.04</v>
      </c>
      <c r="D331">
        <v>23.46</v>
      </c>
      <c r="E331">
        <v>23.89</v>
      </c>
      <c r="F331">
        <v>24.573</v>
      </c>
      <c r="G331">
        <v>23.282</v>
      </c>
      <c r="H331">
        <v>24.607</v>
      </c>
      <c r="I331">
        <v>16.985</v>
      </c>
      <c r="J331">
        <v>8.609</v>
      </c>
    </row>
    <row r="332" spans="1:10">
      <c r="A332">
        <v>24.152</v>
      </c>
      <c r="B332">
        <v>81.462</v>
      </c>
      <c r="C332">
        <v>78.696</v>
      </c>
      <c r="D332">
        <v>106.141</v>
      </c>
      <c r="E332">
        <v>113.034</v>
      </c>
      <c r="F332">
        <v>122.981</v>
      </c>
      <c r="G332">
        <v>123.339</v>
      </c>
      <c r="H332">
        <v>145.809</v>
      </c>
      <c r="I332">
        <v>146.068</v>
      </c>
      <c r="J332">
        <v>152.724</v>
      </c>
    </row>
    <row r="333" spans="1:10">
      <c r="A333">
        <v>41.71</v>
      </c>
      <c r="B333" t="s">
        <v>8199</v>
      </c>
      <c r="C333" t="s">
        <v>8200</v>
      </c>
      <c r="D333" t="s">
        <v>8201</v>
      </c>
      <c r="E333" t="s">
        <v>8202</v>
      </c>
      <c r="F333" t="s">
        <v>8203</v>
      </c>
      <c r="G333" t="s">
        <v>8204</v>
      </c>
      <c r="H333" t="s">
        <v>8205</v>
      </c>
      <c r="I333" t="s">
        <v>8206</v>
      </c>
      <c r="J333" t="s">
        <v>8207</v>
      </c>
    </row>
    <row r="334" spans="1:10">
      <c r="A334" t="s">
        <v>208</v>
      </c>
      <c r="B334" t="s">
        <v>8208</v>
      </c>
      <c r="C334" t="s">
        <v>8209</v>
      </c>
      <c r="D334" t="s">
        <v>8210</v>
      </c>
      <c r="E334" t="s">
        <v>8211</v>
      </c>
      <c r="F334" t="s">
        <v>8212</v>
      </c>
      <c r="G334" t="s">
        <v>8213</v>
      </c>
      <c r="H334" t="s">
        <v>8214</v>
      </c>
      <c r="I334" t="s">
        <v>8215</v>
      </c>
      <c r="J334" t="s">
        <v>8216</v>
      </c>
    </row>
    <row r="335" spans="1:10">
      <c r="A335" t="s">
        <v>8217</v>
      </c>
      <c r="B335">
        <v>21.36</v>
      </c>
      <c r="C335">
        <v>21.52</v>
      </c>
      <c r="D335">
        <v>24.2</v>
      </c>
      <c r="E335">
        <v>38.1533</v>
      </c>
      <c r="F335">
        <v>52.9867</v>
      </c>
      <c r="G335">
        <v>58.34</v>
      </c>
      <c r="H335">
        <v>79.2267</v>
      </c>
      <c r="I335">
        <v>113.973</v>
      </c>
      <c r="J335">
        <v>133.093</v>
      </c>
    </row>
    <row r="336" spans="1:10">
      <c r="A336">
        <v>18.1733</v>
      </c>
      <c r="B336" t="s">
        <v>97</v>
      </c>
      <c r="C336" t="s">
        <v>97</v>
      </c>
      <c r="D336" t="s">
        <v>97</v>
      </c>
      <c r="E336" t="s">
        <v>97</v>
      </c>
      <c r="F336" t="s">
        <v>97</v>
      </c>
      <c r="G336" t="s">
        <v>97</v>
      </c>
      <c r="H336" t="s">
        <v>97</v>
      </c>
      <c r="I336" t="s">
        <v>97</v>
      </c>
      <c r="J336" t="s">
        <v>97</v>
      </c>
    </row>
    <row r="337" spans="1:1">
      <c r="A337" t="s">
        <v>97</v>
      </c>
    </row>
    <row r="340" spans="1:2">
      <c r="A340" t="s">
        <v>8218</v>
      </c>
      <c r="B340" t="s">
        <v>19</v>
      </c>
    </row>
    <row r="341" spans="1:11">
      <c r="A341" s="3">
        <v>0</v>
      </c>
      <c r="B341" s="3">
        <v>10</v>
      </c>
      <c r="C341" s="3">
        <v>20</v>
      </c>
      <c r="D341" s="3">
        <v>30</v>
      </c>
      <c r="E341" s="3">
        <v>40</v>
      </c>
      <c r="F341" s="3">
        <v>50</v>
      </c>
      <c r="G341" s="3">
        <v>60</v>
      </c>
      <c r="H341" s="3">
        <v>70</v>
      </c>
      <c r="I341" s="3">
        <v>80</v>
      </c>
      <c r="J341" s="3">
        <v>90</v>
      </c>
      <c r="K341" s="3">
        <v>100</v>
      </c>
    </row>
    <row r="342" spans="1:11">
      <c r="A342" t="s">
        <v>104</v>
      </c>
      <c r="B342" t="s">
        <v>104</v>
      </c>
      <c r="C342" t="s">
        <v>104</v>
      </c>
      <c r="D342" t="s">
        <v>104</v>
      </c>
      <c r="E342" t="s">
        <v>104</v>
      </c>
      <c r="F342" t="s">
        <v>104</v>
      </c>
      <c r="G342" t="s">
        <v>104</v>
      </c>
      <c r="H342" t="s">
        <v>104</v>
      </c>
      <c r="I342" t="s">
        <v>104</v>
      </c>
      <c r="J342" t="s">
        <v>104</v>
      </c>
      <c r="K342" t="s">
        <v>104</v>
      </c>
    </row>
    <row r="343" spans="1:11">
      <c r="A343" t="s">
        <v>42</v>
      </c>
      <c r="B343" t="s">
        <v>42</v>
      </c>
      <c r="C343" t="s">
        <v>42</v>
      </c>
      <c r="D343" t="s">
        <v>42</v>
      </c>
      <c r="E343" t="s">
        <v>42</v>
      </c>
      <c r="F343" t="s">
        <v>42</v>
      </c>
      <c r="G343" t="s">
        <v>42</v>
      </c>
      <c r="H343" t="s">
        <v>42</v>
      </c>
      <c r="I343" t="s">
        <v>42</v>
      </c>
      <c r="J343" t="s">
        <v>42</v>
      </c>
      <c r="K343" t="s">
        <v>42</v>
      </c>
    </row>
    <row r="344" spans="1:11">
      <c r="A344" t="s">
        <v>43</v>
      </c>
      <c r="B344" t="s">
        <v>43</v>
      </c>
      <c r="C344" t="s">
        <v>43</v>
      </c>
      <c r="D344" t="s">
        <v>43</v>
      </c>
      <c r="E344" t="s">
        <v>43</v>
      </c>
      <c r="F344" t="s">
        <v>43</v>
      </c>
      <c r="G344" t="s">
        <v>43</v>
      </c>
      <c r="H344" t="s">
        <v>43</v>
      </c>
      <c r="I344" t="s">
        <v>43</v>
      </c>
      <c r="J344" t="s">
        <v>43</v>
      </c>
      <c r="K344" t="s">
        <v>43</v>
      </c>
    </row>
    <row r="345" spans="1:11">
      <c r="A345" t="s">
        <v>44</v>
      </c>
      <c r="B345" t="s">
        <v>44</v>
      </c>
      <c r="C345" t="s">
        <v>44</v>
      </c>
      <c r="D345" t="s">
        <v>44</v>
      </c>
      <c r="E345" t="s">
        <v>44</v>
      </c>
      <c r="F345" t="s">
        <v>44</v>
      </c>
      <c r="G345" t="s">
        <v>44</v>
      </c>
      <c r="H345" t="s">
        <v>44</v>
      </c>
      <c r="I345" t="s">
        <v>44</v>
      </c>
      <c r="J345" t="s">
        <v>44</v>
      </c>
      <c r="K345" t="s">
        <v>44</v>
      </c>
    </row>
    <row r="346" spans="1:11">
      <c r="A346" t="s">
        <v>8219</v>
      </c>
      <c r="B346" t="s">
        <v>8220</v>
      </c>
      <c r="C346" t="s">
        <v>8221</v>
      </c>
      <c r="D346" t="s">
        <v>8222</v>
      </c>
      <c r="E346" t="s">
        <v>8223</v>
      </c>
      <c r="F346" t="s">
        <v>8224</v>
      </c>
      <c r="G346" t="s">
        <v>8225</v>
      </c>
      <c r="H346" t="s">
        <v>8226</v>
      </c>
      <c r="I346" t="s">
        <v>8227</v>
      </c>
      <c r="J346" t="s">
        <v>8228</v>
      </c>
      <c r="K346" t="s">
        <v>8229</v>
      </c>
    </row>
    <row r="347" spans="1:11">
      <c r="A347">
        <v>2180.16</v>
      </c>
      <c r="B347">
        <v>2226.83</v>
      </c>
      <c r="C347">
        <v>2350.31</v>
      </c>
      <c r="D347">
        <v>2337.46</v>
      </c>
      <c r="E347">
        <v>2342.51</v>
      </c>
      <c r="F347">
        <v>2278.35</v>
      </c>
      <c r="G347">
        <v>2206.52</v>
      </c>
      <c r="H347">
        <v>2271.02</v>
      </c>
      <c r="I347">
        <v>2133.05</v>
      </c>
      <c r="J347">
        <v>2179.49</v>
      </c>
      <c r="K347">
        <v>2111.67</v>
      </c>
    </row>
    <row r="348" spans="1:11">
      <c r="A348">
        <v>1.47308</v>
      </c>
      <c r="B348">
        <v>1.50461</v>
      </c>
      <c r="C348">
        <v>1.58805</v>
      </c>
      <c r="D348">
        <v>1.57937</v>
      </c>
      <c r="E348">
        <v>1.58277</v>
      </c>
      <c r="F348">
        <v>1.53943</v>
      </c>
      <c r="G348">
        <v>1.49089</v>
      </c>
      <c r="H348">
        <v>1.53447</v>
      </c>
      <c r="I348">
        <v>1.44125</v>
      </c>
      <c r="J348">
        <v>1.47263</v>
      </c>
      <c r="K348">
        <v>1.4268</v>
      </c>
    </row>
    <row r="349" spans="1:11">
      <c r="A349" t="s">
        <v>8230</v>
      </c>
      <c r="B349" t="s">
        <v>8231</v>
      </c>
      <c r="C349" t="s">
        <v>8232</v>
      </c>
      <c r="D349" t="s">
        <v>8233</v>
      </c>
      <c r="E349" t="s">
        <v>8234</v>
      </c>
      <c r="F349" t="s">
        <v>8235</v>
      </c>
      <c r="G349" t="s">
        <v>8236</v>
      </c>
      <c r="H349" t="s">
        <v>8237</v>
      </c>
      <c r="I349" t="s">
        <v>8238</v>
      </c>
      <c r="J349" t="s">
        <v>8239</v>
      </c>
      <c r="K349" t="s">
        <v>8240</v>
      </c>
    </row>
    <row r="350" spans="1:11">
      <c r="A350" t="s">
        <v>8241</v>
      </c>
      <c r="B350" t="s">
        <v>8242</v>
      </c>
      <c r="C350" t="s">
        <v>8243</v>
      </c>
      <c r="D350" t="s">
        <v>8244</v>
      </c>
      <c r="E350" t="s">
        <v>8245</v>
      </c>
      <c r="F350" t="s">
        <v>8246</v>
      </c>
      <c r="G350" t="s">
        <v>8247</v>
      </c>
      <c r="H350" t="s">
        <v>8248</v>
      </c>
      <c r="I350" t="s">
        <v>8249</v>
      </c>
      <c r="J350" t="s">
        <v>8250</v>
      </c>
      <c r="K350" t="s">
        <v>8251</v>
      </c>
    </row>
    <row r="351" spans="1:11">
      <c r="A351" t="s">
        <v>8252</v>
      </c>
      <c r="B351" t="s">
        <v>8253</v>
      </c>
      <c r="C351" t="s">
        <v>8254</v>
      </c>
      <c r="D351" t="s">
        <v>8255</v>
      </c>
      <c r="E351" t="s">
        <v>8256</v>
      </c>
      <c r="F351" t="s">
        <v>8257</v>
      </c>
      <c r="G351" t="s">
        <v>8258</v>
      </c>
      <c r="H351" t="s">
        <v>8259</v>
      </c>
      <c r="I351" t="s">
        <v>8260</v>
      </c>
      <c r="J351" t="s">
        <v>8261</v>
      </c>
      <c r="K351" t="s">
        <v>8262</v>
      </c>
    </row>
    <row r="352" spans="2:10">
      <c r="B352" t="s">
        <v>8263</v>
      </c>
      <c r="C352" t="s">
        <v>8264</v>
      </c>
      <c r="D352" t="s">
        <v>8265</v>
      </c>
      <c r="E352" t="s">
        <v>8266</v>
      </c>
      <c r="F352" t="s">
        <v>8267</v>
      </c>
      <c r="G352" t="s">
        <v>8268</v>
      </c>
      <c r="H352" t="s">
        <v>8269</v>
      </c>
      <c r="I352" t="s">
        <v>8270</v>
      </c>
      <c r="J352" t="s">
        <v>8271</v>
      </c>
    </row>
    <row r="353" spans="2:10">
      <c r="B353" t="s">
        <v>8272</v>
      </c>
      <c r="C353" t="s">
        <v>8273</v>
      </c>
      <c r="D353" t="s">
        <v>8274</v>
      </c>
      <c r="E353" t="s">
        <v>8275</v>
      </c>
      <c r="F353" t="s">
        <v>8276</v>
      </c>
      <c r="G353" t="s">
        <v>8277</v>
      </c>
      <c r="H353" t="s">
        <v>8278</v>
      </c>
      <c r="I353" t="s">
        <v>8279</v>
      </c>
      <c r="J353" t="s">
        <v>8280</v>
      </c>
    </row>
    <row r="354" spans="2:10">
      <c r="B354" t="s">
        <v>8281</v>
      </c>
      <c r="C354" t="s">
        <v>8282</v>
      </c>
      <c r="D354" t="s">
        <v>8283</v>
      </c>
      <c r="E354" t="s">
        <v>8284</v>
      </c>
      <c r="F354" t="s">
        <v>8285</v>
      </c>
      <c r="G354" t="s">
        <v>8286</v>
      </c>
      <c r="H354" t="s">
        <v>8287</v>
      </c>
      <c r="I354" t="s">
        <v>8288</v>
      </c>
      <c r="J354" t="s">
        <v>8289</v>
      </c>
    </row>
    <row r="355" spans="1:11">
      <c r="A355">
        <v>21.382</v>
      </c>
      <c r="B355">
        <v>22.778</v>
      </c>
      <c r="C355">
        <v>20.145</v>
      </c>
      <c r="D355">
        <v>21.05</v>
      </c>
      <c r="E355">
        <v>20.232</v>
      </c>
      <c r="F355">
        <v>15.665</v>
      </c>
      <c r="G355">
        <v>19.501</v>
      </c>
      <c r="H355">
        <v>10.83</v>
      </c>
      <c r="I355">
        <v>10.175</v>
      </c>
      <c r="J355">
        <v>9.636</v>
      </c>
      <c r="K355">
        <v>10.938</v>
      </c>
    </row>
    <row r="356" spans="1:11">
      <c r="A356">
        <v>23.808</v>
      </c>
      <c r="B356">
        <v>24.818</v>
      </c>
      <c r="C356">
        <v>22.387</v>
      </c>
      <c r="D356">
        <v>24.32</v>
      </c>
      <c r="E356">
        <v>23.889</v>
      </c>
      <c r="F356">
        <v>18.736</v>
      </c>
      <c r="G356">
        <v>28.452</v>
      </c>
      <c r="H356">
        <v>12.281</v>
      </c>
      <c r="I356">
        <v>13.855</v>
      </c>
      <c r="J356">
        <v>10.462</v>
      </c>
      <c r="K356">
        <v>11.905</v>
      </c>
    </row>
    <row r="357" spans="1:11">
      <c r="A357">
        <v>33.767</v>
      </c>
      <c r="B357">
        <v>65.924</v>
      </c>
      <c r="C357">
        <v>32.491</v>
      </c>
      <c r="D357">
        <v>34.952</v>
      </c>
      <c r="E357">
        <v>35.288</v>
      </c>
      <c r="F357">
        <v>31.81</v>
      </c>
      <c r="G357">
        <v>38.961</v>
      </c>
      <c r="H357">
        <v>42.17</v>
      </c>
      <c r="I357">
        <v>27.998</v>
      </c>
      <c r="J357">
        <v>33.238</v>
      </c>
      <c r="K357">
        <v>26.073</v>
      </c>
    </row>
    <row r="358" spans="1:11">
      <c r="A358" t="s">
        <v>208</v>
      </c>
      <c r="B358" t="s">
        <v>8290</v>
      </c>
      <c r="C358" t="s">
        <v>8291</v>
      </c>
      <c r="D358" t="s">
        <v>8292</v>
      </c>
      <c r="E358" t="s">
        <v>8293</v>
      </c>
      <c r="F358" t="s">
        <v>8294</v>
      </c>
      <c r="G358" t="s">
        <v>8295</v>
      </c>
      <c r="H358" t="s">
        <v>8296</v>
      </c>
      <c r="I358" t="s">
        <v>8297</v>
      </c>
      <c r="J358" t="s">
        <v>8298</v>
      </c>
      <c r="K358" t="s">
        <v>8299</v>
      </c>
    </row>
    <row r="359" spans="1:11">
      <c r="A359" t="s">
        <v>8300</v>
      </c>
      <c r="B359" t="s">
        <v>8301</v>
      </c>
      <c r="C359" t="s">
        <v>8302</v>
      </c>
      <c r="D359" t="s">
        <v>8303</v>
      </c>
      <c r="E359" t="s">
        <v>8304</v>
      </c>
      <c r="F359" t="s">
        <v>8305</v>
      </c>
      <c r="G359" t="s">
        <v>8306</v>
      </c>
      <c r="H359" t="s">
        <v>8307</v>
      </c>
      <c r="I359" t="s">
        <v>8308</v>
      </c>
      <c r="J359" t="s">
        <v>8309</v>
      </c>
      <c r="K359" t="s">
        <v>238</v>
      </c>
    </row>
    <row r="360" spans="1:11">
      <c r="A360">
        <v>13.7467</v>
      </c>
      <c r="B360">
        <v>15.2867</v>
      </c>
      <c r="C360">
        <v>11.4933</v>
      </c>
      <c r="D360">
        <v>11.9467</v>
      </c>
      <c r="E360">
        <v>10.7667</v>
      </c>
      <c r="F360">
        <v>9.5</v>
      </c>
      <c r="G360">
        <v>9.64</v>
      </c>
      <c r="H360">
        <v>8.4</v>
      </c>
      <c r="I360">
        <v>8.24</v>
      </c>
      <c r="J360">
        <v>8.46667</v>
      </c>
      <c r="K360">
        <v>8.69333</v>
      </c>
    </row>
    <row r="361" spans="1:11">
      <c r="A361" t="s">
        <v>97</v>
      </c>
      <c r="B361" t="s">
        <v>97</v>
      </c>
      <c r="C361" t="s">
        <v>97</v>
      </c>
      <c r="D361" t="s">
        <v>97</v>
      </c>
      <c r="E361" t="s">
        <v>97</v>
      </c>
      <c r="F361" t="s">
        <v>97</v>
      </c>
      <c r="G361" t="s">
        <v>243</v>
      </c>
      <c r="H361" t="s">
        <v>375</v>
      </c>
      <c r="I361" t="s">
        <v>97</v>
      </c>
      <c r="J361" t="s">
        <v>97</v>
      </c>
      <c r="K361" t="s">
        <v>97</v>
      </c>
    </row>
    <row r="362" spans="1:11">
      <c r="A362">
        <v>2180.16</v>
      </c>
      <c r="B362">
        <v>2226.83</v>
      </c>
      <c r="C362">
        <v>2350.31</v>
      </c>
      <c r="D362">
        <v>2337.46</v>
      </c>
      <c r="E362">
        <v>2342.51</v>
      </c>
      <c r="F362">
        <v>2278.35</v>
      </c>
      <c r="G362">
        <v>2206.52</v>
      </c>
      <c r="H362">
        <v>2271.02</v>
      </c>
      <c r="I362">
        <v>2133.05</v>
      </c>
      <c r="J362">
        <v>2179.49</v>
      </c>
      <c r="K362">
        <v>2111.67</v>
      </c>
    </row>
    <row r="363" spans="1:11">
      <c r="A363">
        <v>1.47308</v>
      </c>
      <c r="B363">
        <v>1.50461</v>
      </c>
      <c r="C363">
        <v>1.58805</v>
      </c>
      <c r="D363">
        <v>1.57937</v>
      </c>
      <c r="E363">
        <v>1.58277</v>
      </c>
      <c r="F363">
        <v>1.53943</v>
      </c>
      <c r="G363">
        <v>1.49089</v>
      </c>
      <c r="H363">
        <v>1.53447</v>
      </c>
      <c r="I363">
        <v>1.44125</v>
      </c>
      <c r="J363">
        <v>1.47263</v>
      </c>
      <c r="K363">
        <v>1.4268</v>
      </c>
    </row>
    <row r="364" spans="1:11">
      <c r="A364">
        <v>21.382</v>
      </c>
      <c r="B364">
        <v>22.778</v>
      </c>
      <c r="C364">
        <v>20.145</v>
      </c>
      <c r="D364">
        <v>21.05</v>
      </c>
      <c r="E364">
        <v>20.232</v>
      </c>
      <c r="F364">
        <v>15.665</v>
      </c>
      <c r="G364">
        <v>19.501</v>
      </c>
      <c r="H364">
        <v>10.83</v>
      </c>
      <c r="I364">
        <v>10.175</v>
      </c>
      <c r="J364">
        <v>9.636</v>
      </c>
      <c r="K364">
        <v>10.938</v>
      </c>
    </row>
    <row r="365" spans="1:11">
      <c r="A365">
        <v>23.808</v>
      </c>
      <c r="B365">
        <v>24.818</v>
      </c>
      <c r="C365">
        <v>22.387</v>
      </c>
      <c r="D365">
        <v>24.32</v>
      </c>
      <c r="E365">
        <v>23.889</v>
      </c>
      <c r="F365">
        <v>18.736</v>
      </c>
      <c r="G365">
        <v>28.452</v>
      </c>
      <c r="H365">
        <v>12.281</v>
      </c>
      <c r="I365">
        <v>13.855</v>
      </c>
      <c r="J365">
        <v>10.462</v>
      </c>
      <c r="K365">
        <v>11.905</v>
      </c>
    </row>
    <row r="366" spans="1:11">
      <c r="A366">
        <v>33.767</v>
      </c>
      <c r="B366">
        <v>65.924</v>
      </c>
      <c r="C366">
        <v>32.491</v>
      </c>
      <c r="D366">
        <v>34.952</v>
      </c>
      <c r="E366">
        <v>35.288</v>
      </c>
      <c r="F366">
        <v>31.81</v>
      </c>
      <c r="G366">
        <v>38.961</v>
      </c>
      <c r="H366">
        <v>42.17</v>
      </c>
      <c r="I366">
        <v>27.998</v>
      </c>
      <c r="J366">
        <v>33.238</v>
      </c>
      <c r="K366">
        <v>26.073</v>
      </c>
    </row>
    <row r="367" spans="1:11">
      <c r="A367">
        <v>13.7467</v>
      </c>
      <c r="B367">
        <v>15.2867</v>
      </c>
      <c r="C367">
        <v>11.4933</v>
      </c>
      <c r="D367">
        <v>11.9467</v>
      </c>
      <c r="E367">
        <v>10.7667</v>
      </c>
      <c r="F367">
        <v>9.5</v>
      </c>
      <c r="G367">
        <v>9.64</v>
      </c>
      <c r="H367">
        <v>8.4</v>
      </c>
      <c r="I367">
        <v>8.24</v>
      </c>
      <c r="J367">
        <v>8.46667</v>
      </c>
      <c r="K367">
        <v>8.69333</v>
      </c>
    </row>
    <row r="409" spans="1:2">
      <c r="A409" t="s">
        <v>8218</v>
      </c>
      <c r="B409" t="s">
        <v>8039</v>
      </c>
    </row>
    <row r="410" spans="1:11">
      <c r="A410" s="3">
        <v>0</v>
      </c>
      <c r="B410" s="3">
        <v>10</v>
      </c>
      <c r="C410" s="3">
        <v>20</v>
      </c>
      <c r="D410" s="3">
        <v>30</v>
      </c>
      <c r="E410" s="3">
        <v>40</v>
      </c>
      <c r="F410" s="3">
        <v>50</v>
      </c>
      <c r="G410" s="3">
        <v>60</v>
      </c>
      <c r="H410" s="3">
        <v>70</v>
      </c>
      <c r="I410" s="3">
        <v>80</v>
      </c>
      <c r="J410" s="3">
        <v>90</v>
      </c>
      <c r="K410" s="3">
        <v>100</v>
      </c>
    </row>
    <row r="411" spans="1:11">
      <c r="A411" t="s">
        <v>104</v>
      </c>
      <c r="B411" t="s">
        <v>104</v>
      </c>
      <c r="C411" t="s">
        <v>104</v>
      </c>
      <c r="D411" t="s">
        <v>104</v>
      </c>
      <c r="E411" t="s">
        <v>104</v>
      </c>
      <c r="G411" t="s">
        <v>104</v>
      </c>
      <c r="H411" t="s">
        <v>104</v>
      </c>
      <c r="I411" t="s">
        <v>104</v>
      </c>
      <c r="J411" t="s">
        <v>104</v>
      </c>
      <c r="K411" t="s">
        <v>104</v>
      </c>
    </row>
    <row r="412" spans="1:11">
      <c r="A412" t="s">
        <v>42</v>
      </c>
      <c r="B412" t="s">
        <v>42</v>
      </c>
      <c r="C412" t="s">
        <v>42</v>
      </c>
      <c r="D412" t="s">
        <v>42</v>
      </c>
      <c r="E412" t="s">
        <v>42</v>
      </c>
      <c r="F412" t="s">
        <v>42</v>
      </c>
      <c r="G412" t="s">
        <v>42</v>
      </c>
      <c r="H412" t="s">
        <v>42</v>
      </c>
      <c r="I412" t="s">
        <v>42</v>
      </c>
      <c r="J412" t="s">
        <v>42</v>
      </c>
      <c r="K412" t="s">
        <v>42</v>
      </c>
    </row>
    <row r="413" spans="1:11">
      <c r="A413" t="s">
        <v>43</v>
      </c>
      <c r="B413" t="s">
        <v>43</v>
      </c>
      <c r="C413" t="s">
        <v>43</v>
      </c>
      <c r="D413" t="s">
        <v>43</v>
      </c>
      <c r="E413" t="s">
        <v>43</v>
      </c>
      <c r="F413" t="s">
        <v>43</v>
      </c>
      <c r="G413" t="s">
        <v>43</v>
      </c>
      <c r="H413" t="s">
        <v>43</v>
      </c>
      <c r="I413" t="s">
        <v>43</v>
      </c>
      <c r="J413" t="s">
        <v>43</v>
      </c>
      <c r="K413" t="s">
        <v>43</v>
      </c>
    </row>
    <row r="414" spans="1:11">
      <c r="A414" t="s">
        <v>44</v>
      </c>
      <c r="B414" t="s">
        <v>44</v>
      </c>
      <c r="C414" t="s">
        <v>44</v>
      </c>
      <c r="D414" t="s">
        <v>44</v>
      </c>
      <c r="E414" t="s">
        <v>44</v>
      </c>
      <c r="F414" t="s">
        <v>44</v>
      </c>
      <c r="G414" t="s">
        <v>44</v>
      </c>
      <c r="H414" t="s">
        <v>44</v>
      </c>
      <c r="I414" t="s">
        <v>44</v>
      </c>
      <c r="J414" t="s">
        <v>44</v>
      </c>
      <c r="K414" t="s">
        <v>44</v>
      </c>
    </row>
    <row r="415" spans="1:11">
      <c r="A415" t="s">
        <v>8310</v>
      </c>
      <c r="B415" t="s">
        <v>8311</v>
      </c>
      <c r="C415" t="s">
        <v>8312</v>
      </c>
      <c r="D415" t="s">
        <v>8313</v>
      </c>
      <c r="E415" t="s">
        <v>8314</v>
      </c>
      <c r="F415" t="s">
        <v>8315</v>
      </c>
      <c r="G415" t="s">
        <v>8316</v>
      </c>
      <c r="H415" t="s">
        <v>8317</v>
      </c>
      <c r="I415" t="s">
        <v>8318</v>
      </c>
      <c r="J415" t="s">
        <v>8319</v>
      </c>
      <c r="K415" t="s">
        <v>8320</v>
      </c>
    </row>
    <row r="416" spans="1:11">
      <c r="A416">
        <v>881.836</v>
      </c>
      <c r="B416">
        <v>952.987</v>
      </c>
      <c r="C416">
        <v>1044.01</v>
      </c>
      <c r="D416">
        <v>1139.79</v>
      </c>
      <c r="E416">
        <v>1279.09</v>
      </c>
      <c r="F416">
        <v>1349.93</v>
      </c>
      <c r="G416">
        <v>1500.2</v>
      </c>
      <c r="H416">
        <v>1552.85</v>
      </c>
      <c r="I416">
        <v>1603.12</v>
      </c>
      <c r="J416">
        <v>1685.97</v>
      </c>
      <c r="K416">
        <v>2186.47</v>
      </c>
    </row>
    <row r="417" spans="1:11">
      <c r="A417">
        <v>0.595835</v>
      </c>
      <c r="B417">
        <v>0.64391</v>
      </c>
      <c r="C417">
        <v>0.705415</v>
      </c>
      <c r="D417">
        <v>0.770127</v>
      </c>
      <c r="E417">
        <v>0.864253</v>
      </c>
      <c r="F417">
        <v>0.912112</v>
      </c>
      <c r="G417">
        <v>1.01365</v>
      </c>
      <c r="H417">
        <v>1.04922</v>
      </c>
      <c r="I417">
        <v>1.08319</v>
      </c>
      <c r="J417">
        <v>1.13917</v>
      </c>
      <c r="K417">
        <v>1.47734</v>
      </c>
    </row>
    <row r="418" spans="1:11">
      <c r="A418">
        <v>65.365</v>
      </c>
      <c r="B418" t="s">
        <v>8321</v>
      </c>
      <c r="C418" t="s">
        <v>8322</v>
      </c>
      <c r="D418" t="s">
        <v>8323</v>
      </c>
      <c r="E418" t="s">
        <v>8324</v>
      </c>
      <c r="F418" t="s">
        <v>8325</v>
      </c>
      <c r="G418" t="s">
        <v>8326</v>
      </c>
      <c r="H418" t="s">
        <v>8327</v>
      </c>
      <c r="I418" t="s">
        <v>8328</v>
      </c>
      <c r="J418" t="s">
        <v>8329</v>
      </c>
      <c r="K418" t="s">
        <v>8330</v>
      </c>
    </row>
    <row r="419" spans="1:11">
      <c r="A419">
        <v>66.835</v>
      </c>
      <c r="B419" t="s">
        <v>8331</v>
      </c>
      <c r="C419" t="s">
        <v>8332</v>
      </c>
      <c r="D419" t="s">
        <v>8333</v>
      </c>
      <c r="E419" t="s">
        <v>8334</v>
      </c>
      <c r="F419" t="s">
        <v>8335</v>
      </c>
      <c r="G419" t="s">
        <v>8336</v>
      </c>
      <c r="H419" t="s">
        <v>8337</v>
      </c>
      <c r="I419" t="s">
        <v>8338</v>
      </c>
      <c r="J419" t="s">
        <v>8339</v>
      </c>
      <c r="K419" t="s">
        <v>8340</v>
      </c>
    </row>
    <row r="420" spans="1:11">
      <c r="A420">
        <v>100.878</v>
      </c>
      <c r="B420" t="s">
        <v>8341</v>
      </c>
      <c r="C420" t="s">
        <v>8342</v>
      </c>
      <c r="D420" t="s">
        <v>8343</v>
      </c>
      <c r="E420" t="s">
        <v>8344</v>
      </c>
      <c r="F420" t="s">
        <v>8345</v>
      </c>
      <c r="G420" t="s">
        <v>8346</v>
      </c>
      <c r="H420" t="s">
        <v>8347</v>
      </c>
      <c r="I420" t="s">
        <v>8348</v>
      </c>
      <c r="J420" t="s">
        <v>8349</v>
      </c>
      <c r="K420" t="s">
        <v>8350</v>
      </c>
    </row>
    <row r="421" spans="1:11">
      <c r="A421">
        <v>65.365</v>
      </c>
      <c r="B421">
        <v>52.811</v>
      </c>
      <c r="C421">
        <v>52.485</v>
      </c>
      <c r="D421">
        <v>45.249</v>
      </c>
      <c r="E421">
        <v>45.507</v>
      </c>
      <c r="F421">
        <v>36.466</v>
      </c>
      <c r="G421">
        <v>45.482</v>
      </c>
      <c r="H421">
        <v>41.536</v>
      </c>
      <c r="I421">
        <v>49.359</v>
      </c>
      <c r="J421">
        <v>45.293</v>
      </c>
      <c r="K421">
        <v>9.851</v>
      </c>
    </row>
    <row r="422" spans="1:11">
      <c r="A422">
        <v>66.835</v>
      </c>
      <c r="B422">
        <v>61.647</v>
      </c>
      <c r="C422">
        <v>60.752</v>
      </c>
      <c r="D422">
        <v>52.937</v>
      </c>
      <c r="E422">
        <v>57.889</v>
      </c>
      <c r="F422">
        <v>44.301</v>
      </c>
      <c r="G422">
        <v>47.389</v>
      </c>
      <c r="H422">
        <v>50.166</v>
      </c>
      <c r="I422">
        <v>54.549</v>
      </c>
      <c r="J422">
        <v>52.513</v>
      </c>
      <c r="K422">
        <v>13.431</v>
      </c>
    </row>
    <row r="423" spans="1:11">
      <c r="A423">
        <v>100.878</v>
      </c>
      <c r="B423">
        <v>291.219</v>
      </c>
      <c r="C423">
        <v>194.95</v>
      </c>
      <c r="D423">
        <v>177.965</v>
      </c>
      <c r="E423">
        <v>195.273</v>
      </c>
      <c r="F423">
        <v>63.76</v>
      </c>
      <c r="G423">
        <v>127.063</v>
      </c>
      <c r="H423">
        <v>149.743</v>
      </c>
      <c r="I423">
        <v>63.012</v>
      </c>
      <c r="J423">
        <v>52.513</v>
      </c>
      <c r="K423">
        <v>45.076</v>
      </c>
    </row>
    <row r="424" spans="1:11">
      <c r="A424" t="s">
        <v>208</v>
      </c>
      <c r="B424">
        <v>52.637</v>
      </c>
      <c r="C424">
        <v>52.095</v>
      </c>
      <c r="D424">
        <v>37.211</v>
      </c>
      <c r="E424">
        <v>43.034</v>
      </c>
      <c r="F424">
        <v>31.977</v>
      </c>
      <c r="G424">
        <v>37.135</v>
      </c>
      <c r="H424">
        <v>31.747</v>
      </c>
      <c r="I424">
        <v>26.136</v>
      </c>
      <c r="J424">
        <v>13.53</v>
      </c>
      <c r="K424" t="s">
        <v>8351</v>
      </c>
    </row>
    <row r="425" spans="1:11">
      <c r="A425" t="s">
        <v>8352</v>
      </c>
      <c r="B425">
        <v>61.562</v>
      </c>
      <c r="C425">
        <v>60.03</v>
      </c>
      <c r="D425">
        <v>52.029</v>
      </c>
      <c r="E425">
        <v>49.664</v>
      </c>
      <c r="F425">
        <v>36.466</v>
      </c>
      <c r="G425">
        <v>42.16</v>
      </c>
      <c r="H425">
        <v>37.177</v>
      </c>
      <c r="I425">
        <v>43.013</v>
      </c>
      <c r="J425">
        <v>28.349</v>
      </c>
      <c r="K425" t="s">
        <v>238</v>
      </c>
    </row>
    <row r="426" spans="1:11">
      <c r="A426">
        <v>38.5667</v>
      </c>
      <c r="B426">
        <v>291.219</v>
      </c>
      <c r="C426">
        <v>194.95</v>
      </c>
      <c r="D426">
        <v>177.965</v>
      </c>
      <c r="E426">
        <v>137.722</v>
      </c>
      <c r="F426">
        <v>50.993</v>
      </c>
      <c r="G426">
        <v>61.447</v>
      </c>
      <c r="H426">
        <v>104.363</v>
      </c>
      <c r="I426">
        <v>54.549</v>
      </c>
      <c r="J426">
        <v>52.513</v>
      </c>
      <c r="K426">
        <v>8.54</v>
      </c>
    </row>
    <row r="427" spans="1:11">
      <c r="A427" t="s">
        <v>97</v>
      </c>
      <c r="B427" t="s">
        <v>8353</v>
      </c>
      <c r="C427" t="s">
        <v>8354</v>
      </c>
      <c r="D427" t="s">
        <v>8355</v>
      </c>
      <c r="E427" t="s">
        <v>8356</v>
      </c>
      <c r="F427" t="s">
        <v>8357</v>
      </c>
      <c r="G427" t="s">
        <v>8358</v>
      </c>
      <c r="H427" t="s">
        <v>8359</v>
      </c>
      <c r="I427" t="s">
        <v>8360</v>
      </c>
      <c r="J427" t="s">
        <v>8361</v>
      </c>
      <c r="K427" t="s">
        <v>97</v>
      </c>
    </row>
    <row r="428" spans="1:11">
      <c r="A428" t="s">
        <v>104</v>
      </c>
      <c r="B428" t="s">
        <v>8362</v>
      </c>
      <c r="C428" t="s">
        <v>8363</v>
      </c>
      <c r="D428" t="s">
        <v>8364</v>
      </c>
      <c r="E428" t="s">
        <v>8365</v>
      </c>
      <c r="F428" t="s">
        <v>8366</v>
      </c>
      <c r="G428" t="s">
        <v>8367</v>
      </c>
      <c r="H428" t="s">
        <v>8368</v>
      </c>
      <c r="I428" t="s">
        <v>8369</v>
      </c>
      <c r="J428" t="s">
        <v>8370</v>
      </c>
      <c r="K428" t="s">
        <v>104</v>
      </c>
    </row>
    <row r="429" spans="1:11">
      <c r="A429" t="s">
        <v>42</v>
      </c>
      <c r="B429">
        <v>33.2667</v>
      </c>
      <c r="C429">
        <v>29.5667</v>
      </c>
      <c r="D429">
        <v>23.7067</v>
      </c>
      <c r="E429">
        <v>22.14</v>
      </c>
      <c r="F429">
        <v>14.4933</v>
      </c>
      <c r="G429">
        <v>14.6533</v>
      </c>
      <c r="H429">
        <v>12.6067</v>
      </c>
      <c r="I429">
        <v>11.26</v>
      </c>
      <c r="J429">
        <v>9.6</v>
      </c>
      <c r="K429" t="s">
        <v>42</v>
      </c>
    </row>
    <row r="430" spans="1:11">
      <c r="A430" t="s">
        <v>43</v>
      </c>
      <c r="B430" t="s">
        <v>97</v>
      </c>
      <c r="C430" t="s">
        <v>97</v>
      </c>
      <c r="D430" t="s">
        <v>243</v>
      </c>
      <c r="E430" t="s">
        <v>97</v>
      </c>
      <c r="F430" t="s">
        <v>97</v>
      </c>
      <c r="G430" t="s">
        <v>97</v>
      </c>
      <c r="H430" t="s">
        <v>97</v>
      </c>
      <c r="I430" t="s">
        <v>97</v>
      </c>
      <c r="J430" t="s">
        <v>97</v>
      </c>
      <c r="K430" t="s">
        <v>43</v>
      </c>
    </row>
    <row r="431" spans="1:11">
      <c r="A431" t="s">
        <v>44</v>
      </c>
      <c r="B431" t="s">
        <v>104</v>
      </c>
      <c r="C431" t="s">
        <v>104</v>
      </c>
      <c r="D431" t="s">
        <v>104</v>
      </c>
      <c r="E431" t="s">
        <v>104</v>
      </c>
      <c r="F431" t="s">
        <v>104</v>
      </c>
      <c r="G431" t="s">
        <v>104</v>
      </c>
      <c r="H431" t="s">
        <v>104</v>
      </c>
      <c r="I431" t="s">
        <v>104</v>
      </c>
      <c r="J431" t="s">
        <v>104</v>
      </c>
      <c r="K431" t="s">
        <v>44</v>
      </c>
    </row>
    <row r="432" spans="1:11">
      <c r="A432" t="s">
        <v>8371</v>
      </c>
      <c r="B432" t="s">
        <v>42</v>
      </c>
      <c r="C432" t="s">
        <v>42</v>
      </c>
      <c r="D432" t="s">
        <v>42</v>
      </c>
      <c r="E432" t="s">
        <v>42</v>
      </c>
      <c r="F432" t="s">
        <v>42</v>
      </c>
      <c r="G432" t="s">
        <v>42</v>
      </c>
      <c r="H432" t="s">
        <v>42</v>
      </c>
      <c r="I432" t="s">
        <v>42</v>
      </c>
      <c r="J432" t="s">
        <v>42</v>
      </c>
      <c r="K432" t="s">
        <v>8372</v>
      </c>
    </row>
    <row r="433" spans="1:11">
      <c r="A433">
        <v>882.572</v>
      </c>
      <c r="B433" t="s">
        <v>43</v>
      </c>
      <c r="C433" t="s">
        <v>43</v>
      </c>
      <c r="D433" t="s">
        <v>43</v>
      </c>
      <c r="E433" t="s">
        <v>43</v>
      </c>
      <c r="F433" t="s">
        <v>43</v>
      </c>
      <c r="G433" t="s">
        <v>43</v>
      </c>
      <c r="H433" t="s">
        <v>43</v>
      </c>
      <c r="I433" t="s">
        <v>43</v>
      </c>
      <c r="J433" t="s">
        <v>43</v>
      </c>
      <c r="K433">
        <v>2162.68</v>
      </c>
    </row>
    <row r="434" spans="1:11">
      <c r="A434">
        <v>0.596332</v>
      </c>
      <c r="B434" t="s">
        <v>44</v>
      </c>
      <c r="C434" t="s">
        <v>44</v>
      </c>
      <c r="D434" t="s">
        <v>44</v>
      </c>
      <c r="E434" t="s">
        <v>44</v>
      </c>
      <c r="F434" t="s">
        <v>44</v>
      </c>
      <c r="G434" t="s">
        <v>44</v>
      </c>
      <c r="H434" t="s">
        <v>44</v>
      </c>
      <c r="I434" t="s">
        <v>44</v>
      </c>
      <c r="J434" t="s">
        <v>44</v>
      </c>
      <c r="K434">
        <v>1.46127</v>
      </c>
    </row>
    <row r="435" spans="1:11">
      <c r="A435">
        <v>60.262</v>
      </c>
      <c r="B435" t="s">
        <v>8373</v>
      </c>
      <c r="C435" t="s">
        <v>8374</v>
      </c>
      <c r="D435" t="s">
        <v>8375</v>
      </c>
      <c r="E435" t="s">
        <v>8376</v>
      </c>
      <c r="F435" t="s">
        <v>8377</v>
      </c>
      <c r="G435" t="s">
        <v>8378</v>
      </c>
      <c r="H435" t="s">
        <v>8379</v>
      </c>
      <c r="I435" t="s">
        <v>8380</v>
      </c>
      <c r="J435" t="s">
        <v>8381</v>
      </c>
      <c r="K435" t="s">
        <v>8382</v>
      </c>
    </row>
    <row r="436" spans="1:11">
      <c r="A436">
        <v>66.416</v>
      </c>
      <c r="B436">
        <v>951.852</v>
      </c>
      <c r="C436">
        <v>1044.5</v>
      </c>
      <c r="D436">
        <v>1133.23</v>
      </c>
      <c r="E436">
        <v>1261.6</v>
      </c>
      <c r="F436">
        <v>1361.52</v>
      </c>
      <c r="G436">
        <v>1500.63</v>
      </c>
      <c r="H436">
        <v>1541.26</v>
      </c>
      <c r="I436">
        <v>1618.06</v>
      </c>
      <c r="J436">
        <v>1698.07</v>
      </c>
      <c r="K436" t="s">
        <v>8383</v>
      </c>
    </row>
    <row r="437" spans="1:11">
      <c r="A437">
        <v>101.91</v>
      </c>
      <c r="B437">
        <v>0.643143</v>
      </c>
      <c r="C437">
        <v>0.705746</v>
      </c>
      <c r="D437">
        <v>0.765696</v>
      </c>
      <c r="E437">
        <v>0.852434</v>
      </c>
      <c r="F437">
        <v>0.919943</v>
      </c>
      <c r="G437">
        <v>1.01394</v>
      </c>
      <c r="H437">
        <v>1.04139</v>
      </c>
      <c r="I437">
        <v>1.09329</v>
      </c>
      <c r="J437">
        <v>1.14735</v>
      </c>
      <c r="K437" t="s">
        <v>8384</v>
      </c>
    </row>
    <row r="438" spans="1:11">
      <c r="A438">
        <v>60.262</v>
      </c>
      <c r="B438" t="s">
        <v>8385</v>
      </c>
      <c r="C438" t="s">
        <v>8386</v>
      </c>
      <c r="D438" t="s">
        <v>8387</v>
      </c>
      <c r="E438" t="s">
        <v>8388</v>
      </c>
      <c r="F438" t="s">
        <v>8389</v>
      </c>
      <c r="G438" t="s">
        <v>8390</v>
      </c>
      <c r="H438" t="s">
        <v>8391</v>
      </c>
      <c r="I438" t="s">
        <v>8392</v>
      </c>
      <c r="J438" t="s">
        <v>8393</v>
      </c>
      <c r="K438">
        <v>15.343</v>
      </c>
    </row>
    <row r="439" spans="1:11">
      <c r="A439">
        <v>66.416</v>
      </c>
      <c r="B439" t="s">
        <v>8394</v>
      </c>
      <c r="C439" t="s">
        <v>8395</v>
      </c>
      <c r="D439" t="s">
        <v>8396</v>
      </c>
      <c r="E439" t="s">
        <v>8397</v>
      </c>
      <c r="F439" t="s">
        <v>8398</v>
      </c>
      <c r="G439" t="s">
        <v>8399</v>
      </c>
      <c r="H439" t="s">
        <v>8400</v>
      </c>
      <c r="I439" t="s">
        <v>8401</v>
      </c>
      <c r="J439" t="s">
        <v>8402</v>
      </c>
      <c r="K439">
        <v>37.573</v>
      </c>
    </row>
    <row r="440" spans="1:11">
      <c r="A440">
        <v>101.91</v>
      </c>
      <c r="B440" t="s">
        <v>8403</v>
      </c>
      <c r="C440" t="s">
        <v>8404</v>
      </c>
      <c r="D440" t="s">
        <v>8405</v>
      </c>
      <c r="E440" t="s">
        <v>8406</v>
      </c>
      <c r="F440" t="s">
        <v>8407</v>
      </c>
      <c r="G440" t="s">
        <v>8408</v>
      </c>
      <c r="H440" t="s">
        <v>8409</v>
      </c>
      <c r="I440" t="s">
        <v>8410</v>
      </c>
      <c r="J440" t="s">
        <v>8411</v>
      </c>
      <c r="K440">
        <v>98.407</v>
      </c>
    </row>
    <row r="441" spans="1:11">
      <c r="A441" t="s">
        <v>208</v>
      </c>
      <c r="B441">
        <v>58.378</v>
      </c>
      <c r="C441">
        <v>47.703</v>
      </c>
      <c r="D441">
        <v>43.756</v>
      </c>
      <c r="E441">
        <v>41.384</v>
      </c>
      <c r="F441">
        <v>39.753</v>
      </c>
      <c r="G441">
        <v>39.654</v>
      </c>
      <c r="H441">
        <v>53.73</v>
      </c>
      <c r="I441">
        <v>59.748</v>
      </c>
      <c r="J441">
        <v>40.779</v>
      </c>
      <c r="K441" t="s">
        <v>8412</v>
      </c>
    </row>
    <row r="442" spans="1:11">
      <c r="A442" t="s">
        <v>8413</v>
      </c>
      <c r="B442">
        <v>70.172</v>
      </c>
      <c r="C442">
        <v>66.087</v>
      </c>
      <c r="D442">
        <v>54.334</v>
      </c>
      <c r="E442">
        <v>50.941</v>
      </c>
      <c r="F442">
        <v>46.117</v>
      </c>
      <c r="G442">
        <v>44.266</v>
      </c>
      <c r="H442">
        <v>57.551</v>
      </c>
      <c r="I442">
        <v>83.547</v>
      </c>
      <c r="J442">
        <v>53.273</v>
      </c>
      <c r="K442" t="s">
        <v>238</v>
      </c>
    </row>
    <row r="443" spans="1:11">
      <c r="A443">
        <v>33.3467</v>
      </c>
      <c r="B443">
        <v>259.918</v>
      </c>
      <c r="C443">
        <v>202.009</v>
      </c>
      <c r="D443">
        <v>184.93</v>
      </c>
      <c r="E443">
        <v>134.596</v>
      </c>
      <c r="F443">
        <v>66.537</v>
      </c>
      <c r="G443">
        <v>121.908</v>
      </c>
      <c r="H443">
        <v>138.625</v>
      </c>
      <c r="I443">
        <v>110.237</v>
      </c>
      <c r="J443">
        <v>53.273</v>
      </c>
      <c r="K443">
        <v>11.6333</v>
      </c>
    </row>
    <row r="444" spans="1:11">
      <c r="A444" t="s">
        <v>97</v>
      </c>
      <c r="B444">
        <v>58.261</v>
      </c>
      <c r="C444">
        <v>45.459</v>
      </c>
      <c r="D444">
        <v>42.652</v>
      </c>
      <c r="E444">
        <v>36.917</v>
      </c>
      <c r="F444">
        <v>36.962</v>
      </c>
      <c r="G444">
        <v>32.746</v>
      </c>
      <c r="H444">
        <v>32.865</v>
      </c>
      <c r="I444">
        <v>29.989</v>
      </c>
      <c r="J444">
        <v>15.65</v>
      </c>
      <c r="K444" t="s">
        <v>97</v>
      </c>
    </row>
    <row r="445" spans="1:11">
      <c r="A445" t="s">
        <v>104</v>
      </c>
      <c r="B445">
        <v>64.392</v>
      </c>
      <c r="C445">
        <v>63.46</v>
      </c>
      <c r="D445">
        <v>45.694</v>
      </c>
      <c r="E445">
        <v>41.415</v>
      </c>
      <c r="F445">
        <v>39.753</v>
      </c>
      <c r="G445">
        <v>38.947</v>
      </c>
      <c r="H445">
        <v>44.206</v>
      </c>
      <c r="I445">
        <v>49.004</v>
      </c>
      <c r="J445">
        <v>29.669</v>
      </c>
      <c r="K445" t="s">
        <v>104</v>
      </c>
    </row>
    <row r="446" spans="1:11">
      <c r="A446" t="s">
        <v>42</v>
      </c>
      <c r="B446">
        <v>259.918</v>
      </c>
      <c r="C446">
        <v>202.009</v>
      </c>
      <c r="D446">
        <v>184.93</v>
      </c>
      <c r="E446">
        <v>119.752</v>
      </c>
      <c r="F446">
        <v>48.704</v>
      </c>
      <c r="G446">
        <v>71.579</v>
      </c>
      <c r="H446">
        <v>104.068</v>
      </c>
      <c r="I446">
        <v>83.547</v>
      </c>
      <c r="J446">
        <v>40.779</v>
      </c>
      <c r="K446" t="s">
        <v>42</v>
      </c>
    </row>
    <row r="447" spans="1:11">
      <c r="A447" t="s">
        <v>43</v>
      </c>
      <c r="B447" t="s">
        <v>8414</v>
      </c>
      <c r="C447" t="s">
        <v>8354</v>
      </c>
      <c r="D447" t="s">
        <v>8415</v>
      </c>
      <c r="E447" t="s">
        <v>8416</v>
      </c>
      <c r="F447" t="s">
        <v>8417</v>
      </c>
      <c r="G447" t="s">
        <v>8418</v>
      </c>
      <c r="H447" t="s">
        <v>8419</v>
      </c>
      <c r="I447" t="s">
        <v>8420</v>
      </c>
      <c r="J447" t="s">
        <v>8421</v>
      </c>
      <c r="K447" t="s">
        <v>43</v>
      </c>
    </row>
    <row r="448" spans="1:11">
      <c r="A448" t="s">
        <v>44</v>
      </c>
      <c r="B448" t="s">
        <v>8422</v>
      </c>
      <c r="C448" t="s">
        <v>8423</v>
      </c>
      <c r="D448" t="s">
        <v>8424</v>
      </c>
      <c r="E448" t="s">
        <v>8425</v>
      </c>
      <c r="F448" t="s">
        <v>8426</v>
      </c>
      <c r="G448" t="s">
        <v>8427</v>
      </c>
      <c r="H448" t="s">
        <v>8428</v>
      </c>
      <c r="I448" t="s">
        <v>8429</v>
      </c>
      <c r="J448" t="s">
        <v>8430</v>
      </c>
      <c r="K448" t="s">
        <v>44</v>
      </c>
    </row>
    <row r="449" spans="1:11">
      <c r="A449" t="s">
        <v>8431</v>
      </c>
      <c r="B449">
        <v>35.3333</v>
      </c>
      <c r="C449">
        <v>28.06</v>
      </c>
      <c r="D449">
        <v>23.6133</v>
      </c>
      <c r="E449">
        <v>19.0133</v>
      </c>
      <c r="F449">
        <v>16.0267</v>
      </c>
      <c r="G449">
        <v>14.2533</v>
      </c>
      <c r="H449">
        <v>13.6133</v>
      </c>
      <c r="I449">
        <v>12.2533</v>
      </c>
      <c r="J449">
        <v>9.34667</v>
      </c>
      <c r="K449" t="s">
        <v>8432</v>
      </c>
    </row>
    <row r="450" spans="1:11">
      <c r="A450">
        <v>886.229</v>
      </c>
      <c r="B450" t="s">
        <v>97</v>
      </c>
      <c r="C450" t="s">
        <v>97</v>
      </c>
      <c r="D450" t="s">
        <v>97</v>
      </c>
      <c r="E450" t="s">
        <v>97</v>
      </c>
      <c r="F450" t="s">
        <v>97</v>
      </c>
      <c r="G450" t="s">
        <v>97</v>
      </c>
      <c r="H450" t="s">
        <v>97</v>
      </c>
      <c r="I450" t="s">
        <v>97</v>
      </c>
      <c r="J450" t="s">
        <v>97</v>
      </c>
      <c r="K450">
        <v>2291.67</v>
      </c>
    </row>
    <row r="451" spans="1:11">
      <c r="A451">
        <v>0.598803</v>
      </c>
      <c r="B451" t="s">
        <v>104</v>
      </c>
      <c r="C451" t="s">
        <v>104</v>
      </c>
      <c r="D451" t="s">
        <v>104</v>
      </c>
      <c r="E451" t="s">
        <v>104</v>
      </c>
      <c r="F451" t="s">
        <v>104</v>
      </c>
      <c r="G451" t="s">
        <v>104</v>
      </c>
      <c r="H451" t="s">
        <v>104</v>
      </c>
      <c r="I451" t="s">
        <v>104</v>
      </c>
      <c r="J451" t="s">
        <v>104</v>
      </c>
      <c r="K451">
        <v>1.54842</v>
      </c>
    </row>
    <row r="452" spans="1:11">
      <c r="A452">
        <v>63.18</v>
      </c>
      <c r="B452" t="s">
        <v>42</v>
      </c>
      <c r="C452" t="s">
        <v>42</v>
      </c>
      <c r="D452" t="s">
        <v>42</v>
      </c>
      <c r="E452" t="s">
        <v>42</v>
      </c>
      <c r="F452" t="s">
        <v>42</v>
      </c>
      <c r="G452" t="s">
        <v>42</v>
      </c>
      <c r="H452" t="s">
        <v>42</v>
      </c>
      <c r="I452" t="s">
        <v>42</v>
      </c>
      <c r="J452" t="s">
        <v>42</v>
      </c>
      <c r="K452" t="s">
        <v>8433</v>
      </c>
    </row>
    <row r="453" spans="1:11">
      <c r="A453">
        <v>67.469</v>
      </c>
      <c r="B453" t="s">
        <v>43</v>
      </c>
      <c r="C453" t="s">
        <v>43</v>
      </c>
      <c r="D453" t="s">
        <v>43</v>
      </c>
      <c r="E453" t="s">
        <v>43</v>
      </c>
      <c r="F453" t="s">
        <v>43</v>
      </c>
      <c r="G453" t="s">
        <v>43</v>
      </c>
      <c r="H453" t="s">
        <v>43</v>
      </c>
      <c r="I453" t="s">
        <v>43</v>
      </c>
      <c r="J453" t="s">
        <v>43</v>
      </c>
      <c r="K453" t="s">
        <v>8434</v>
      </c>
    </row>
    <row r="454" spans="1:11">
      <c r="A454">
        <v>94.739</v>
      </c>
      <c r="B454" t="s">
        <v>44</v>
      </c>
      <c r="C454" t="s">
        <v>44</v>
      </c>
      <c r="D454" t="s">
        <v>44</v>
      </c>
      <c r="E454" t="s">
        <v>44</v>
      </c>
      <c r="F454" t="s">
        <v>44</v>
      </c>
      <c r="G454" t="s">
        <v>44</v>
      </c>
      <c r="H454" t="s">
        <v>44</v>
      </c>
      <c r="I454" t="s">
        <v>44</v>
      </c>
      <c r="J454" t="s">
        <v>44</v>
      </c>
      <c r="K454" t="s">
        <v>8435</v>
      </c>
    </row>
    <row r="455" spans="1:11">
      <c r="A455">
        <v>63.18</v>
      </c>
      <c r="B455" t="s">
        <v>8436</v>
      </c>
      <c r="C455" t="s">
        <v>8437</v>
      </c>
      <c r="D455" t="s">
        <v>8438</v>
      </c>
      <c r="E455" t="s">
        <v>8439</v>
      </c>
      <c r="F455" t="s">
        <v>8440</v>
      </c>
      <c r="G455" t="s">
        <v>8441</v>
      </c>
      <c r="H455" t="s">
        <v>8442</v>
      </c>
      <c r="I455" t="s">
        <v>8443</v>
      </c>
      <c r="J455" t="s">
        <v>8444</v>
      </c>
      <c r="K455">
        <v>17.227</v>
      </c>
    </row>
    <row r="456" spans="1:11">
      <c r="A456">
        <v>67.469</v>
      </c>
      <c r="B456">
        <v>944.485</v>
      </c>
      <c r="C456">
        <v>1035.72</v>
      </c>
      <c r="D456">
        <v>1140.62</v>
      </c>
      <c r="E456">
        <v>1274.7</v>
      </c>
      <c r="F456">
        <v>1348.85</v>
      </c>
      <c r="G456">
        <v>1512.96</v>
      </c>
      <c r="H456">
        <v>1548.25</v>
      </c>
      <c r="I456">
        <v>1634.55</v>
      </c>
      <c r="J456">
        <v>1742.59</v>
      </c>
      <c r="K456">
        <v>37.06</v>
      </c>
    </row>
    <row r="457" spans="1:11">
      <c r="A457">
        <v>94.739</v>
      </c>
      <c r="B457">
        <v>0.638165</v>
      </c>
      <c r="C457">
        <v>0.699807</v>
      </c>
      <c r="D457">
        <v>0.770687</v>
      </c>
      <c r="E457">
        <v>0.861287</v>
      </c>
      <c r="F457">
        <v>0.911386</v>
      </c>
      <c r="G457">
        <v>1.02227</v>
      </c>
      <c r="H457">
        <v>1.04612</v>
      </c>
      <c r="I457">
        <v>1.10443</v>
      </c>
      <c r="J457">
        <v>1.17742</v>
      </c>
      <c r="K457">
        <v>81.62</v>
      </c>
    </row>
    <row r="458" spans="1:11">
      <c r="A458" t="s">
        <v>208</v>
      </c>
      <c r="B458" t="s">
        <v>8445</v>
      </c>
      <c r="C458" t="s">
        <v>8446</v>
      </c>
      <c r="D458" t="s">
        <v>8447</v>
      </c>
      <c r="E458" t="s">
        <v>8448</v>
      </c>
      <c r="F458" t="s">
        <v>8449</v>
      </c>
      <c r="G458" t="s">
        <v>8450</v>
      </c>
      <c r="H458" t="s">
        <v>8451</v>
      </c>
      <c r="I458" t="s">
        <v>8452</v>
      </c>
      <c r="J458" t="s">
        <v>8453</v>
      </c>
      <c r="K458" t="s">
        <v>8454</v>
      </c>
    </row>
    <row r="459" spans="1:11">
      <c r="A459" t="s">
        <v>8455</v>
      </c>
      <c r="B459" t="s">
        <v>8456</v>
      </c>
      <c r="C459" t="s">
        <v>8457</v>
      </c>
      <c r="D459" t="s">
        <v>8458</v>
      </c>
      <c r="E459" t="s">
        <v>8459</v>
      </c>
      <c r="F459" t="s">
        <v>8460</v>
      </c>
      <c r="G459" t="s">
        <v>8461</v>
      </c>
      <c r="H459" t="s">
        <v>8462</v>
      </c>
      <c r="I459" t="s">
        <v>8463</v>
      </c>
      <c r="J459" t="s">
        <v>8464</v>
      </c>
      <c r="K459" t="s">
        <v>238</v>
      </c>
    </row>
    <row r="460" spans="1:11">
      <c r="A460">
        <v>38.12</v>
      </c>
      <c r="B460" t="s">
        <v>8465</v>
      </c>
      <c r="C460" t="s">
        <v>8466</v>
      </c>
      <c r="D460" t="s">
        <v>8467</v>
      </c>
      <c r="E460" t="s">
        <v>8468</v>
      </c>
      <c r="F460" t="s">
        <v>8469</v>
      </c>
      <c r="G460" t="s">
        <v>8470</v>
      </c>
      <c r="H460" t="s">
        <v>8471</v>
      </c>
      <c r="I460" t="s">
        <v>8472</v>
      </c>
      <c r="J460" t="s">
        <v>8473</v>
      </c>
      <c r="K460">
        <v>12.52</v>
      </c>
    </row>
    <row r="461" spans="1:11">
      <c r="A461" t="s">
        <v>97</v>
      </c>
      <c r="B461">
        <v>57.765</v>
      </c>
      <c r="C461">
        <v>55.219</v>
      </c>
      <c r="D461">
        <v>50.551</v>
      </c>
      <c r="E461">
        <v>46.929</v>
      </c>
      <c r="F461">
        <v>36.738</v>
      </c>
      <c r="G461">
        <v>36.574</v>
      </c>
      <c r="H461">
        <v>41.469</v>
      </c>
      <c r="I461">
        <v>51.453</v>
      </c>
      <c r="J461">
        <v>41.301</v>
      </c>
      <c r="K461" t="s">
        <v>97</v>
      </c>
    </row>
    <row r="462" spans="2:10">
      <c r="B462">
        <v>72.011</v>
      </c>
      <c r="C462">
        <v>68.296</v>
      </c>
      <c r="D462">
        <v>56.186</v>
      </c>
      <c r="E462">
        <v>53.482</v>
      </c>
      <c r="F462">
        <v>42.547</v>
      </c>
      <c r="G462">
        <v>44.995</v>
      </c>
      <c r="H462">
        <v>46.683</v>
      </c>
      <c r="I462">
        <v>84.035</v>
      </c>
      <c r="J462">
        <v>52.935</v>
      </c>
    </row>
    <row r="463" spans="2:10">
      <c r="B463">
        <v>295.968</v>
      </c>
      <c r="C463">
        <v>195.942</v>
      </c>
      <c r="D463">
        <v>179.428</v>
      </c>
      <c r="E463">
        <v>188.57</v>
      </c>
      <c r="F463">
        <v>58.566</v>
      </c>
      <c r="G463">
        <v>121.965</v>
      </c>
      <c r="H463">
        <v>122.436</v>
      </c>
      <c r="I463">
        <v>109.626</v>
      </c>
      <c r="J463">
        <v>52.935</v>
      </c>
    </row>
    <row r="464" spans="2:10">
      <c r="B464">
        <v>55.587</v>
      </c>
      <c r="C464">
        <v>54.402</v>
      </c>
      <c r="D464">
        <v>40.392</v>
      </c>
      <c r="E464">
        <v>42.164</v>
      </c>
      <c r="F464">
        <v>33.653</v>
      </c>
      <c r="G464">
        <v>31.876</v>
      </c>
      <c r="H464">
        <v>31.167</v>
      </c>
      <c r="I464">
        <v>24.223</v>
      </c>
      <c r="J464">
        <v>12.239</v>
      </c>
    </row>
    <row r="465" spans="2:10">
      <c r="B465">
        <v>71.613</v>
      </c>
      <c r="C465">
        <v>62.137</v>
      </c>
      <c r="D465">
        <v>53.806</v>
      </c>
      <c r="E465">
        <v>49.621</v>
      </c>
      <c r="F465">
        <v>36.738</v>
      </c>
      <c r="G465">
        <v>36.416</v>
      </c>
      <c r="H465">
        <v>37.239</v>
      </c>
      <c r="I465">
        <v>31.207</v>
      </c>
      <c r="J465">
        <v>16.814</v>
      </c>
    </row>
    <row r="466" spans="2:10">
      <c r="B466">
        <v>295.968</v>
      </c>
      <c r="C466">
        <v>195.942</v>
      </c>
      <c r="D466">
        <v>179.428</v>
      </c>
      <c r="E466">
        <v>134.436</v>
      </c>
      <c r="F466">
        <v>49.199</v>
      </c>
      <c r="G466">
        <v>86.957</v>
      </c>
      <c r="H466">
        <v>102.038</v>
      </c>
      <c r="I466">
        <v>84.035</v>
      </c>
      <c r="J466">
        <v>42.348</v>
      </c>
    </row>
    <row r="467" spans="2:10">
      <c r="B467" t="s">
        <v>8474</v>
      </c>
      <c r="C467" t="s">
        <v>8475</v>
      </c>
      <c r="D467" t="s">
        <v>8476</v>
      </c>
      <c r="E467" t="s">
        <v>8477</v>
      </c>
      <c r="F467" t="s">
        <v>8478</v>
      </c>
      <c r="G467" t="s">
        <v>8479</v>
      </c>
      <c r="H467" t="s">
        <v>8480</v>
      </c>
      <c r="I467" t="s">
        <v>8481</v>
      </c>
      <c r="J467" t="s">
        <v>8482</v>
      </c>
    </row>
    <row r="468" spans="2:10">
      <c r="B468" t="s">
        <v>8483</v>
      </c>
      <c r="C468" t="s">
        <v>8484</v>
      </c>
      <c r="D468" t="s">
        <v>8485</v>
      </c>
      <c r="E468" t="s">
        <v>8486</v>
      </c>
      <c r="F468" t="s">
        <v>8487</v>
      </c>
      <c r="G468" t="s">
        <v>8488</v>
      </c>
      <c r="H468" t="s">
        <v>8489</v>
      </c>
      <c r="I468" t="s">
        <v>8490</v>
      </c>
      <c r="J468" t="s">
        <v>8491</v>
      </c>
    </row>
    <row r="469" spans="2:10">
      <c r="B469">
        <v>34.7667</v>
      </c>
      <c r="C469">
        <v>32</v>
      </c>
      <c r="D469">
        <v>23.92</v>
      </c>
      <c r="E469">
        <v>21.8533</v>
      </c>
      <c r="F469">
        <v>14.8133</v>
      </c>
      <c r="G469">
        <v>13.7467</v>
      </c>
      <c r="H469">
        <v>12.5067</v>
      </c>
      <c r="I469">
        <v>10.9</v>
      </c>
      <c r="J469">
        <v>8.70667</v>
      </c>
    </row>
    <row r="470" spans="2:10">
      <c r="B470" t="s">
        <v>97</v>
      </c>
      <c r="C470" t="s">
        <v>97</v>
      </c>
      <c r="D470" t="s">
        <v>97</v>
      </c>
      <c r="E470" t="s">
        <v>97</v>
      </c>
      <c r="F470" t="s">
        <v>97</v>
      </c>
      <c r="G470" t="s">
        <v>97</v>
      </c>
      <c r="H470" t="s">
        <v>97</v>
      </c>
      <c r="I470" t="s">
        <v>97</v>
      </c>
      <c r="J470" t="s">
        <v>97</v>
      </c>
    </row>
    <row r="581" spans="1:2">
      <c r="A581" t="s">
        <v>98</v>
      </c>
      <c r="B581" t="s">
        <v>8492</v>
      </c>
    </row>
    <row r="582" spans="1:11">
      <c r="A582" s="3">
        <v>0</v>
      </c>
      <c r="B582" s="3">
        <v>10</v>
      </c>
      <c r="C582" s="3">
        <v>20</v>
      </c>
      <c r="D582" s="3">
        <v>30</v>
      </c>
      <c r="E582" s="3">
        <v>40</v>
      </c>
      <c r="F582" s="3">
        <v>50</v>
      </c>
      <c r="G582" s="3">
        <v>60</v>
      </c>
      <c r="H582" s="3">
        <v>70</v>
      </c>
      <c r="I582" s="3">
        <v>80</v>
      </c>
      <c r="J582" s="3">
        <v>90</v>
      </c>
      <c r="K582" s="3">
        <v>100</v>
      </c>
    </row>
    <row r="583" spans="1:11">
      <c r="A583" t="s">
        <v>104</v>
      </c>
      <c r="B583" t="s">
        <v>104</v>
      </c>
      <c r="C583" t="s">
        <v>104</v>
      </c>
      <c r="D583" t="s">
        <v>104</v>
      </c>
      <c r="E583" t="s">
        <v>104</v>
      </c>
      <c r="F583" t="s">
        <v>104</v>
      </c>
      <c r="G583" t="s">
        <v>104</v>
      </c>
      <c r="H583" t="s">
        <v>104</v>
      </c>
      <c r="I583" t="s">
        <v>104</v>
      </c>
      <c r="J583" t="s">
        <v>104</v>
      </c>
      <c r="K583" t="s">
        <v>104</v>
      </c>
    </row>
    <row r="584" spans="1:11">
      <c r="A584" t="s">
        <v>42</v>
      </c>
      <c r="B584" t="s">
        <v>42</v>
      </c>
      <c r="C584" t="s">
        <v>42</v>
      </c>
      <c r="D584" t="s">
        <v>42</v>
      </c>
      <c r="E584" t="s">
        <v>42</v>
      </c>
      <c r="F584" t="s">
        <v>42</v>
      </c>
      <c r="G584" t="s">
        <v>42</v>
      </c>
      <c r="H584" t="s">
        <v>42</v>
      </c>
      <c r="I584" t="s">
        <v>42</v>
      </c>
      <c r="J584" t="s">
        <v>42</v>
      </c>
      <c r="K584" t="s">
        <v>42</v>
      </c>
    </row>
    <row r="585" spans="1:11">
      <c r="A585" t="s">
        <v>43</v>
      </c>
      <c r="B585" t="s">
        <v>43</v>
      </c>
      <c r="C585" t="s">
        <v>43</v>
      </c>
      <c r="D585" t="s">
        <v>43</v>
      </c>
      <c r="E585" t="s">
        <v>43</v>
      </c>
      <c r="F585" t="s">
        <v>43</v>
      </c>
      <c r="G585" t="s">
        <v>43</v>
      </c>
      <c r="H585" t="s">
        <v>43</v>
      </c>
      <c r="I585" t="s">
        <v>43</v>
      </c>
      <c r="J585" t="s">
        <v>43</v>
      </c>
      <c r="K585" t="s">
        <v>43</v>
      </c>
    </row>
    <row r="586" spans="1:11">
      <c r="A586" t="s">
        <v>44</v>
      </c>
      <c r="B586" t="s">
        <v>44</v>
      </c>
      <c r="C586" t="s">
        <v>44</v>
      </c>
      <c r="D586" t="s">
        <v>44</v>
      </c>
      <c r="E586" t="s">
        <v>44</v>
      </c>
      <c r="F586" t="s">
        <v>44</v>
      </c>
      <c r="G586" t="s">
        <v>44</v>
      </c>
      <c r="H586" t="s">
        <v>44</v>
      </c>
      <c r="I586" t="s">
        <v>44</v>
      </c>
      <c r="J586" t="s">
        <v>44</v>
      </c>
      <c r="K586" t="s">
        <v>44</v>
      </c>
    </row>
    <row r="587" spans="1:11">
      <c r="A587" t="s">
        <v>8493</v>
      </c>
      <c r="B587" t="s">
        <v>8494</v>
      </c>
      <c r="C587" t="s">
        <v>8495</v>
      </c>
      <c r="D587" t="s">
        <v>8496</v>
      </c>
      <c r="E587" t="s">
        <v>8497</v>
      </c>
      <c r="F587" t="s">
        <v>8498</v>
      </c>
      <c r="G587" t="s">
        <v>8499</v>
      </c>
      <c r="H587" t="s">
        <v>8500</v>
      </c>
      <c r="I587" t="s">
        <v>8501</v>
      </c>
      <c r="J587" t="s">
        <v>8502</v>
      </c>
      <c r="K587" t="s">
        <v>8503</v>
      </c>
    </row>
    <row r="588" spans="1:11">
      <c r="A588">
        <v>3295.7</v>
      </c>
      <c r="B588">
        <v>3579</v>
      </c>
      <c r="C588">
        <v>3692.29</v>
      </c>
      <c r="D588">
        <v>3680.73</v>
      </c>
      <c r="E588">
        <v>3785.71</v>
      </c>
      <c r="F588">
        <v>3817.79</v>
      </c>
      <c r="G588">
        <v>3783</v>
      </c>
      <c r="H588">
        <v>3846.58</v>
      </c>
      <c r="I588">
        <v>3931.58</v>
      </c>
      <c r="J588">
        <v>4243.22</v>
      </c>
      <c r="K588">
        <v>4605.02</v>
      </c>
    </row>
    <row r="589" spans="1:11">
      <c r="A589">
        <v>2.22682</v>
      </c>
      <c r="B589">
        <v>2.41824</v>
      </c>
      <c r="C589">
        <v>2.49479</v>
      </c>
      <c r="D589">
        <v>2.48698</v>
      </c>
      <c r="E589">
        <v>2.55791</v>
      </c>
      <c r="F589">
        <v>2.57959</v>
      </c>
      <c r="G589">
        <v>2.55608</v>
      </c>
      <c r="H589">
        <v>2.59904</v>
      </c>
      <c r="I589">
        <v>2.65647</v>
      </c>
      <c r="J589">
        <v>2.86704</v>
      </c>
      <c r="K589">
        <v>3.1115</v>
      </c>
    </row>
    <row r="590" spans="2:11">
      <c r="B590" t="s">
        <v>8504</v>
      </c>
      <c r="C590" t="s">
        <v>8505</v>
      </c>
      <c r="D590" t="s">
        <v>8506</v>
      </c>
      <c r="E590" t="s">
        <v>8507</v>
      </c>
      <c r="F590" t="s">
        <v>6669</v>
      </c>
      <c r="G590" t="s">
        <v>7525</v>
      </c>
      <c r="H590" t="s">
        <v>400</v>
      </c>
      <c r="I590" t="s">
        <v>8508</v>
      </c>
      <c r="J590" t="s">
        <v>7884</v>
      </c>
      <c r="K590" t="s">
        <v>8509</v>
      </c>
    </row>
    <row r="591" spans="2:11">
      <c r="B591" t="s">
        <v>8510</v>
      </c>
      <c r="C591" t="s">
        <v>8511</v>
      </c>
      <c r="D591" t="s">
        <v>8512</v>
      </c>
      <c r="E591" t="s">
        <v>8513</v>
      </c>
      <c r="F591" t="s">
        <v>8514</v>
      </c>
      <c r="G591" t="s">
        <v>8515</v>
      </c>
      <c r="H591" t="s">
        <v>7890</v>
      </c>
      <c r="I591" t="s">
        <v>8516</v>
      </c>
      <c r="J591" t="s">
        <v>6656</v>
      </c>
      <c r="K591" t="s">
        <v>8517</v>
      </c>
    </row>
    <row r="592" spans="2:11">
      <c r="B592" t="s">
        <v>8518</v>
      </c>
      <c r="C592" t="s">
        <v>8519</v>
      </c>
      <c r="D592" t="s">
        <v>8520</v>
      </c>
      <c r="E592" t="s">
        <v>8521</v>
      </c>
      <c r="F592" t="s">
        <v>8522</v>
      </c>
      <c r="G592" t="s">
        <v>8523</v>
      </c>
      <c r="H592" t="s">
        <v>8524</v>
      </c>
      <c r="I592" t="s">
        <v>8525</v>
      </c>
      <c r="J592" t="s">
        <v>8526</v>
      </c>
      <c r="K592" t="s">
        <v>8527</v>
      </c>
    </row>
    <row r="593" spans="1:10">
      <c r="A593">
        <v>8.7</v>
      </c>
      <c r="B593">
        <v>8.239</v>
      </c>
      <c r="C593">
        <v>8.244</v>
      </c>
      <c r="D593">
        <v>8.49</v>
      </c>
      <c r="E593">
        <v>14.421</v>
      </c>
      <c r="F593">
        <v>14.16</v>
      </c>
      <c r="G593">
        <v>13.091</v>
      </c>
      <c r="H593">
        <v>14.862</v>
      </c>
      <c r="I593">
        <v>12.049</v>
      </c>
      <c r="J593">
        <v>33.687</v>
      </c>
    </row>
    <row r="594" spans="1:10">
      <c r="A594">
        <v>9.553</v>
      </c>
      <c r="B594">
        <v>8.466</v>
      </c>
      <c r="C594">
        <v>8.657</v>
      </c>
      <c r="D594">
        <v>8.78</v>
      </c>
      <c r="E594">
        <v>15.68</v>
      </c>
      <c r="F594">
        <v>18.035</v>
      </c>
      <c r="G594">
        <v>16.018</v>
      </c>
      <c r="H594">
        <v>15.459</v>
      </c>
      <c r="I594">
        <v>12.156</v>
      </c>
      <c r="J594">
        <v>36.037</v>
      </c>
    </row>
    <row r="595" spans="1:10">
      <c r="A595">
        <v>17.114</v>
      </c>
      <c r="B595">
        <v>10.038</v>
      </c>
      <c r="C595">
        <v>12.679</v>
      </c>
      <c r="D595">
        <v>11.991</v>
      </c>
      <c r="E595">
        <v>49.106</v>
      </c>
      <c r="F595">
        <v>60.94</v>
      </c>
      <c r="G595">
        <v>58.891</v>
      </c>
      <c r="H595">
        <v>29.241</v>
      </c>
      <c r="I595">
        <v>16.282</v>
      </c>
      <c r="J595">
        <v>36.037</v>
      </c>
    </row>
    <row r="596" spans="1:11">
      <c r="A596">
        <v>8.7</v>
      </c>
      <c r="B596">
        <v>8.239</v>
      </c>
      <c r="C596">
        <v>8.239</v>
      </c>
      <c r="D596">
        <v>8.317</v>
      </c>
      <c r="E596">
        <v>8.598</v>
      </c>
      <c r="F596">
        <v>11.274</v>
      </c>
      <c r="G596">
        <v>8.611</v>
      </c>
      <c r="H596">
        <v>8.156</v>
      </c>
      <c r="I596">
        <v>7.429</v>
      </c>
      <c r="J596">
        <v>7.698</v>
      </c>
      <c r="K596">
        <v>4.716</v>
      </c>
    </row>
    <row r="597" spans="1:11">
      <c r="A597">
        <v>9.553</v>
      </c>
      <c r="B597">
        <v>8.466</v>
      </c>
      <c r="C597">
        <v>8.628</v>
      </c>
      <c r="D597">
        <v>8.695</v>
      </c>
      <c r="E597">
        <v>10.969</v>
      </c>
      <c r="F597">
        <v>14.16</v>
      </c>
      <c r="G597">
        <v>13.176</v>
      </c>
      <c r="H597">
        <v>12.997</v>
      </c>
      <c r="I597">
        <v>7.852</v>
      </c>
      <c r="J597">
        <v>15.179</v>
      </c>
      <c r="K597">
        <v>4.814</v>
      </c>
    </row>
    <row r="598" spans="1:11">
      <c r="A598">
        <v>17.114</v>
      </c>
      <c r="B598">
        <v>10.038</v>
      </c>
      <c r="C598">
        <v>12.679</v>
      </c>
      <c r="D598">
        <v>13.35</v>
      </c>
      <c r="E598">
        <v>17.545</v>
      </c>
      <c r="F598">
        <v>20.27</v>
      </c>
      <c r="G598">
        <v>23.295</v>
      </c>
      <c r="H598">
        <v>24.315</v>
      </c>
      <c r="I598">
        <v>12.156</v>
      </c>
      <c r="J598">
        <v>33.687</v>
      </c>
      <c r="K598">
        <v>5.207</v>
      </c>
    </row>
    <row r="599" spans="1:11">
      <c r="A599" t="s">
        <v>208</v>
      </c>
      <c r="B599" t="s">
        <v>8528</v>
      </c>
      <c r="C599" t="s">
        <v>8529</v>
      </c>
      <c r="D599" t="s">
        <v>8530</v>
      </c>
      <c r="E599" t="s">
        <v>8531</v>
      </c>
      <c r="F599" t="s">
        <v>8532</v>
      </c>
      <c r="G599" t="s">
        <v>8533</v>
      </c>
      <c r="H599" t="s">
        <v>8534</v>
      </c>
      <c r="I599" t="s">
        <v>8535</v>
      </c>
      <c r="J599" t="s">
        <v>8536</v>
      </c>
      <c r="K599" t="s">
        <v>8537</v>
      </c>
    </row>
    <row r="600" spans="1:11">
      <c r="A600" t="s">
        <v>8538</v>
      </c>
      <c r="B600" t="s">
        <v>8539</v>
      </c>
      <c r="C600" t="s">
        <v>8540</v>
      </c>
      <c r="D600" t="s">
        <v>8541</v>
      </c>
      <c r="E600" t="s">
        <v>8542</v>
      </c>
      <c r="F600" t="s">
        <v>8543</v>
      </c>
      <c r="G600" t="s">
        <v>8544</v>
      </c>
      <c r="H600" t="s">
        <v>8545</v>
      </c>
      <c r="I600" t="s">
        <v>8546</v>
      </c>
      <c r="J600" t="s">
        <v>8547</v>
      </c>
      <c r="K600" t="s">
        <v>238</v>
      </c>
    </row>
    <row r="601" spans="1:11">
      <c r="A601">
        <v>7.8</v>
      </c>
      <c r="B601">
        <v>7.16667</v>
      </c>
      <c r="C601">
        <v>6.88667</v>
      </c>
      <c r="D601">
        <v>6.41333</v>
      </c>
      <c r="E601">
        <v>6.54667</v>
      </c>
      <c r="F601">
        <v>6.42667</v>
      </c>
      <c r="G601">
        <v>6.28</v>
      </c>
      <c r="H601">
        <v>5.51333</v>
      </c>
      <c r="I601">
        <v>4.41333</v>
      </c>
      <c r="J601">
        <v>5.25333</v>
      </c>
      <c r="K601">
        <v>3.72</v>
      </c>
    </row>
    <row r="602" spans="1:11">
      <c r="A602" t="s">
        <v>97</v>
      </c>
      <c r="B602" t="s">
        <v>97</v>
      </c>
      <c r="C602" t="s">
        <v>97</v>
      </c>
      <c r="D602" t="s">
        <v>97</v>
      </c>
      <c r="E602" t="s">
        <v>97</v>
      </c>
      <c r="F602" t="s">
        <v>97</v>
      </c>
      <c r="G602" t="s">
        <v>97</v>
      </c>
      <c r="H602" t="s">
        <v>97</v>
      </c>
      <c r="I602" t="s">
        <v>97</v>
      </c>
      <c r="J602" t="s">
        <v>97</v>
      </c>
      <c r="K602" t="s">
        <v>97</v>
      </c>
    </row>
    <row r="603" spans="1:11">
      <c r="A603" t="s">
        <v>104</v>
      </c>
      <c r="B603" t="s">
        <v>104</v>
      </c>
      <c r="C603" t="s">
        <v>104</v>
      </c>
      <c r="D603" t="s">
        <v>104</v>
      </c>
      <c r="E603" t="s">
        <v>104</v>
      </c>
      <c r="F603" t="s">
        <v>104</v>
      </c>
      <c r="G603" t="s">
        <v>104</v>
      </c>
      <c r="H603" t="s">
        <v>104</v>
      </c>
      <c r="I603" t="s">
        <v>104</v>
      </c>
      <c r="J603" t="s">
        <v>104</v>
      </c>
      <c r="K603" t="s">
        <v>104</v>
      </c>
    </row>
    <row r="604" spans="1:11">
      <c r="A604" t="s">
        <v>42</v>
      </c>
      <c r="B604" t="s">
        <v>42</v>
      </c>
      <c r="C604" t="s">
        <v>42</v>
      </c>
      <c r="D604" t="s">
        <v>42</v>
      </c>
      <c r="E604" t="s">
        <v>42</v>
      </c>
      <c r="F604" t="s">
        <v>42</v>
      </c>
      <c r="G604" t="s">
        <v>42</v>
      </c>
      <c r="H604" t="s">
        <v>42</v>
      </c>
      <c r="I604" t="s">
        <v>42</v>
      </c>
      <c r="J604" t="s">
        <v>42</v>
      </c>
      <c r="K604" t="s">
        <v>42</v>
      </c>
    </row>
    <row r="605" spans="1:11">
      <c r="A605" t="s">
        <v>43</v>
      </c>
      <c r="B605" t="s">
        <v>43</v>
      </c>
      <c r="C605" t="s">
        <v>43</v>
      </c>
      <c r="D605" t="s">
        <v>43</v>
      </c>
      <c r="E605" t="s">
        <v>43</v>
      </c>
      <c r="F605" t="s">
        <v>43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</row>
    <row r="606" spans="1:11">
      <c r="A606" t="s">
        <v>44</v>
      </c>
      <c r="B606" t="s">
        <v>44</v>
      </c>
      <c r="C606" t="s">
        <v>44</v>
      </c>
      <c r="D606" t="s">
        <v>44</v>
      </c>
      <c r="E606" t="s">
        <v>44</v>
      </c>
      <c r="F606" t="s">
        <v>44</v>
      </c>
      <c r="G606" t="s">
        <v>44</v>
      </c>
      <c r="H606" t="s">
        <v>44</v>
      </c>
      <c r="I606" t="s">
        <v>44</v>
      </c>
      <c r="J606" t="s">
        <v>44</v>
      </c>
      <c r="K606" t="s">
        <v>44</v>
      </c>
    </row>
    <row r="607" spans="1:11">
      <c r="A607" t="s">
        <v>8548</v>
      </c>
      <c r="B607" t="s">
        <v>8549</v>
      </c>
      <c r="C607" t="s">
        <v>8550</v>
      </c>
      <c r="D607" t="s">
        <v>8551</v>
      </c>
      <c r="E607" t="s">
        <v>8552</v>
      </c>
      <c r="F607" t="s">
        <v>8553</v>
      </c>
      <c r="G607" t="s">
        <v>8554</v>
      </c>
      <c r="H607" t="s">
        <v>8555</v>
      </c>
      <c r="I607" t="s">
        <v>8556</v>
      </c>
      <c r="J607" t="s">
        <v>8557</v>
      </c>
      <c r="K607" t="s">
        <v>8558</v>
      </c>
    </row>
    <row r="608" spans="1:11">
      <c r="A608">
        <v>3349.67</v>
      </c>
      <c r="B608">
        <v>3631.18</v>
      </c>
      <c r="C608">
        <v>3718.88</v>
      </c>
      <c r="D608">
        <v>3874.38</v>
      </c>
      <c r="E608">
        <v>3759.82</v>
      </c>
      <c r="F608">
        <v>3760.16</v>
      </c>
      <c r="G608">
        <v>3964.71</v>
      </c>
      <c r="H608">
        <v>3925.75</v>
      </c>
      <c r="I608">
        <v>3941.83</v>
      </c>
      <c r="J608">
        <v>4141.14</v>
      </c>
      <c r="K608">
        <v>4589.54</v>
      </c>
    </row>
    <row r="609" spans="1:11">
      <c r="A609">
        <v>2.26329</v>
      </c>
      <c r="B609">
        <v>2.4535</v>
      </c>
      <c r="C609">
        <v>2.51276</v>
      </c>
      <c r="D609">
        <v>2.61783</v>
      </c>
      <c r="E609">
        <v>2.54042</v>
      </c>
      <c r="F609">
        <v>2.54065</v>
      </c>
      <c r="G609">
        <v>2.67886</v>
      </c>
      <c r="H609">
        <v>2.65253</v>
      </c>
      <c r="I609">
        <v>2.6634</v>
      </c>
      <c r="J609">
        <v>2.79807</v>
      </c>
      <c r="K609">
        <v>3.10104</v>
      </c>
    </row>
    <row r="610" spans="2:11">
      <c r="B610" t="s">
        <v>8559</v>
      </c>
      <c r="C610" t="s">
        <v>8560</v>
      </c>
      <c r="D610" t="s">
        <v>8561</v>
      </c>
      <c r="E610" t="s">
        <v>8562</v>
      </c>
      <c r="F610" t="s">
        <v>8563</v>
      </c>
      <c r="G610" t="s">
        <v>8564</v>
      </c>
      <c r="H610" t="s">
        <v>8565</v>
      </c>
      <c r="I610" t="s">
        <v>132</v>
      </c>
      <c r="J610" t="s">
        <v>7792</v>
      </c>
      <c r="K610" t="s">
        <v>7972</v>
      </c>
    </row>
    <row r="611" spans="2:11">
      <c r="B611" t="s">
        <v>8566</v>
      </c>
      <c r="C611" t="s">
        <v>8567</v>
      </c>
      <c r="D611" t="s">
        <v>287</v>
      </c>
      <c r="E611" t="s">
        <v>7587</v>
      </c>
      <c r="F611" t="s">
        <v>419</v>
      </c>
      <c r="G611" t="s">
        <v>8568</v>
      </c>
      <c r="H611" t="s">
        <v>8569</v>
      </c>
      <c r="I611" t="s">
        <v>8569</v>
      </c>
      <c r="J611" t="s">
        <v>7895</v>
      </c>
      <c r="K611" t="s">
        <v>8570</v>
      </c>
    </row>
    <row r="612" spans="2:11">
      <c r="B612" t="s">
        <v>8571</v>
      </c>
      <c r="C612" t="s">
        <v>8572</v>
      </c>
      <c r="D612" t="s">
        <v>8573</v>
      </c>
      <c r="E612" t="s">
        <v>8574</v>
      </c>
      <c r="F612" t="s">
        <v>8575</v>
      </c>
      <c r="G612" t="s">
        <v>8576</v>
      </c>
      <c r="H612" t="s">
        <v>8577</v>
      </c>
      <c r="I612" t="s">
        <v>8578</v>
      </c>
      <c r="J612" t="s">
        <v>8579</v>
      </c>
      <c r="K612" t="s">
        <v>8580</v>
      </c>
    </row>
    <row r="613" spans="1:10">
      <c r="A613">
        <v>8.815</v>
      </c>
      <c r="B613">
        <v>8.23</v>
      </c>
      <c r="C613">
        <v>8.329</v>
      </c>
      <c r="D613">
        <v>8.547</v>
      </c>
      <c r="E613">
        <v>15.164</v>
      </c>
      <c r="F613">
        <v>11.104</v>
      </c>
      <c r="G613">
        <v>9.123</v>
      </c>
      <c r="H613">
        <v>14.56</v>
      </c>
      <c r="I613">
        <v>16.244</v>
      </c>
      <c r="J613">
        <v>22.393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OPT_2</vt:lpstr>
      <vt:lpstr>1_to_3</vt:lpstr>
      <vt:lpstr>1_to_5</vt:lpstr>
      <vt:lpstr>CDF</vt:lpstr>
      <vt:lpstr>50-50W95-5W</vt:lpstr>
      <vt:lpstr>latency_throughput</vt:lpstr>
      <vt:lpstr>hash_table</vt:lpstr>
      <vt:lpstr>1_to_2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liuchang</dc:creator>
  <cp:lastModifiedBy>刘畅</cp:lastModifiedBy>
  <dcterms:created xsi:type="dcterms:W3CDTF">2024-07-27T20:22:00Z</dcterms:created>
  <dcterms:modified xsi:type="dcterms:W3CDTF">2024-11-01T14:50:33Z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6A3D8503901EAF9BF5792467620DE8FB_43</vt:lpwstr>
  </property>
  <property fmtid="{D5CDD505-2E9C-101B-9397-08002B2CF9AE}" pid="3" name="KSOProductBuildVer">
    <vt:lpwstr>2052-6.11.0.8885</vt:lpwstr>
  </property>
</Properties>
</file>